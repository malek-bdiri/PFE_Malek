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momsoftware.sharepoint.com/sites/Commercial/Documents partages/06 Prospects/019 CHO GROUP/22 Etiquetage - Colisage/2 Préparation Offre/"/>
    </mc:Choice>
  </mc:AlternateContent>
  <xr:revisionPtr revIDLastSave="127" documentId="8_{C828ADA0-498A-49E1-B466-44A6A9CD06AA}" xr6:coauthVersionLast="47" xr6:coauthVersionMax="47" xr10:uidLastSave="{D79AC7E5-6CFD-4306-B94C-4327E595F3DE}"/>
  <bookViews>
    <workbookView xWindow="-110" yWindow="-110" windowWidth="19420" windowHeight="10300" tabRatio="620" xr2:uid="{00000000-000D-0000-FFFF-FFFF00000000}"/>
  </bookViews>
  <sheets>
    <sheet name="Gestion Exigences" sheetId="27" r:id="rId1"/>
    <sheet name="Modifs Doc" sheetId="29" r:id="rId2"/>
    <sheet name="Params" sheetId="30" r:id="rId3"/>
  </sheets>
  <definedNames>
    <definedName name="_xlnm.Print_Area" localSheetId="0">'Gestion Exigences'!$C$2:$I$18</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9" i="27" l="1"/>
  <c r="P19" i="27" s="1"/>
  <c r="O17" i="27"/>
  <c r="P17" i="27" s="1"/>
  <c r="O16" i="27"/>
  <c r="P16" i="27" s="1"/>
  <c r="O14" i="27"/>
  <c r="O23" i="27"/>
  <c r="P23" i="27" s="1"/>
  <c r="O22" i="27" l="1"/>
  <c r="P22" i="27" s="1"/>
  <c r="O20" i="27"/>
  <c r="P20" i="27" s="1"/>
  <c r="O21" i="27"/>
  <c r="P21" i="27" s="1"/>
  <c r="N24" i="27"/>
  <c r="P14" i="27"/>
  <c r="O15" i="27"/>
  <c r="P15" i="27" s="1"/>
  <c r="O18" i="27"/>
  <c r="P18" i="27" s="1"/>
  <c r="D5" i="29"/>
  <c r="D6" i="29"/>
  <c r="D7" i="29"/>
  <c r="D8" i="29"/>
  <c r="C10" i="29"/>
  <c r="C11" i="29"/>
  <c r="B6" i="29"/>
  <c r="B7" i="29"/>
  <c r="B8" i="29"/>
  <c r="B10" i="29"/>
  <c r="B11" i="29"/>
  <c r="B5" i="29"/>
  <c r="O24" i="27" l="1"/>
  <c r="P24" i="27"/>
</calcChain>
</file>

<file path=xl/sharedStrings.xml><?xml version="1.0" encoding="utf-8"?>
<sst xmlns="http://schemas.openxmlformats.org/spreadsheetml/2006/main" count="252" uniqueCount="151">
  <si>
    <t>Gestion Exigences Projet</t>
  </si>
  <si>
    <t>Chiffrage Réalisation (SF only)</t>
  </si>
  <si>
    <t>Revue et Vérification Pendant la Conception</t>
  </si>
  <si>
    <t>BU</t>
  </si>
  <si>
    <t>SF</t>
  </si>
  <si>
    <t>Client</t>
  </si>
  <si>
    <t>CHO</t>
  </si>
  <si>
    <t>Projet</t>
  </si>
  <si>
    <t>Colisage</t>
  </si>
  <si>
    <t>Réf BPA du Devis</t>
  </si>
  <si>
    <t>S0-00xyz</t>
  </si>
  <si>
    <t>Réf BPA du Projet</t>
  </si>
  <si>
    <t>PR-22-0xyz</t>
  </si>
  <si>
    <t>Réf Modèle Document</t>
  </si>
  <si>
    <t>MD203</t>
  </si>
  <si>
    <t>Confidentiel | Usage Client Limité</t>
  </si>
  <si>
    <t>Version Modèle Document</t>
  </si>
  <si>
    <t>V1.5</t>
  </si>
  <si>
    <t>ID</t>
  </si>
  <si>
    <t>Intitulé Exigence</t>
  </si>
  <si>
    <t>Nature</t>
  </si>
  <si>
    <t>Catégorie</t>
  </si>
  <si>
    <t>Exigence indéfiée pendant la phase</t>
  </si>
  <si>
    <t>Description de l'exigence</t>
  </si>
  <si>
    <t>Source</t>
  </si>
  <si>
    <t>Description de la solution MOMSOFT</t>
  </si>
  <si>
    <t>Écart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</si>
  <si>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</si>
  <si>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</si>
  <si>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</si>
  <si>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</si>
  <si>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</si>
  <si>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</si>
  <si>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</si>
  <si>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</si>
  <si>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</si>
  <si>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</si>
  <si>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</si>
  <si>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</si>
  <si>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</si>
  <si>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Configuration des données</t>
  </si>
  <si>
    <t>Fonctionnelle</t>
  </si>
  <si>
    <t>SF-Fonctionnelle</t>
  </si>
  <si>
    <t>Commerciale</t>
  </si>
  <si>
    <t>Configuration complète et gestion de l'usine</t>
  </si>
  <si>
    <t>Workshop/réunion client</t>
  </si>
  <si>
    <t>La solution offre un Module Core permettant la modélisation, gestion et planification pour une usine connectée:
• Modélisation hiérarchique de l'usine:  Ateliers, lignes, postes, machines, .
• Gestion des produits
• Gestion des causes d'arrêts
• Gestion des utilisateurs et des autorisations: Rôles et accès contrôlés.
• Planification des lignes et des équipes: Cycles, équipes, calendrier de travail.</t>
  </si>
  <si>
    <t>RAS</t>
  </si>
  <si>
    <t>Validée</t>
  </si>
  <si>
    <t>Mahdi B.</t>
  </si>
  <si>
    <t>N/A</t>
  </si>
  <si>
    <t>E002</t>
  </si>
  <si>
    <t xml:space="preserve">Chargement des données au niveau de Smart Factory </t>
  </si>
  <si>
    <t xml:space="preserve"> Automatisation de l'importation de données dans la solution</t>
  </si>
  <si>
    <r>
      <t xml:space="preserve">La solution comprend un module "Intégration SI" permettant l'intégration automatisée de données: Chargement automatique de données depuis des fichiers CSV ou des systèmes d'information clients. En supportant les entités produits, utilisateurs avec une gestion détaillée des erreurs d'intégration.
</t>
    </r>
    <r>
      <rPr>
        <b/>
        <sz val="10"/>
        <rFont val="Calibri Light"/>
        <family val="2"/>
        <scheme val="major"/>
      </rPr>
      <t xml:space="preserve">Adaptation :
</t>
    </r>
    <r>
      <rPr>
        <sz val="10"/>
        <rFont val="Calibri Light"/>
        <family val="2"/>
        <scheme val="major"/>
      </rPr>
      <t xml:space="preserve">
Permettre le chargement des codes bouteilles dans la Base de données</t>
    </r>
  </si>
  <si>
    <t>E003</t>
  </si>
  <si>
    <t>SF-Connectivité Machine</t>
  </si>
  <si>
    <t>Après chargement des Datamatrix dans la base de données Smart Factory, l'utilisateur peut imprimer un nombre N d'étiquettes.
Il est aussi possible de réimprimer un code s'il a été déclaré comme non-conforme (Supprimé de l'interface historique des étiquettes)</t>
  </si>
  <si>
    <t>E004</t>
  </si>
  <si>
    <t>Interface Contrôle Bouteille</t>
  </si>
  <si>
    <t>E005</t>
  </si>
  <si>
    <t>Rapport Contrôle Bouteille</t>
  </si>
  <si>
    <t>Extraire un rapport des Codes à barres scannés et des codes à barres non scannés</t>
  </si>
  <si>
    <t>E006</t>
  </si>
  <si>
    <t>Impression étiquette carton</t>
  </si>
  <si>
    <t>Permettre l'impression d'une étiquette carton</t>
  </si>
  <si>
    <t>E007</t>
  </si>
  <si>
    <t>Impression étiquette palette</t>
  </si>
  <si>
    <t>Permettre l'impression d'une étiquette palette</t>
  </si>
  <si>
    <t>Après scan d'un nombre X paramètrable de carton sur un poste défini, imprimer une étiquette palette.
Il est possible de re-imprimer l'étiquette au besoin.</t>
  </si>
  <si>
    <t>E008</t>
  </si>
  <si>
    <t>Interface Gestion de production</t>
  </si>
  <si>
    <t>Permettre l'enregistrement des bouteilles par colis</t>
  </si>
  <si>
    <t>La solution propose une interface permettant aux utilisateurs de :
Consulter l'historique des bouteilles, des cartons et des palettes.
Mise à jour du contenu du carton (Suppression dela bouteille du carton).
Mise à jour du contenu de la palette (Suppression du carton de la palette).
Réactivation des codes DataMatrix pour leur réutilisation.
Exporter l’historique au format Excel.</t>
  </si>
  <si>
    <t xml:space="preserve"> </t>
  </si>
  <si>
    <t>Version</t>
  </si>
  <si>
    <t>Date</t>
  </si>
  <si>
    <t>Modifications</t>
  </si>
  <si>
    <t>Auteur(s)</t>
  </si>
  <si>
    <t>Vérificateur(s)</t>
  </si>
  <si>
    <t>Approbateur</t>
  </si>
  <si>
    <t>V1.0</t>
  </si>
  <si>
    <t xml:space="preserve">Version initiale </t>
  </si>
  <si>
    <t>Nihel k.</t>
  </si>
  <si>
    <t xml:space="preserve">Mahdi B. </t>
  </si>
  <si>
    <t>Imed A.</t>
  </si>
  <si>
    <t>V1.1</t>
  </si>
  <si>
    <t>Version adaptée avec l’ajout des exigences d’impression des étiquettes carton et des étiquettes bouteilles.</t>
  </si>
  <si>
    <t>Moatez D.</t>
  </si>
  <si>
    <t>Exigence identifiée pendant la phase</t>
  </si>
  <si>
    <t>Oui/Non</t>
  </si>
  <si>
    <t>Statut Interne</t>
  </si>
  <si>
    <t>SE</t>
  </si>
  <si>
    <t>CdC client</t>
  </si>
  <si>
    <t>Oui</t>
  </si>
  <si>
    <t>Validée par le client</t>
  </si>
  <si>
    <t>*** SE</t>
  </si>
  <si>
    <t>SE-TN</t>
  </si>
  <si>
    <t>Performance</t>
  </si>
  <si>
    <t>Conception</t>
  </si>
  <si>
    <t>Non</t>
  </si>
  <si>
    <t>Non validée par client</t>
  </si>
  <si>
    <t>Non validée</t>
  </si>
  <si>
    <t>SE-Processus</t>
  </si>
  <si>
    <t>SE-MA</t>
  </si>
  <si>
    <t>Reglementaire</t>
  </si>
  <si>
    <t>Réalisation</t>
  </si>
  <si>
    <t>Workshop/réunion Interne</t>
  </si>
  <si>
    <t>SE-Mécanique</t>
  </si>
  <si>
    <t>Sécurité</t>
  </si>
  <si>
    <t>Mise en œuvre</t>
  </si>
  <si>
    <t>Standards client</t>
  </si>
  <si>
    <t>SE-Electrique</t>
  </si>
  <si>
    <t>R&amp;D</t>
  </si>
  <si>
    <t>Standard Client</t>
  </si>
  <si>
    <t>Support et maintenance</t>
  </si>
  <si>
    <t>Standards ADDIXO</t>
  </si>
  <si>
    <t>SE-Soft</t>
  </si>
  <si>
    <t>LOOYAS</t>
  </si>
  <si>
    <t>Standard ADDIXO</t>
  </si>
  <si>
    <t>Reglementation</t>
  </si>
  <si>
    <t>SE-Auto</t>
  </si>
  <si>
    <t>A définir</t>
  </si>
  <si>
    <t>Demande modification</t>
  </si>
  <si>
    <t>SE-Fabrication</t>
  </si>
  <si>
    <t>SE-Intégration</t>
  </si>
  <si>
    <t>SE-Achats</t>
  </si>
  <si>
    <t>*** SF</t>
  </si>
  <si>
    <t>SF-Processus</t>
  </si>
  <si>
    <t>SF-Intégration SI</t>
  </si>
  <si>
    <t>SF-Software</t>
  </si>
  <si>
    <t>SF-Infra IT</t>
  </si>
  <si>
    <t>*** TC</t>
  </si>
  <si>
    <t>TC-Prestations sur site client</t>
  </si>
  <si>
    <t>V1.2</t>
  </si>
  <si>
    <t>Version adaptée avec l’ajout de l'exigence de l'automatisation de l'action d'impression du code datamatrix sur les bouteilles.</t>
  </si>
  <si>
    <t>La solution propose une interface qui permet aux utilisateurs de :
Visualiser les codes à barre déjà utilisés et de les exporter sous format Excel.
Visualiser les codes à barre non encore utilisés et de les exporter sous format Excel.</t>
  </si>
  <si>
    <t>Impression des étiquettes</t>
  </si>
  <si>
    <t>Collage des étiquettes</t>
  </si>
  <si>
    <t>L’applicateur colle les étiquettes sur les bouchons en mouvement</t>
  </si>
  <si>
    <t>E009</t>
  </si>
  <si>
    <t>Permettre le contrôle du code-barres pour chaque carton (6 bouteilles simultanément)</t>
  </si>
  <si>
    <t>Après scan des bouteilles sur un poste défini, imprimer une étiquette carton.
Il est possible de re-imprimer l'étiquette au besoin.</t>
  </si>
  <si>
    <r>
      <t xml:space="preserve">La solution propose une interface permettant aux utilisateurs de :
Gérer la production par ligne et par produit.
</t>
    </r>
    <r>
      <rPr>
        <sz val="10"/>
        <color rgb="FFFF0000"/>
        <rFont val="Calibri Light"/>
        <family val="2"/>
        <scheme val="major"/>
      </rPr>
      <t>Scanner simultanément tous les codes-barres des bouteilles de chaque</t>
    </r>
    <r>
      <rPr>
        <sz val="10"/>
        <rFont val="Calibri Light"/>
        <family val="2"/>
        <scheme val="major"/>
      </rPr>
      <t xml:space="preserve"> carton.
Vérifier si le code-barres existe dans la base de données.
Vérifier si le code-barres n’a pas déjà été scanné.
Vérifier si le code-barres est lisible.
Afficher un message indiquant le statut des codes-barres relatifs au carton :
*Code 1 : Validé
*Code 2 : Inexistant
*Code 3 : Déjà utilisé
*Code 4 : Validé
*Code 5 : Illisible
*Code 6 : Déjà utilisé
Mettre à jour le statut de chaque code-barres en fonction du contrôle qualité.
Écarter les bouteilles non conformes (code DataMatrix lisible mais aspect visuel non acceptable) via un bouton dédié.
Écarter le carton  (code DataMatrix lisible mais aspect visuel non acceptable) via un bouton dédié.</t>
    </r>
  </si>
  <si>
    <t>Génération et impression des codes DataMatrix</t>
  </si>
  <si>
    <t>V1.3</t>
  </si>
  <si>
    <t>Version adaptée avec l’ajout de l’exigence de scanner simultanément l’ensemble des bouteilles du carton.</t>
  </si>
  <si>
    <t>La solution propose une interface permettant aux utilisateurs de :
Consulter la liste des cartons non validés (contenant des codes DataMatrix non validés)
Identifier les bouteilles portant des codes DataMatrix non validés
Remplacer les bouteilles non validées
Réactiver le carton pour qu’il soit scanné de nouveau</t>
  </si>
  <si>
    <t>Permettre l’identification des bouteilles portant des codes DataMatrix non validés</t>
  </si>
  <si>
    <t>Identification des codes DataMatrix non conformes</t>
  </si>
  <si>
    <t>E010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</si>
</sst>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10"/>
      <color rgb="FF000000"/>
      <name val="Calibri Light"/>
      <family val="2"/>
    </font>
    <font>
      <sz val="8"/>
      <name val="Arial"/>
      <family val="2"/>
    </font>
    <font>
      <sz val="10"/>
      <color rgb="FFFF0000"/>
      <name val="Calibri Light"/>
      <family val="2"/>
      <scheme val="major"/>
    </font>
  </fonts>
  <fills count="7">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0"/>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8">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5"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11" fillId="0" borderId="0" xfId="0" applyFont="1" applyAlignment="1">
      <alignment horizontal="left" wrapText="1"/>
    </xf>
    <xf numFmtId="0" fontId="10" fillId="5" borderId="1" xfId="0" applyFont="1" applyFill="1" applyBorder="1" applyAlignment="1">
      <alignment vertical="center" wrapText="1"/>
    </xf>
    <xf numFmtId="0" fontId="10" fillId="5" borderId="2" xfId="0" applyFont="1" applyFill="1" applyBorder="1" applyAlignment="1">
      <alignment vertical="center" wrapText="1"/>
    </xf>
    <xf numFmtId="0" fontId="10" fillId="5" borderId="3" xfId="0" applyFont="1" applyFill="1" applyBorder="1" applyAlignment="1">
      <alignment vertical="center" wrapText="1"/>
    </xf>
    <xf numFmtId="0" fontId="18" fillId="0" borderId="0" xfId="0" applyFont="1" applyAlignment="1">
      <alignment vertical="center"/>
    </xf>
    <xf numFmtId="0" fontId="1" fillId="6" borderId="0" xfId="0" applyFont="1" applyFill="1" applyAlignment="1">
      <alignment vertical="center" wrapText="1"/>
    </xf>
    <xf numFmtId="14" fontId="3" fillId="0" borderId="0" xfId="0" applyNumberFormat="1" applyFont="1" applyAlignment="1">
      <alignment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5" borderId="1" xfId="0" applyFont="1" applyFill="1" applyBorder="1" applyAlignment="1">
      <alignment horizontal="center" wrapText="1"/>
    </xf>
    <xf numFmtId="0" fontId="4" fillId="5" borderId="2" xfId="0" applyFont="1" applyFill="1" applyBorder="1" applyAlignment="1">
      <alignment horizontal="center" wrapText="1"/>
    </xf>
    <xf numFmtId="0" fontId="4" fillId="5"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1" fillId="0" borderId="0" xfId="0" applyNumberFormat="1" applyFont="1" applyAlignment="1">
      <alignment vertical="center" wrapText="1"/>
    </xf>
    <xf numFmtId="0" fontId="1" fillId="0" borderId="0" xfId="0" applyFont="1" applyFill="1" applyAlignment="1">
      <alignment vertical="center" wrapText="1"/>
    </xf>
  </cellXfs>
  <cellStyles count="1">
    <cellStyle name="Normal" xfId="0" builtinId="0"/>
  </cellStyles>
  <dxfs count="52">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17929</xdr:colOff>
      <xdr:row>2</xdr:row>
      <xdr:rowOff>161363</xdr:rowOff>
    </xdr:from>
    <xdr:to>
      <xdr:col>2</xdr:col>
      <xdr:colOff>2372048</xdr:colOff>
      <xdr:row>2</xdr:row>
      <xdr:rowOff>600635</xdr:rowOff>
    </xdr:to>
    <xdr:pic>
      <xdr:nvPicPr>
        <xdr:cNvPr id="3" name="Image 2" descr="Une image contenant Graphique, graphisme, capture d’écran, Caractère coloré&#10;&#10;Description générée automatiquement">
          <a:extLst>
            <a:ext uri="{FF2B5EF4-FFF2-40B4-BE49-F238E27FC236}">
              <a16:creationId xmlns:a16="http://schemas.microsoft.com/office/drawing/2014/main" id="{7966670B-FD7D-478A-B1C8-F131A4F63520}"/>
            </a:ext>
          </a:extLst>
        </xdr:cNvPr>
        <xdr:cNvPicPr>
          <a:picLocks noChangeAspect="1"/>
        </xdr:cNvPicPr>
      </xdr:nvPicPr>
      <xdr:blipFill>
        <a:blip xmlns:r="http://schemas.openxmlformats.org/officeDocument/2006/relationships" r:embed="rId1"/>
        <a:stretch>
          <a:fillRect/>
        </a:stretch>
      </xdr:blipFill>
      <xdr:spPr>
        <a:xfrm>
          <a:off x="806823" y="618563"/>
          <a:ext cx="2729143" cy="43927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V24" totalsRowCount="1" headerRowDxfId="51" dataDxfId="50">
  <autoFilter ref="B13:V23" xr:uid="{DDEA2C8B-EE0D-4C55-9256-CCC64E002CE6}"/>
  <tableColumns count="21">
    <tableColumn id="1" xr3:uid="{E467E0EE-CDAA-4FF5-85A8-CDC0B23A5AD9}" name="ID" dataDxfId="49" totalsRowDxfId="20"/>
    <tableColumn id="2" xr3:uid="{E53952AC-4972-47BD-8B1D-C7EF23088D0D}" name="Intitulé Exigence" dataDxfId="48" totalsRowDxfId="19"/>
    <tableColumn id="8" xr3:uid="{B2D0BC2C-C803-4015-8FA6-70F84517BDB2}" name="Nature" dataDxfId="47" totalsRowDxfId="18"/>
    <tableColumn id="7" xr3:uid="{24F2F0ED-022E-4EC1-91D8-BFE0E4F2FD36}" name="Catégorie" dataDxfId="46" totalsRowDxfId="17"/>
    <tableColumn id="10" xr3:uid="{1FF81CF1-6D35-421C-8767-9E7FA06FEE6A}" name="Exigence indéfiée pendant la phase" dataDxfId="45" totalsRowDxfId="16"/>
    <tableColumn id="3" xr3:uid="{E7621A68-9552-4853-96A5-92A226EA42DD}" name="Description de l'exigence" dataDxfId="44" totalsRowDxfId="15"/>
    <tableColumn id="9" xr3:uid="{E6EEEC82-3576-4980-94B3-1423906CE531}" name="Source" dataDxfId="43" totalsRowDxfId="14"/>
    <tableColumn id="16" xr3:uid="{1441554A-79F9-4040-9CF5-AEBFF7ADF7D1}" name="Description de la solution MOMSOFT" dataDxfId="42" totalsRowDxfId="13"/>
    <tableColumn id="17" xr3:uid="{D1BC9C86-C3CE-417F-AC83-FC4786A7656D}" name="Écart entre exigence client et la solution proposée - préciser aussi les limites et hypothèses si applicable" dataDxfId="41" totalsRowDxfId="12"/>
    <tableColumn id="5" xr3:uid="{2649C3B7-E8B9-44F9-8883-E5BB6F91B4B1}" name="Validation Interne" dataDxfId="40" totalsRowDxfId="11"/>
    <tableColumn id="6" xr3:uid="{8CC493F8-0886-498D-AB98-B77300CC6510}" name="Validation Interne par:" dataDxfId="39" totalsRowDxfId="10"/>
    <tableColumn id="15" xr3:uid="{78231C60-0932-4386-925D-4C689A91C0E3}" name="Statut Client" dataDxfId="38" totalsRowDxfId="9"/>
    <tableColumn id="22" xr3:uid="{D944A0FD-E468-407F-91A6-BD8A29086A7B}" name="HJ Dev" totalsRowFunction="sum" dataDxfId="37" totalsRowDxfId="8"/>
    <tableColumn id="21" xr3:uid="{818C68C5-1CC3-4DC9-9BB8-2CB7816ABE9F}" name="HJ Analyse et Test" totalsRowFunction="sum" dataDxfId="36" totalsRowDxfId="7">
      <calculatedColumnFormula>Tableau3[[#This Row],[HJ Dev]]*(25%+25%)</calculatedColumnFormula>
    </tableColumn>
    <tableColumn id="20" xr3:uid="{81CB5860-4285-4425-ABF9-C91F3323BF25}" name="Total HJ" totalsRowFunction="sum" dataDxfId="35" totalsRowDxfId="6">
      <calculatedColumnFormula>Tableau3[[#This Row],[HJ Analyse et Test]]+Tableau3[[#This Row],[HJ Dev]]</calculatedColumnFormula>
    </tableColumn>
    <tableColumn id="11" xr3:uid="{20685332-73A9-4B9D-874E-F1C9F770405F}" name="Description comment la conception de la solution prend en compte l'exigence client" dataDxfId="34" totalsRowDxfId="5"/>
    <tableColumn id="12" xr3:uid="{36B390F4-625A-46E1-864B-7108903FFD96}" name="Conception réalisée par:" dataDxfId="33" totalsRowDxfId="4"/>
    <tableColumn id="13" xr3:uid="{9016419E-83A5-4950-AB28-EA27A0D72FAD}" name="Revue conception réalisée par" dataDxfId="32" totalsRowDxfId="3"/>
    <tableColumn id="14" xr3:uid="{B5F29B7E-09EB-43EF-BD3D-9ADF38F7CC12}" name="Vérification de la conception réalisée par" dataDxfId="31" totalsRowDxfId="2"/>
    <tableColumn id="18" xr3:uid="{0CA25C90-64D6-43D5-90C8-CE6D70CCA638}" name="Preuve de vérification " dataDxfId="30" totalsRowDxfId="1"/>
    <tableColumn id="4" xr3:uid="{B7406A3A-A365-4F76-9A20-372573D19BC9}" name="Notes" dataDxfId="29" totalsRow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28" dataDxfId="27">
  <autoFilter ref="B13:G18" xr:uid="{96AD1385-A1F5-4391-ABC2-C9F250557626}"/>
  <tableColumns count="6">
    <tableColumn id="1" xr3:uid="{56DA355E-F205-482A-9CF1-CA3361A1D801}" name="Version" dataDxfId="26"/>
    <tableColumn id="2" xr3:uid="{C9D8A0D7-1D6E-479B-AF74-6D39D19E4653}" name="Date" dataDxfId="25"/>
    <tableColumn id="3" xr3:uid="{79109713-8A38-4162-A269-136157905B75}" name="Modifications" dataDxfId="24"/>
    <tableColumn id="4" xr3:uid="{AC928B3E-399C-4A3D-9FB5-9CD96F5D4745}" name="Auteur(s)" dataDxfId="23"/>
    <tableColumn id="5" xr3:uid="{0D0A428D-4F18-4D4E-A0CB-4D1A5057B6E9}" name="Vérificateur(s)" dataDxfId="22"/>
    <tableColumn id="6" xr3:uid="{D81EAB57-FBCA-44D9-8F45-58AF13AA08B6}" name="Approbateur" dataDxfId="21"/>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V24"/>
  <sheetViews>
    <sheetView tabSelected="1" topLeftCell="A12" zoomScale="90" zoomScaleNormal="90" workbookViewId="0">
      <selection activeCell="D18" sqref="D18"/>
    </sheetView>
  </sheetViews>
  <sheetFormatPr baseColWidth="10" defaultColWidth="11.453125" defaultRowHeight="13" x14ac:dyDescent="0.3"/>
  <cols>
    <col min="1" max="1" width="11.453125" style="1"/>
    <col min="2" max="2" width="6.1796875" style="1" customWidth="1"/>
    <col min="3" max="3" width="41.7265625" style="1" customWidth="1"/>
    <col min="4" max="4" width="33.54296875" style="1" customWidth="1"/>
    <col min="5" max="5" width="18.26953125" style="1" customWidth="1"/>
    <col min="6" max="6" width="19.453125" style="1" customWidth="1"/>
    <col min="7" max="7" width="56.54296875" style="1" customWidth="1"/>
    <col min="8" max="8" width="31.26953125" style="1" customWidth="1"/>
    <col min="9" max="9" width="56.54296875" style="1" customWidth="1"/>
    <col min="10" max="10" width="33.1796875" style="1" customWidth="1"/>
    <col min="11" max="12" width="13.54296875" style="1" customWidth="1"/>
    <col min="13" max="13" width="15.26953125" style="1" customWidth="1"/>
    <col min="14" max="14" width="11.81640625" style="1" customWidth="1"/>
    <col min="15" max="15" width="15.453125" style="1" customWidth="1"/>
    <col min="16" max="16" width="13.7265625" style="1" customWidth="1"/>
    <col min="17" max="17" width="39.81640625" style="1" customWidth="1"/>
    <col min="18" max="18" width="15.7265625" style="1" customWidth="1"/>
    <col min="19" max="19" width="20.54296875" style="1" customWidth="1"/>
    <col min="20" max="20" width="20.1796875" style="1" customWidth="1"/>
    <col min="21" max="21" width="15.1796875" style="1" customWidth="1"/>
    <col min="22" max="22" width="30.81640625" style="1" customWidth="1"/>
    <col min="23" max="16384" width="11.453125" style="1"/>
  </cols>
  <sheetData>
    <row r="1" spans="2:22" ht="13.5" thickBot="1" x14ac:dyDescent="0.35"/>
    <row r="2" spans="2:22" ht="21.75" customHeight="1" thickBot="1" x14ac:dyDescent="0.5">
      <c r="B2" s="37" t="s">
        <v>0</v>
      </c>
      <c r="C2" s="38"/>
      <c r="D2" s="38"/>
      <c r="E2" s="38"/>
      <c r="F2" s="38"/>
      <c r="G2" s="38"/>
      <c r="H2" s="38"/>
      <c r="I2" s="38"/>
      <c r="J2" s="38"/>
      <c r="K2" s="38"/>
      <c r="L2" s="38"/>
      <c r="M2" s="39"/>
      <c r="N2" s="40" t="s">
        <v>1</v>
      </c>
      <c r="O2" s="41"/>
      <c r="P2" s="42"/>
      <c r="Q2" s="34" t="s">
        <v>2</v>
      </c>
      <c r="R2" s="35"/>
      <c r="S2" s="35"/>
      <c r="T2" s="35"/>
      <c r="U2" s="35"/>
      <c r="V2" s="36"/>
    </row>
    <row r="3" spans="2:22" ht="53.25" customHeight="1" x14ac:dyDescent="0.3">
      <c r="C3" s="8"/>
      <c r="D3" s="8"/>
      <c r="E3" s="8"/>
      <c r="F3" s="8"/>
      <c r="G3" s="8"/>
      <c r="H3" s="8"/>
      <c r="I3" s="8"/>
    </row>
    <row r="4" spans="2:22" ht="21" customHeight="1" x14ac:dyDescent="0.3">
      <c r="B4" s="26" t="s">
        <v>3</v>
      </c>
      <c r="C4" s="8"/>
      <c r="D4" s="27" t="s">
        <v>4</v>
      </c>
      <c r="E4" s="8"/>
      <c r="F4" s="8"/>
      <c r="G4" s="8"/>
      <c r="H4" s="8"/>
      <c r="I4" s="8"/>
    </row>
    <row r="5" spans="2:22" ht="21.75" customHeight="1" x14ac:dyDescent="0.35">
      <c r="B5" s="23" t="s">
        <v>5</v>
      </c>
      <c r="D5" s="3" t="s">
        <v>6</v>
      </c>
      <c r="E5" s="3"/>
      <c r="F5" s="3"/>
      <c r="G5" s="3"/>
      <c r="H5" s="3"/>
      <c r="I5" s="3"/>
    </row>
    <row r="6" spans="2:22" ht="58.15" customHeight="1" x14ac:dyDescent="0.35">
      <c r="B6" s="23" t="s">
        <v>7</v>
      </c>
      <c r="D6" s="3" t="s">
        <v>8</v>
      </c>
      <c r="E6" s="3"/>
      <c r="F6" s="3"/>
      <c r="G6" s="3"/>
      <c r="H6" s="3"/>
      <c r="I6" s="3"/>
    </row>
    <row r="7" spans="2:22" ht="20.5" customHeight="1" x14ac:dyDescent="0.35">
      <c r="B7" s="23" t="s">
        <v>9</v>
      </c>
      <c r="D7" s="3" t="s">
        <v>10</v>
      </c>
      <c r="E7" s="3"/>
      <c r="F7" s="3"/>
      <c r="G7" s="3"/>
      <c r="H7" s="3"/>
      <c r="I7" s="3"/>
    </row>
    <row r="8" spans="2:22" ht="21.65" customHeight="1" x14ac:dyDescent="0.35">
      <c r="B8" s="23" t="s">
        <v>11</v>
      </c>
      <c r="D8" s="3" t="s">
        <v>12</v>
      </c>
      <c r="E8" s="3"/>
      <c r="F8" s="3"/>
      <c r="G8" s="3"/>
      <c r="H8" s="3"/>
      <c r="I8" s="3"/>
    </row>
    <row r="9" spans="2:22" ht="14.5" x14ac:dyDescent="0.35">
      <c r="C9" s="3"/>
      <c r="D9" s="20"/>
      <c r="E9" s="20"/>
      <c r="F9" s="20"/>
      <c r="G9" s="20"/>
      <c r="H9" s="20"/>
      <c r="I9" s="20"/>
    </row>
    <row r="10" spans="2:22" x14ac:dyDescent="0.3">
      <c r="B10" s="24" t="s">
        <v>13</v>
      </c>
      <c r="C10" s="25"/>
      <c r="D10" s="24" t="s">
        <v>14</v>
      </c>
      <c r="E10" s="9"/>
      <c r="F10" s="9"/>
      <c r="I10" s="18" t="s">
        <v>15</v>
      </c>
    </row>
    <row r="11" spans="2:22" x14ac:dyDescent="0.3">
      <c r="B11" s="24" t="s">
        <v>16</v>
      </c>
      <c r="C11" s="25"/>
      <c r="D11" s="24" t="s">
        <v>17</v>
      </c>
      <c r="E11" s="9"/>
      <c r="F11" s="9"/>
    </row>
    <row r="12" spans="2:22" ht="13.5" thickBot="1" x14ac:dyDescent="0.35"/>
    <row r="13" spans="2:22" s="10" customFormat="1" ht="39.5" thickBot="1" x14ac:dyDescent="0.3">
      <c r="B13" s="28" t="s">
        <v>18</v>
      </c>
      <c r="C13" s="29" t="s">
        <v>19</v>
      </c>
      <c r="D13" s="29" t="s">
        <v>20</v>
      </c>
      <c r="E13" s="29" t="s">
        <v>21</v>
      </c>
      <c r="F13" s="29" t="s">
        <v>22</v>
      </c>
      <c r="G13" s="29" t="s">
        <v>23</v>
      </c>
      <c r="H13" s="29" t="s">
        <v>24</v>
      </c>
      <c r="I13" s="29" t="s">
        <v>25</v>
      </c>
      <c r="J13" s="29" t="s">
        <v>26</v>
      </c>
      <c r="K13" s="29" t="s">
        <v>27</v>
      </c>
      <c r="L13" s="29" t="s">
        <v>28</v>
      </c>
      <c r="M13" s="30" t="s">
        <v>29</v>
      </c>
      <c r="N13" s="14" t="s">
        <v>30</v>
      </c>
      <c r="O13" s="14" t="s">
        <v>31</v>
      </c>
      <c r="P13" s="14" t="s">
        <v>32</v>
      </c>
      <c r="Q13" s="15" t="s">
        <v>33</v>
      </c>
      <c r="R13" s="16" t="s">
        <v>34</v>
      </c>
      <c r="S13" s="16" t="s">
        <v>35</v>
      </c>
      <c r="T13" s="16" t="s">
        <v>36</v>
      </c>
      <c r="U13" s="16" t="s">
        <v>37</v>
      </c>
      <c r="V13" s="17" t="s">
        <v>38</v>
      </c>
    </row>
    <row r="14" spans="2:22" s="10" customFormat="1" ht="202.15" customHeight="1" x14ac:dyDescent="0.25">
      <c r="B14" s="10" t="s">
        <v>39</v>
      </c>
      <c r="C14" s="31" t="s">
        <v>40</v>
      </c>
      <c r="D14" s="10" t="s">
        <v>41</v>
      </c>
      <c r="E14" s="10" t="s">
        <v>42</v>
      </c>
      <c r="F14" s="10" t="s">
        <v>43</v>
      </c>
      <c r="G14" s="10" t="s">
        <v>44</v>
      </c>
      <c r="H14" s="10" t="s">
        <v>45</v>
      </c>
      <c r="I14" s="10" t="s">
        <v>46</v>
      </c>
      <c r="J14" s="10" t="s">
        <v>47</v>
      </c>
      <c r="K14" s="10" t="s">
        <v>48</v>
      </c>
      <c r="L14" s="10" t="s">
        <v>49</v>
      </c>
      <c r="M14" s="10" t="s">
        <v>50</v>
      </c>
      <c r="N14" s="10">
        <v>0</v>
      </c>
      <c r="O14" s="10">
        <f>Tableau3[[#This Row],[HJ Dev]]*(25%+25%)</f>
        <v>0</v>
      </c>
      <c r="P14" s="10">
        <f>Tableau3[[#This Row],[HJ Analyse et Test]]+Tableau3[[#This Row],[HJ Dev]]</f>
        <v>0</v>
      </c>
      <c r="Q14" s="10" t="s">
        <v>50</v>
      </c>
      <c r="R14" s="10" t="s">
        <v>50</v>
      </c>
      <c r="S14" s="10" t="s">
        <v>50</v>
      </c>
      <c r="T14" s="10" t="s">
        <v>50</v>
      </c>
      <c r="U14" s="10" t="s">
        <v>50</v>
      </c>
    </row>
    <row r="15" spans="2:22" s="10" customFormat="1" ht="131.5" customHeight="1" x14ac:dyDescent="0.25">
      <c r="B15" s="10" t="s">
        <v>51</v>
      </c>
      <c r="C15" s="10" t="s">
        <v>52</v>
      </c>
      <c r="D15" s="10" t="s">
        <v>41</v>
      </c>
      <c r="E15" s="10" t="s">
        <v>42</v>
      </c>
      <c r="F15" s="10" t="s">
        <v>43</v>
      </c>
      <c r="G15" s="10" t="s">
        <v>53</v>
      </c>
      <c r="H15" s="10" t="s">
        <v>45</v>
      </c>
      <c r="I15" s="10" t="s">
        <v>54</v>
      </c>
      <c r="J15" s="10" t="s">
        <v>47</v>
      </c>
      <c r="K15" s="10" t="s">
        <v>48</v>
      </c>
      <c r="L15" s="10" t="s">
        <v>49</v>
      </c>
      <c r="M15" s="10" t="s">
        <v>50</v>
      </c>
      <c r="N15" s="10">
        <v>2</v>
      </c>
      <c r="O15" s="10">
        <f>Tableau3[[#This Row],[HJ Dev]]*(25%+25%)</f>
        <v>1</v>
      </c>
      <c r="P15" s="10">
        <f>Tableau3[[#This Row],[HJ Analyse et Test]]+Tableau3[[#This Row],[HJ Dev]]</f>
        <v>3</v>
      </c>
    </row>
    <row r="16" spans="2:22" s="10" customFormat="1" ht="140.65" customHeight="1" x14ac:dyDescent="0.25">
      <c r="B16" s="10" t="s">
        <v>55</v>
      </c>
      <c r="C16" s="47" t="s">
        <v>137</v>
      </c>
      <c r="D16" s="10" t="s">
        <v>41</v>
      </c>
      <c r="E16" s="10" t="s">
        <v>131</v>
      </c>
      <c r="F16" s="10" t="s">
        <v>43</v>
      </c>
      <c r="G16" s="10" t="s">
        <v>144</v>
      </c>
      <c r="H16" s="10" t="s">
        <v>45</v>
      </c>
      <c r="I16" s="10" t="s">
        <v>57</v>
      </c>
      <c r="J16" s="10" t="s">
        <v>47</v>
      </c>
      <c r="K16" s="10" t="s">
        <v>48</v>
      </c>
      <c r="L16" s="10" t="s">
        <v>49</v>
      </c>
      <c r="M16" s="10" t="s">
        <v>50</v>
      </c>
      <c r="N16" s="10">
        <v>4.5</v>
      </c>
      <c r="O16" s="10">
        <f>Tableau3[[#This Row],[HJ Dev]]*(25%+25%)</f>
        <v>2.25</v>
      </c>
      <c r="P16" s="10">
        <f>Tableau3[[#This Row],[HJ Analyse et Test]]+Tableau3[[#This Row],[HJ Dev]]</f>
        <v>6.75</v>
      </c>
    </row>
    <row r="17" spans="2:22" s="10" customFormat="1" ht="164" customHeight="1" x14ac:dyDescent="0.25">
      <c r="B17" s="10" t="s">
        <v>58</v>
      </c>
      <c r="C17" s="10" t="s">
        <v>138</v>
      </c>
      <c r="D17" s="10" t="s">
        <v>41</v>
      </c>
      <c r="E17" s="10" t="s">
        <v>128</v>
      </c>
      <c r="F17" s="10" t="s">
        <v>43</v>
      </c>
      <c r="G17" s="10" t="s">
        <v>139</v>
      </c>
      <c r="H17" s="10" t="s">
        <v>45</v>
      </c>
      <c r="I17" s="10" t="s">
        <v>139</v>
      </c>
      <c r="J17" s="10" t="s">
        <v>47</v>
      </c>
      <c r="K17" s="10" t="s">
        <v>48</v>
      </c>
      <c r="L17" s="10" t="s">
        <v>49</v>
      </c>
      <c r="M17" s="10" t="s">
        <v>50</v>
      </c>
      <c r="N17" s="10">
        <v>0</v>
      </c>
      <c r="O17" s="10">
        <f>Tableau3[[#This Row],[HJ Dev]]*(25%+25%)</f>
        <v>0</v>
      </c>
      <c r="P17" s="10">
        <f>Tableau3[[#This Row],[HJ Analyse et Test]]+Tableau3[[#This Row],[HJ Dev]]</f>
        <v>0</v>
      </c>
    </row>
    <row r="18" spans="2:22" ht="273" x14ac:dyDescent="0.3">
      <c r="B18" s="10" t="s">
        <v>60</v>
      </c>
      <c r="C18" s="47" t="s">
        <v>59</v>
      </c>
      <c r="D18" s="10" t="s">
        <v>41</v>
      </c>
      <c r="E18" s="10" t="s">
        <v>42</v>
      </c>
      <c r="F18" s="10" t="s">
        <v>43</v>
      </c>
      <c r="G18" s="10" t="s">
        <v>141</v>
      </c>
      <c r="H18" s="10" t="s">
        <v>45</v>
      </c>
      <c r="I18" s="32" t="s">
        <v>143</v>
      </c>
      <c r="J18" s="10" t="s">
        <v>47</v>
      </c>
      <c r="K18" s="10" t="s">
        <v>48</v>
      </c>
      <c r="L18" s="10" t="s">
        <v>49</v>
      </c>
      <c r="M18" s="10" t="s">
        <v>50</v>
      </c>
      <c r="N18" s="10">
        <v>4.5</v>
      </c>
      <c r="O18" s="10">
        <f>Tableau3[[#This Row],[HJ Dev]]*(25%+25%)</f>
        <v>2.25</v>
      </c>
      <c r="P18" s="10">
        <f>Tableau3[[#This Row],[HJ Analyse et Test]]+Tableau3[[#This Row],[HJ Dev]]</f>
        <v>6.75</v>
      </c>
      <c r="Q18" s="10"/>
      <c r="R18" s="10"/>
      <c r="S18" s="10"/>
      <c r="T18" s="10"/>
      <c r="U18" s="10"/>
      <c r="V18" s="10"/>
    </row>
    <row r="19" spans="2:22" ht="76" customHeight="1" x14ac:dyDescent="0.3">
      <c r="B19" s="10" t="s">
        <v>63</v>
      </c>
      <c r="C19" s="47" t="s">
        <v>149</v>
      </c>
      <c r="D19" s="10" t="s">
        <v>41</v>
      </c>
      <c r="E19" s="10" t="s">
        <v>42</v>
      </c>
      <c r="F19" s="10" t="s">
        <v>43</v>
      </c>
      <c r="G19" s="10" t="s">
        <v>148</v>
      </c>
      <c r="H19" s="10" t="s">
        <v>107</v>
      </c>
      <c r="I19" s="32" t="s">
        <v>147</v>
      </c>
      <c r="J19" s="10" t="s">
        <v>47</v>
      </c>
      <c r="K19" s="10" t="s">
        <v>48</v>
      </c>
      <c r="L19" s="10" t="s">
        <v>49</v>
      </c>
      <c r="M19" s="10" t="s">
        <v>50</v>
      </c>
      <c r="N19" s="10">
        <v>4</v>
      </c>
      <c r="O19" s="46">
        <f>Tableau3[[#This Row],[HJ Dev]]*(25%+25%)</f>
        <v>2</v>
      </c>
      <c r="P19" s="46">
        <f>Tableau3[[#This Row],[HJ Analyse et Test]]+Tableau3[[#This Row],[HJ Dev]]</f>
        <v>6</v>
      </c>
      <c r="Q19" s="10"/>
      <c r="R19" s="10"/>
      <c r="S19" s="10"/>
      <c r="T19" s="10"/>
      <c r="U19" s="10"/>
      <c r="V19" s="10"/>
    </row>
    <row r="20" spans="2:22" ht="91.5" customHeight="1" x14ac:dyDescent="0.3">
      <c r="B20" s="10" t="s">
        <v>66</v>
      </c>
      <c r="C20" s="10" t="s">
        <v>64</v>
      </c>
      <c r="D20" s="10" t="s">
        <v>41</v>
      </c>
      <c r="E20" s="10" t="s">
        <v>42</v>
      </c>
      <c r="F20" s="10" t="s">
        <v>43</v>
      </c>
      <c r="G20" s="10" t="s">
        <v>65</v>
      </c>
      <c r="H20" s="10" t="s">
        <v>45</v>
      </c>
      <c r="I20" s="10" t="s">
        <v>142</v>
      </c>
      <c r="J20" s="10" t="s">
        <v>47</v>
      </c>
      <c r="K20" s="10" t="s">
        <v>48</v>
      </c>
      <c r="L20" s="10" t="s">
        <v>49</v>
      </c>
      <c r="M20" s="10" t="s">
        <v>50</v>
      </c>
      <c r="N20" s="10">
        <v>1</v>
      </c>
      <c r="O20" s="10">
        <f>Tableau3[[#This Row],[HJ Dev]]*(25%+25%)</f>
        <v>0.5</v>
      </c>
      <c r="P20" s="10">
        <f>Tableau3[[#This Row],[HJ Analyse et Test]]+Tableau3[[#This Row],[HJ Dev]]</f>
        <v>1.5</v>
      </c>
      <c r="Q20" s="10"/>
      <c r="R20" s="10"/>
      <c r="S20" s="10"/>
      <c r="T20" s="10"/>
      <c r="U20" s="10"/>
      <c r="V20" s="10"/>
    </row>
    <row r="21" spans="2:22" ht="104.25" customHeight="1" x14ac:dyDescent="0.3">
      <c r="B21" s="10" t="s">
        <v>70</v>
      </c>
      <c r="C21" s="10" t="s">
        <v>67</v>
      </c>
      <c r="D21" s="10" t="s">
        <v>41</v>
      </c>
      <c r="E21" s="10" t="s">
        <v>42</v>
      </c>
      <c r="F21" s="10" t="s">
        <v>43</v>
      </c>
      <c r="G21" s="10" t="s">
        <v>68</v>
      </c>
      <c r="H21" s="10" t="s">
        <v>45</v>
      </c>
      <c r="I21" s="10" t="s">
        <v>69</v>
      </c>
      <c r="J21" s="10" t="s">
        <v>47</v>
      </c>
      <c r="K21" s="10" t="s">
        <v>48</v>
      </c>
      <c r="L21" s="10" t="s">
        <v>49</v>
      </c>
      <c r="M21" s="10" t="s">
        <v>50</v>
      </c>
      <c r="N21" s="10">
        <v>1</v>
      </c>
      <c r="O21" s="10">
        <f>Tableau3[[#This Row],[HJ Dev]]*(25%+25%)</f>
        <v>0.5</v>
      </c>
      <c r="P21" s="10">
        <f>Tableau3[[#This Row],[HJ Analyse et Test]]+Tableau3[[#This Row],[HJ Dev]]</f>
        <v>1.5</v>
      </c>
      <c r="Q21" s="10"/>
      <c r="R21" s="10"/>
      <c r="S21" s="10"/>
      <c r="T21" s="10"/>
      <c r="U21" s="10"/>
      <c r="V21" s="10"/>
    </row>
    <row r="22" spans="2:22" ht="78" x14ac:dyDescent="0.3">
      <c r="B22" s="10" t="s">
        <v>140</v>
      </c>
      <c r="C22" s="10" t="s">
        <v>71</v>
      </c>
      <c r="D22" s="10" t="s">
        <v>41</v>
      </c>
      <c r="E22" s="10" t="s">
        <v>42</v>
      </c>
      <c r="F22" s="10" t="s">
        <v>43</v>
      </c>
      <c r="G22" s="10" t="s">
        <v>72</v>
      </c>
      <c r="H22" s="10" t="s">
        <v>45</v>
      </c>
      <c r="I22" s="32" t="s">
        <v>73</v>
      </c>
      <c r="J22" s="10" t="s">
        <v>47</v>
      </c>
      <c r="K22" s="10" t="s">
        <v>48</v>
      </c>
      <c r="L22" s="10" t="s">
        <v>49</v>
      </c>
      <c r="M22" s="10" t="s">
        <v>50</v>
      </c>
      <c r="N22" s="10">
        <v>3</v>
      </c>
      <c r="O22" s="10">
        <f>Tableau3[[#This Row],[HJ Dev]]*(25%+25%)</f>
        <v>1.5</v>
      </c>
      <c r="P22" s="10">
        <f>Tableau3[[#This Row],[HJ Analyse et Test]]+Tableau3[[#This Row],[HJ Dev]]</f>
        <v>4.5</v>
      </c>
      <c r="Q22" s="10"/>
      <c r="R22" s="10"/>
      <c r="S22" s="10"/>
      <c r="T22" s="10"/>
      <c r="U22" s="10"/>
      <c r="V22" s="10"/>
    </row>
    <row r="23" spans="2:22" ht="65" x14ac:dyDescent="0.3">
      <c r="B23" s="10" t="s">
        <v>150</v>
      </c>
      <c r="C23" s="10" t="s">
        <v>61</v>
      </c>
      <c r="D23" s="10" t="s">
        <v>41</v>
      </c>
      <c r="E23" s="10" t="s">
        <v>42</v>
      </c>
      <c r="F23" s="10" t="s">
        <v>43</v>
      </c>
      <c r="G23" s="10" t="s">
        <v>62</v>
      </c>
      <c r="H23" s="10" t="s">
        <v>45</v>
      </c>
      <c r="I23" s="32" t="s">
        <v>136</v>
      </c>
      <c r="J23" s="10" t="s">
        <v>47</v>
      </c>
      <c r="K23" s="10" t="s">
        <v>48</v>
      </c>
      <c r="L23" s="10" t="s">
        <v>49</v>
      </c>
      <c r="M23" s="10" t="s">
        <v>50</v>
      </c>
      <c r="N23" s="10">
        <v>1</v>
      </c>
      <c r="O23" s="10">
        <f>Tableau3[[#This Row],[HJ Dev]]*(25%+25%)</f>
        <v>0.5</v>
      </c>
      <c r="P23" s="10">
        <f>Tableau3[[#This Row],[HJ Analyse et Test]]+Tableau3[[#This Row],[HJ Dev]]</f>
        <v>1.5</v>
      </c>
      <c r="Q23" s="10"/>
      <c r="R23" s="10"/>
      <c r="S23" s="10"/>
      <c r="T23" s="10"/>
      <c r="U23" s="10"/>
      <c r="V23" s="10"/>
    </row>
    <row r="24" spans="2:22" x14ac:dyDescent="0.3">
      <c r="B24" s="10"/>
      <c r="C24" s="10"/>
      <c r="D24" s="10"/>
      <c r="E24" s="10"/>
      <c r="F24" s="10"/>
      <c r="G24" s="10"/>
      <c r="H24" s="10"/>
      <c r="I24" s="10"/>
      <c r="J24" s="10"/>
      <c r="K24" s="10"/>
      <c r="L24" s="10"/>
      <c r="M24" s="10"/>
      <c r="N24" s="10">
        <f>SUBTOTAL(109,Tableau3[HJ Dev])</f>
        <v>21</v>
      </c>
      <c r="O24" s="10">
        <f>SUBTOTAL(109,Tableau3[HJ Analyse et Test])</f>
        <v>10.5</v>
      </c>
      <c r="P24" s="10">
        <f>SUBTOTAL(109,Tableau3[Total HJ])</f>
        <v>31.5</v>
      </c>
      <c r="Q24" s="10"/>
      <c r="R24" s="10"/>
      <c r="S24" s="10"/>
      <c r="T24" s="10"/>
      <c r="U24" s="10"/>
      <c r="V24" s="10"/>
    </row>
  </sheetData>
  <mergeCells count="3">
    <mergeCell ref="Q2:V2"/>
    <mergeCell ref="B2:M2"/>
    <mergeCell ref="N2:P2"/>
  </mergeCells>
  <phoneticPr fontId="2" type="noConversion"/>
  <dataValidations count="2">
    <dataValidation type="whole" operator="greaterThanOrEqual" allowBlank="1" showInputMessage="1" showErrorMessage="1" sqref="O14:P23" xr:uid="{10E2E794-3894-4CC1-AB1A-9BB5BF41EABB}">
      <formula1>0</formula1>
    </dataValidation>
    <dataValidation type="decimal" operator="greaterThanOrEqual" allowBlank="1" showInputMessage="1" showErrorMessage="1" sqref="N14:N23" xr:uid="{7A3F89F7-3459-4C02-B3E5-6C8E00637FD7}">
      <formula1>0</formula1>
    </dataValidation>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7">
        <x14:dataValidation type="list" allowBlank="1" showInputMessage="1" showErrorMessage="1" xr:uid="{9E253E9F-6967-4CE3-BEC2-E6EF086F8550}">
          <x14:formula1>
            <xm:f>Params!$B$3:$B$10</xm:f>
          </x14:formula1>
          <xm:sqref>D4</xm:sqref>
        </x14:dataValidation>
        <x14:dataValidation type="list" allowBlank="1" showInputMessage="1" showErrorMessage="1" xr:uid="{63E576AD-8CDE-4B1B-8DEC-1BE67CC8DE6D}">
          <x14:formula1>
            <xm:f>Params!$D$3:$D$10</xm:f>
          </x14:formula1>
          <xm:sqref>F14:F23</xm:sqref>
        </x14:dataValidation>
        <x14:dataValidation type="list" allowBlank="1" showInputMessage="1" showErrorMessage="1" xr:uid="{C43D2377-E8A5-4EC4-8F56-2516FCD07F2A}">
          <x14:formula1>
            <xm:f>Params!$E$3:$E$12</xm:f>
          </x14:formula1>
          <xm:sqref>H14:H23</xm:sqref>
        </x14:dataValidation>
        <x14:dataValidation type="list" allowBlank="1" showInputMessage="1" showErrorMessage="1" xr:uid="{06B2A4DB-2A94-4B0B-971B-CDFF438E23BA}">
          <x14:formula1>
            <xm:f>Params!$G$3:$G$9</xm:f>
          </x14:formula1>
          <xm:sqref>M14:M23</xm:sqref>
        </x14:dataValidation>
        <x14:dataValidation type="list" allowBlank="1" showInputMessage="1" showErrorMessage="1" xr:uid="{1F2CF1C1-BE35-4DC9-A975-F49F788F3D6A}">
          <x14:formula1>
            <xm:f>Params!$H$3:$H$6</xm:f>
          </x14:formula1>
          <xm:sqref>K14:K23</xm:sqref>
        </x14:dataValidation>
        <x14:dataValidation type="list" allowBlank="1" showInputMessage="1" showErrorMessage="1" xr:uid="{63FB3CBD-0303-4DD5-A1D9-0AE10EE7B36C}">
          <x14:formula1>
            <xm:f>Params!$C$3:$C$10</xm:f>
          </x14:formula1>
          <xm:sqref>D14:D23</xm:sqref>
        </x14:dataValidation>
        <x14:dataValidation type="list" allowBlank="1" showInputMessage="1" showErrorMessage="1" xr:uid="{ACD971DD-EBC0-49A2-8B0F-955749BFC348}">
          <x14:formula1>
            <xm:f>Params!$I$3:$I$19</xm:f>
          </x14:formula1>
          <xm:sqref>E14:E23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7"/>
  <sheetViews>
    <sheetView zoomScale="80" zoomScaleNormal="80" workbookViewId="0">
      <selection activeCell="I17" sqref="I17"/>
    </sheetView>
  </sheetViews>
  <sheetFormatPr baseColWidth="10" defaultColWidth="11.453125" defaultRowHeight="14.5" x14ac:dyDescent="0.35"/>
  <cols>
    <col min="1" max="1" width="12" style="2" customWidth="1"/>
    <col min="2" max="2" width="10.1796875" style="2" customWidth="1"/>
    <col min="3" max="3" width="11.453125" style="2"/>
    <col min="4" max="4" width="58.26953125" style="2" customWidth="1"/>
    <col min="5" max="5" width="15.81640625" style="2" customWidth="1"/>
    <col min="6" max="6" width="22.26953125" style="2" customWidth="1"/>
    <col min="7" max="7" width="16.54296875" style="2" customWidth="1"/>
    <col min="8" max="16384" width="11.453125" style="2"/>
  </cols>
  <sheetData>
    <row r="2" spans="1:7" ht="15" thickBot="1" x14ac:dyDescent="0.4"/>
    <row r="3" spans="1:7" ht="24" customHeight="1" thickBot="1" x14ac:dyDescent="0.4">
      <c r="A3" s="2" t="s">
        <v>74</v>
      </c>
      <c r="B3" s="43" t="s">
        <v>0</v>
      </c>
      <c r="C3" s="44"/>
      <c r="D3" s="44"/>
      <c r="E3" s="44"/>
      <c r="F3" s="44"/>
      <c r="G3" s="45"/>
    </row>
    <row r="4" spans="1:7" x14ac:dyDescent="0.35">
      <c r="B4" s="4"/>
      <c r="C4" s="5"/>
      <c r="D4" s="5"/>
      <c r="E4" s="5"/>
      <c r="F4" s="5"/>
      <c r="G4" s="5"/>
    </row>
    <row r="5" spans="1:7" x14ac:dyDescent="0.35">
      <c r="B5" s="12" t="str">
        <f>'Gestion Exigences'!B5</f>
        <v>Client</v>
      </c>
      <c r="D5" s="12" t="str">
        <f>'Gestion Exigences'!D5</f>
        <v>CHO</v>
      </c>
      <c r="E5" s="5"/>
      <c r="F5" s="5"/>
      <c r="G5" s="5"/>
    </row>
    <row r="6" spans="1:7" x14ac:dyDescent="0.35">
      <c r="B6" s="12" t="str">
        <f>'Gestion Exigences'!B6</f>
        <v>Projet</v>
      </c>
      <c r="D6" s="12" t="str">
        <f>'Gestion Exigences'!D6</f>
        <v>Colisage</v>
      </c>
      <c r="E6" s="5"/>
      <c r="F6" s="5"/>
      <c r="G6" s="5"/>
    </row>
    <row r="7" spans="1:7" x14ac:dyDescent="0.35">
      <c r="B7" s="12" t="str">
        <f>'Gestion Exigences'!B7</f>
        <v>Réf BPA du Devis</v>
      </c>
      <c r="D7" s="12" t="str">
        <f>'Gestion Exigences'!D7</f>
        <v>S0-00xyz</v>
      </c>
      <c r="E7" s="5"/>
      <c r="F7" s="5"/>
      <c r="G7" s="5"/>
    </row>
    <row r="8" spans="1:7" x14ac:dyDescent="0.35">
      <c r="B8" s="12" t="str">
        <f>'Gestion Exigences'!B8</f>
        <v>Réf BPA du Projet</v>
      </c>
      <c r="D8" s="12" t="str">
        <f>'Gestion Exigences'!D8</f>
        <v>PR-22-0xyz</v>
      </c>
      <c r="E8" s="5"/>
      <c r="F8" s="5"/>
      <c r="G8" s="5"/>
    </row>
    <row r="9" spans="1:7" x14ac:dyDescent="0.35">
      <c r="B9" s="4"/>
      <c r="C9" s="12"/>
      <c r="D9" s="5"/>
      <c r="E9" s="5"/>
      <c r="F9" s="5"/>
      <c r="G9" s="5"/>
    </row>
    <row r="10" spans="1:7" x14ac:dyDescent="0.35">
      <c r="B10" s="21" t="str">
        <f>'Gestion Exigences'!B10</f>
        <v>Réf Modèle Document</v>
      </c>
      <c r="C10" s="22" t="str">
        <f>'Gestion Exigences'!D10</f>
        <v>MD203</v>
      </c>
      <c r="D10" s="5"/>
      <c r="E10" s="5"/>
      <c r="F10" s="5"/>
      <c r="G10" s="5"/>
    </row>
    <row r="11" spans="1:7" x14ac:dyDescent="0.35">
      <c r="B11" s="21" t="str">
        <f>'Gestion Exigences'!B11</f>
        <v>Version Modèle Document</v>
      </c>
      <c r="C11" s="22" t="str">
        <f>'Gestion Exigences'!D11</f>
        <v>V1.5</v>
      </c>
      <c r="D11" s="5"/>
      <c r="E11" s="5"/>
      <c r="F11" s="5"/>
      <c r="G11" s="5"/>
    </row>
    <row r="12" spans="1:7" x14ac:dyDescent="0.35">
      <c r="B12" s="4"/>
      <c r="C12" s="5"/>
      <c r="D12" s="5"/>
      <c r="E12" s="5"/>
      <c r="F12" s="5"/>
      <c r="G12" s="5"/>
    </row>
    <row r="13" spans="1:7" x14ac:dyDescent="0.35">
      <c r="B13" s="13" t="s">
        <v>75</v>
      </c>
      <c r="C13" s="13" t="s">
        <v>76</v>
      </c>
      <c r="D13" s="13" t="s">
        <v>77</v>
      </c>
      <c r="E13" s="13" t="s">
        <v>78</v>
      </c>
      <c r="F13" s="13" t="s">
        <v>79</v>
      </c>
      <c r="G13" s="13" t="s">
        <v>80</v>
      </c>
    </row>
    <row r="14" spans="1:7" ht="29.5" customHeight="1" x14ac:dyDescent="0.35">
      <c r="B14" s="6" t="s">
        <v>81</v>
      </c>
      <c r="C14" s="7">
        <v>45586</v>
      </c>
      <c r="D14" s="19" t="s">
        <v>82</v>
      </c>
      <c r="E14" s="6" t="s">
        <v>83</v>
      </c>
      <c r="F14" s="19" t="s">
        <v>84</v>
      </c>
      <c r="G14" s="6" t="s">
        <v>85</v>
      </c>
    </row>
    <row r="15" spans="1:7" ht="26" x14ac:dyDescent="0.35">
      <c r="B15" s="6" t="s">
        <v>86</v>
      </c>
      <c r="C15" s="7">
        <v>45763</v>
      </c>
      <c r="D15" s="19" t="s">
        <v>87</v>
      </c>
      <c r="E15" s="6" t="s">
        <v>88</v>
      </c>
      <c r="F15" s="19" t="s">
        <v>84</v>
      </c>
      <c r="G15" s="6" t="s">
        <v>85</v>
      </c>
    </row>
    <row r="16" spans="1:7" ht="26" x14ac:dyDescent="0.35">
      <c r="B16" s="6" t="s">
        <v>134</v>
      </c>
      <c r="C16" s="7">
        <v>45818</v>
      </c>
      <c r="D16" s="19" t="s">
        <v>135</v>
      </c>
      <c r="E16" s="6" t="s">
        <v>88</v>
      </c>
      <c r="F16" s="19" t="s">
        <v>84</v>
      </c>
      <c r="G16" s="6" t="s">
        <v>85</v>
      </c>
    </row>
    <row r="17" spans="2:7" ht="26" x14ac:dyDescent="0.35">
      <c r="B17" s="6" t="s">
        <v>145</v>
      </c>
      <c r="C17" s="33">
        <v>45877</v>
      </c>
      <c r="D17" s="19" t="s">
        <v>146</v>
      </c>
      <c r="E17" s="6" t="s">
        <v>88</v>
      </c>
      <c r="F17" s="19" t="s">
        <v>84</v>
      </c>
      <c r="G17" s="6" t="s">
        <v>85</v>
      </c>
    </row>
  </sheetData>
  <mergeCells count="1">
    <mergeCell ref="B3:G3"/>
  </mergeCells>
  <phoneticPr fontId="19" type="noConversion"/>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22"/>
  <sheetViews>
    <sheetView workbookViewId="0">
      <selection activeCell="B4" sqref="B4"/>
    </sheetView>
  </sheetViews>
  <sheetFormatPr baseColWidth="10" defaultColWidth="11.453125" defaultRowHeight="13" x14ac:dyDescent="0.25"/>
  <cols>
    <col min="1" max="2" width="11.453125" style="10"/>
    <col min="3" max="4" width="19.7265625" style="10" customWidth="1"/>
    <col min="5" max="5" width="23.81640625" style="10" customWidth="1"/>
    <col min="6" max="6" width="14.453125" style="10" customWidth="1"/>
    <col min="7" max="7" width="23.81640625" style="10" customWidth="1"/>
    <col min="8" max="8" width="25.1796875" style="10" customWidth="1"/>
    <col min="9" max="9" width="20.453125" style="10" customWidth="1"/>
    <col min="10" max="16384" width="11.453125" style="10"/>
  </cols>
  <sheetData>
    <row r="2" spans="2:9" ht="26" x14ac:dyDescent="0.25">
      <c r="B2" s="11" t="s">
        <v>3</v>
      </c>
      <c r="C2" s="11" t="s">
        <v>20</v>
      </c>
      <c r="D2" s="11" t="s">
        <v>89</v>
      </c>
      <c r="E2" s="11" t="s">
        <v>24</v>
      </c>
      <c r="F2" s="11" t="s">
        <v>90</v>
      </c>
      <c r="G2" s="11" t="s">
        <v>29</v>
      </c>
      <c r="H2" s="11" t="s">
        <v>91</v>
      </c>
      <c r="I2" s="11" t="s">
        <v>21</v>
      </c>
    </row>
    <row r="3" spans="2:9" x14ac:dyDescent="0.25">
      <c r="B3" s="10" t="s">
        <v>92</v>
      </c>
      <c r="C3" s="10" t="s">
        <v>41</v>
      </c>
      <c r="D3" s="10" t="s">
        <v>43</v>
      </c>
      <c r="E3" s="10" t="s">
        <v>93</v>
      </c>
      <c r="F3" s="10" t="s">
        <v>94</v>
      </c>
      <c r="G3" s="10" t="s">
        <v>95</v>
      </c>
      <c r="H3" s="10" t="s">
        <v>48</v>
      </c>
      <c r="I3" s="10" t="s">
        <v>96</v>
      </c>
    </row>
    <row r="4" spans="2:9" x14ac:dyDescent="0.25">
      <c r="B4" s="10" t="s">
        <v>97</v>
      </c>
      <c r="C4" s="10" t="s">
        <v>98</v>
      </c>
      <c r="D4" s="10" t="s">
        <v>99</v>
      </c>
      <c r="E4" s="10" t="s">
        <v>45</v>
      </c>
      <c r="F4" s="10" t="s">
        <v>100</v>
      </c>
      <c r="G4" s="10" t="s">
        <v>101</v>
      </c>
      <c r="H4" s="10" t="s">
        <v>102</v>
      </c>
      <c r="I4" s="10" t="s">
        <v>103</v>
      </c>
    </row>
    <row r="5" spans="2:9" x14ac:dyDescent="0.25">
      <c r="B5" s="10" t="s">
        <v>104</v>
      </c>
      <c r="C5" s="10" t="s">
        <v>105</v>
      </c>
      <c r="D5" s="10" t="s">
        <v>106</v>
      </c>
      <c r="E5" s="10" t="s">
        <v>107</v>
      </c>
      <c r="F5" s="10" t="s">
        <v>50</v>
      </c>
      <c r="G5" s="10" t="s">
        <v>50</v>
      </c>
      <c r="H5" s="10" t="s">
        <v>50</v>
      </c>
      <c r="I5" s="10" t="s">
        <v>108</v>
      </c>
    </row>
    <row r="6" spans="2:9" x14ac:dyDescent="0.25">
      <c r="B6" s="10" t="s">
        <v>4</v>
      </c>
      <c r="C6" s="10" t="s">
        <v>109</v>
      </c>
      <c r="D6" s="10" t="s">
        <v>110</v>
      </c>
      <c r="E6" s="10" t="s">
        <v>111</v>
      </c>
      <c r="I6" s="10" t="s">
        <v>112</v>
      </c>
    </row>
    <row r="7" spans="2:9" x14ac:dyDescent="0.25">
      <c r="B7" s="10" t="s">
        <v>113</v>
      </c>
      <c r="C7" s="10" t="s">
        <v>114</v>
      </c>
      <c r="D7" s="10" t="s">
        <v>115</v>
      </c>
      <c r="E7" s="10" t="s">
        <v>116</v>
      </c>
      <c r="I7" s="10" t="s">
        <v>117</v>
      </c>
    </row>
    <row r="8" spans="2:9" x14ac:dyDescent="0.25">
      <c r="B8" s="10" t="s">
        <v>118</v>
      </c>
      <c r="C8" s="10" t="s">
        <v>119</v>
      </c>
      <c r="E8" s="10" t="s">
        <v>120</v>
      </c>
      <c r="I8" s="10" t="s">
        <v>121</v>
      </c>
    </row>
    <row r="9" spans="2:9" x14ac:dyDescent="0.25">
      <c r="B9" s="10" t="s">
        <v>122</v>
      </c>
      <c r="E9" s="10" t="s">
        <v>123</v>
      </c>
      <c r="I9" s="10" t="s">
        <v>124</v>
      </c>
    </row>
    <row r="10" spans="2:9" x14ac:dyDescent="0.25">
      <c r="I10" s="10" t="s">
        <v>125</v>
      </c>
    </row>
    <row r="11" spans="2:9" x14ac:dyDescent="0.25">
      <c r="I11" s="10" t="s">
        <v>126</v>
      </c>
    </row>
    <row r="13" spans="2:9" x14ac:dyDescent="0.25">
      <c r="I13" s="10" t="s">
        <v>127</v>
      </c>
    </row>
    <row r="14" spans="2:9" x14ac:dyDescent="0.25">
      <c r="I14" s="10" t="s">
        <v>128</v>
      </c>
    </row>
    <row r="15" spans="2:9" x14ac:dyDescent="0.25">
      <c r="I15" s="10" t="s">
        <v>42</v>
      </c>
    </row>
    <row r="16" spans="2:9" x14ac:dyDescent="0.25">
      <c r="I16" s="10" t="s">
        <v>56</v>
      </c>
    </row>
    <row r="17" spans="9:9" x14ac:dyDescent="0.25">
      <c r="I17" s="10" t="s">
        <v>129</v>
      </c>
    </row>
    <row r="18" spans="9:9" x14ac:dyDescent="0.25">
      <c r="I18" s="10" t="s">
        <v>130</v>
      </c>
    </row>
    <row r="19" spans="9:9" x14ac:dyDescent="0.25">
      <c r="I19" s="10" t="s">
        <v>131</v>
      </c>
    </row>
    <row r="21" spans="9:9" x14ac:dyDescent="0.25">
      <c r="I21" s="10" t="s">
        <v>132</v>
      </c>
    </row>
    <row r="22" spans="9:9" ht="26" x14ac:dyDescent="0.25">
      <c r="I22" s="10" t="s">
        <v>133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2f9e80-f74a-40c7-b145-b94d8e4966f0">
      <Terms xmlns="http://schemas.microsoft.com/office/infopath/2007/PartnerControls"/>
    </lcf76f155ced4ddcb4097134ff3c332f>
    <TaxCatchAll xmlns="43b908ec-9e92-424c-a4ad-3174bac6e888" xsi:nil="true"/>
  </documentManagement>
</p:properties>
</file>

<file path=customXml/itemProps1.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2.xml><?xml version="1.0" encoding="utf-8"?>
<ds:datastoreItem xmlns:ds="http://schemas.openxmlformats.org/officeDocument/2006/customXml" ds:itemID="{5DA4E6E3-EB35-49BA-A462-C2A257B15DEF}"/>
</file>

<file path=customXml/itemProps3.xml><?xml version="1.0" encoding="utf-8"?>
<ds:datastoreItem xmlns:ds="http://schemas.openxmlformats.org/officeDocument/2006/customXml" ds:itemID="{85503822-DF13-4051-A489-72B75648E37A}">
  <ds:schemaRefs>
    <ds:schemaRef ds:uri="http://schemas.microsoft.com/office/2006/metadata/properties"/>
    <ds:schemaRef ds:uri="http://schemas.microsoft.com/office/infopath/2007/PartnerControls"/>
    <ds:schemaRef ds:uri="5f2f9e80-f74a-40c7-b145-b94d8e4966f0"/>
    <ds:schemaRef ds:uri="43b908ec-9e92-424c-a4ad-3174bac6e88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Moatez Derbala</cp:lastModifiedBy>
  <cp:revision/>
  <dcterms:created xsi:type="dcterms:W3CDTF">2000-07-05T17:03:55Z</dcterms:created>
  <dcterms:modified xsi:type="dcterms:W3CDTF">2025-08-14T15:48:51Z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