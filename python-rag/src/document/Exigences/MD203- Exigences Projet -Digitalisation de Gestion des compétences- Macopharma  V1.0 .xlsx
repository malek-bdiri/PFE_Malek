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addixo.sharepoint.com/COM/Documents partages/02 Prospects/Macopharma/8 SF/02 Digitalisation de la gestion des compétences/2 Préparation Offre/"/>
    </mc:Choice>
  </mc:AlternateContent>
  <xr:revisionPtr revIDLastSave="72" documentId="8_{601F26AD-FD14-4E79-826B-D7DBFE582FF6}" xr6:coauthVersionLast="47" xr6:coauthVersionMax="47" xr10:uidLastSave="{C083EB85-9557-4FA9-93FC-AF2CFE10692C}"/>
  <bookViews>
    <workbookView xWindow="28680" yWindow="-120" windowWidth="29040" windowHeight="15720" tabRatio="620" xr2:uid="{00000000-000D-0000-FFFF-FFFF00000000}"/>
  </bookViews>
  <sheets>
    <sheet name="Gestion Exigences" sheetId="27" r:id="rId1"/>
    <sheet name="Modifs Doc" sheetId="29" r:id="rId2"/>
    <sheet name="Params" sheetId="30" r:id="rId3"/>
  </sheets>
  <definedNames>
    <definedName name="_xlnm.Print_Area" localSheetId="0">'Gestion Exigences'!$C$2:$I$22</definedName>
    <definedName name="_xlnm.Print_Area" localSheetId="1">'Modifs Doc'!$B$2:$G$18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 i="27" l="1"/>
  <c r="P17" i="27" s="1"/>
  <c r="O18" i="27" l="1"/>
  <c r="P18" i="27" s="1"/>
  <c r="O15" i="27"/>
  <c r="P15" i="27" s="1"/>
  <c r="O20" i="27"/>
  <c r="P20" i="27" s="1"/>
  <c r="O14" i="27"/>
  <c r="P14" i="27" s="1"/>
  <c r="O16" i="27"/>
  <c r="P16" i="27" s="1"/>
  <c r="O19" i="27"/>
  <c r="P19" i="27" s="1"/>
  <c r="O21" i="27"/>
  <c r="P21" i="27" s="1"/>
  <c r="O22" i="27"/>
  <c r="P22" i="27" s="1"/>
  <c r="D7" i="29"/>
  <c r="D8" i="29"/>
  <c r="C10" i="29"/>
  <c r="C11" i="29"/>
  <c r="B6" i="29"/>
  <c r="B7" i="29"/>
  <c r="B8" i="29"/>
  <c r="B10" i="29"/>
  <c r="B11" i="29"/>
  <c r="B5" i="29"/>
  <c r="P23" i="27" l="1"/>
</calcChain>
</file>

<file path=xl/sharedStrings.xml><?xml version="1.0" encoding="utf-8"?>
<sst xmlns="http://schemas.openxmlformats.org/spreadsheetml/2006/main" count="196" uniqueCount="136">
  <si>
    <t>Gestion Exigences Projet</t>
  </si>
  <si>
    <t>Chiffrage Réalisation (SF only)</t>
  </si>
  <si>
    <t>Revue et Vérification Pendant la Conception</t>
  </si>
  <si>
    <t>BU</t>
  </si>
  <si>
    <t>A définir</t>
  </si>
  <si>
    <t>Client</t>
  </si>
  <si>
    <t>Projet</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</si>
  <si>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</si>
  <si>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</si>
  <si>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</si>
  <si>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</si>
  <si>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</si>
  <si>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</si>
  <si>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</si>
  <si>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</si>
  <si>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</si>
  <si>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</si>
  <si>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</si>
  <si>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</si>
  <si>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</si>
  <si>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</si>
  <si>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</si>
  <si>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</si>
  <si>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</si>
  <si>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</si>
  <si>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</si>
  <si>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</si>
  <si>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</si>
  <si>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</si>
  <si>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</si>
  <si>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</si>
  <si>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</si>
  <si>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</si>
  <si>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</si>
  <si>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N/A</t>
  </si>
  <si>
    <t>E002</t>
  </si>
  <si>
    <t>E003</t>
  </si>
  <si>
    <t>E004</t>
  </si>
  <si>
    <t>E005</t>
  </si>
  <si>
    <t>E006</t>
  </si>
  <si>
    <t>E007</t>
  </si>
  <si>
    <t>E008</t>
  </si>
  <si>
    <t xml:space="preserve"> </t>
  </si>
  <si>
    <t>Version</t>
  </si>
  <si>
    <t>Date</t>
  </si>
  <si>
    <t>Modifications</t>
  </si>
  <si>
    <t>Auteur(s)</t>
  </si>
  <si>
    <t>Vérificateur(s)</t>
  </si>
  <si>
    <t>Approbateur</t>
  </si>
  <si>
    <t>Imed A.</t>
  </si>
  <si>
    <t>Exigence identifiée pendant la phase</t>
  </si>
  <si>
    <t>Oui/Non</t>
  </si>
  <si>
    <t>Statut Interne</t>
  </si>
  <si>
    <t>SE</t>
  </si>
  <si>
    <t>Fonctionnelle</t>
  </si>
  <si>
    <t>Commerciale</t>
  </si>
  <si>
    <t>CdC client</t>
  </si>
  <si>
    <t>Oui</t>
  </si>
  <si>
    <t>Validée par le client</t>
  </si>
  <si>
    <t>Validée</t>
  </si>
  <si>
    <t>*** SE</t>
  </si>
  <si>
    <t>SE-TN</t>
  </si>
  <si>
    <t>Performance</t>
  </si>
  <si>
    <t>Conception</t>
  </si>
  <si>
    <t>Workshop/réunion client</t>
  </si>
  <si>
    <t>Non</t>
  </si>
  <si>
    <t>Non validée par client</t>
  </si>
  <si>
    <t>Non validée</t>
  </si>
  <si>
    <t>SE-Processus</t>
  </si>
  <si>
    <t>SE-MA</t>
  </si>
  <si>
    <t>Reglementaire</t>
  </si>
  <si>
    <t>Réalisation</t>
  </si>
  <si>
    <t>Workshop/réunion Interne</t>
  </si>
  <si>
    <t>SE-Mécanique</t>
  </si>
  <si>
    <t>SF</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</si>
  <si>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</si>
  <si>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</si>
  <si>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</si>
  <si>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</si>
  <si>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</si>
  <si>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</si>
  <si>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</si>
  <si>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</si>
  <si>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</si>
  <si>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</si>
  <si>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</si>
  <si>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</si>
  <si>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</si>
  <si>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Demande modification</t>
  </si>
  <si>
    <t>SE-Fabrication</t>
  </si>
  <si>
    <t>SE-Intégration</t>
  </si>
  <si>
    <t>SE-Achats</t>
  </si>
  <si>
    <t>*** SF</t>
  </si>
  <si>
    <t>SF-Processus</t>
  </si>
  <si>
    <t>SF-Fonctionnelle</t>
  </si>
  <si>
    <t>SF-Connectivité Machine</t>
  </si>
  <si>
    <t>SF-Intégration SI</t>
  </si>
  <si>
    <t>SF-Software</t>
  </si>
  <si>
    <t>SF-Infra IT</t>
  </si>
  <si>
    <t>*** TC</t>
  </si>
  <si>
    <t>TC-Prestations sur site client</t>
  </si>
  <si>
    <t>V1.0</t>
  </si>
  <si>
    <t xml:space="preserve">Version initiale </t>
  </si>
  <si>
    <t>Nihel K.</t>
  </si>
  <si>
    <t xml:space="preserve">Mahdi B. + Ferjania BA </t>
  </si>
  <si>
    <t>Gestion des utilisateurs</t>
  </si>
  <si>
    <t>Gestion des rôles , d'accès et des utilisateurs</t>
  </si>
  <si>
    <t>Gestion des compètences et des niveaux de compètences des opérateurs</t>
  </si>
  <si>
    <t xml:space="preserve">Gestion des shifts et des équipes </t>
  </si>
  <si>
    <t>Gestion des shifts et des équipes pour affecter les opérateurs à des shifts spécifiques en fonction de leur équipe.</t>
  </si>
  <si>
    <t>Suivi des opérations en temps réel</t>
  </si>
  <si>
    <t>RAS</t>
  </si>
  <si>
    <t>Macopharma</t>
  </si>
  <si>
    <t>Gestion des compétences</t>
  </si>
  <si>
    <t>Digitalisation de la gestion des compétences</t>
  </si>
  <si>
    <t>Affectation Opérateur/Poste</t>
  </si>
  <si>
    <t>Configuration de l'usine</t>
  </si>
  <si>
    <t>Gestion des sites , ateliers , lignes et postes de travail</t>
  </si>
  <si>
    <t>La solution propose un module de Configuartion de l'usine qui permet de :
- Créer et gérer des sites.
- Créer et gérer des ateliers, et les affecter aux sites.
- Créer et gérer des lignes, et les affecter aux ateliers.
- Créer et gérer des postes de travail, et les affecter aux lignes.
- Modifier et supprimer ces entités en cas de besoin.</t>
  </si>
  <si>
    <t>Gestion des opérations</t>
  </si>
  <si>
    <t>Gestion des opérations et affectation des opérations aux postes de travail ainsi qu'aux compétences requises.</t>
  </si>
  <si>
    <t>Affectation des opérateurs  aux poste par shift en fonction de leur niveau de maîtrise des compétences associées.</t>
  </si>
  <si>
    <t>La solution propose un module de gestion des shifts, des équipes et d'affection shift/équipe qui permet:
- La création et la gestion des shifts (type , horaire , planification) 
- La création et la gestion des équipes en attribuant à chaque équipe un nom et un superviseur ou un chef de ligne.
- L'affectation des équipes à des shifts spécifiques
- Définition des plannings réguliers ou récurrents pour chaque équipe par shift</t>
  </si>
  <si>
    <r>
      <t xml:space="preserve">La solution propose un module de gestion des compétences qui permet:
- La création et la gestions des compétences 
- L'attribution d'un niveau de compétence (évalué sur une échelle de 5) à chaque opérateur en fonction de leur maîtrise pour chaque compétence.
- Le filtrage pour faciliter la recherche des compétences, des opérateurs ou des niveaux de compétence.
- La mise à jour des compétences et des niveaux de compétences des opérateurs  au besoin
</t>
    </r>
    <r>
      <rPr>
        <b/>
        <sz val="10"/>
        <rFont val="Calibri Light"/>
        <family val="2"/>
        <scheme val="major"/>
      </rPr>
      <t xml:space="preserve">Adaptation : </t>
    </r>
    <r>
      <rPr>
        <sz val="10"/>
        <rFont val="Calibri Light"/>
        <family val="2"/>
        <scheme val="major"/>
      </rPr>
      <t xml:space="preserve">
- Changer l'échelle par pourcentage (de 0 à 100%)
</t>
    </r>
  </si>
  <si>
    <t xml:space="preserve">
La solution propose un module de Gestion des opérations en usine qui permet :
- Créer et gérer des opérations en spécifiant un code, un nom, une description, le temps opératoire et le temps de setup.
- Affecter les opérations aux postes de travail.
- Affecter les opérations aux compétences requises déjà configurées.</t>
  </si>
  <si>
    <r>
      <rPr>
        <b/>
        <sz val="10"/>
        <rFont val="Calibri Light"/>
        <family val="2"/>
        <scheme val="major"/>
      </rPr>
      <t>Adaptation</t>
    </r>
    <r>
      <rPr>
        <sz val="10"/>
        <rFont val="Calibri Light"/>
        <family val="2"/>
        <scheme val="major"/>
      </rPr>
      <t xml:space="preserve">
La solution propose d'ajouter une nouvelle interface dédiée aux chefs de ligne, nommée  "Affectation opérateur-postes", qui permet de :
- Sélectionner le shift et le poste, ainsi que les opérations associées au poste et les compétences requises pour l'opération.
- Afficher dans une liste les opérateurs disponibles  ayant les compétences nécessaires, en montrant leur niveau de compétence.
- Affecter l'opérateur convenable pour effectuer l'opération sur le poste sélectionné pendant le shift choisi.
- Sauvegarder les affectations opérateur-poste  dans le système avec les détails de l'opérateur, du chef de ligne, du poste, de l'opération, des compétences attribuées, du shift sélectionné et de la date de l'affectation pour une traçabilité complète.</t>
    </r>
  </si>
  <si>
    <t>Historique des affectations</t>
  </si>
  <si>
    <t>Historiser les données des affectations opérateur/poste</t>
  </si>
  <si>
    <t>Suivi en temps réel de chaque opération/ poste de travail</t>
  </si>
  <si>
    <r>
      <rPr>
        <b/>
        <sz val="10"/>
        <rFont val="Calibri Light"/>
        <family val="2"/>
        <scheme val="major"/>
      </rPr>
      <t>Adaptation</t>
    </r>
    <r>
      <rPr>
        <sz val="10"/>
        <rFont val="Calibri Light"/>
        <family val="2"/>
        <scheme val="major"/>
      </rPr>
      <t xml:space="preserve">
La solution propose d'ajouter une nouvelle  interface "Suivi des Postes de travail "  qui permet l'affichage en temps réel des postes  avec les données essentielles : 
- L'opération en cours d'exécution
- Matricule de l' opérateur affecté 
- Leur niveau de compétence correspondant.
- Le temps planifié et le temps réel d'exécution.
- Un code couleur pour distinguer les postes occupés des postes disponibles.
- Taux d'occupation</t>
    </r>
  </si>
  <si>
    <r>
      <rPr>
        <b/>
        <sz val="10"/>
        <rFont val="Calibri Light"/>
        <family val="2"/>
        <scheme val="major"/>
      </rPr>
      <t xml:space="preserve">Adaptation
</t>
    </r>
    <r>
      <rPr>
        <sz val="10"/>
        <rFont val="Calibri Light"/>
        <family val="2"/>
        <scheme val="major"/>
      </rPr>
      <t>La solution propose d'intégrer une analyse rétrospective de la performance en mettant en place une nouvelle interface "Historique", où les données d'affectation incluant les opérateurs, les niveaux de compétence, les temps planifiés et réels, ainsi que les indicateurs de performance, sont enregistrées par shift.</t>
    </r>
  </si>
  <si>
    <r>
      <t xml:space="preserve">La solution propose un module de gestion des accès qui permet :
- La création et la gestion des rôles (opérateur, superviseur, administrateur...) .
</t>
    </r>
    <r>
      <rPr>
        <sz val="11"/>
        <rFont val="Calibri Light"/>
        <family val="2"/>
        <scheme val="major"/>
      </rPr>
      <t xml:space="preserve">- </t>
    </r>
    <r>
      <rPr>
        <sz val="10"/>
        <rFont val="Calibri Light"/>
        <family val="2"/>
        <scheme val="major"/>
      </rPr>
      <t xml:space="preserve">L'association des autorisations et des permissions spécifiques par rôle.
- La création et la gestion des utilisateurs avec les informations nécessaires (Identfiant , e-mail, etc).
- L'imporation d'une liste d'utilisateurs via des fichiers CSV 
</t>
    </r>
    <r>
      <rPr>
        <b/>
        <sz val="10"/>
        <rFont val="Calibri Light"/>
        <family val="2"/>
        <scheme val="major"/>
      </rPr>
      <t xml:space="preserve">Adaptation:
</t>
    </r>
    <r>
      <rPr>
        <sz val="10"/>
        <rFont val="Calibri Light"/>
        <family val="2"/>
        <scheme val="major"/>
      </rPr>
      <t>-Ajouter un champ "Date d'embauche"  au niveau de l'interface "Gestion des utilisaterus"</t>
    </r>
  </si>
  <si>
    <t>E009</t>
  </si>
  <si>
    <t>Analyse des compétences</t>
  </si>
  <si>
    <t>Analyse et suivi de la polyvalences de la productiions</t>
  </si>
  <si>
    <r>
      <rPr>
        <b/>
        <sz val="10"/>
        <rFont val="Calibri Light"/>
        <family val="2"/>
        <scheme val="major"/>
      </rPr>
      <t xml:space="preserve">Adaptation:
</t>
    </r>
    <r>
      <rPr>
        <sz val="10"/>
        <rFont val="Calibri Light"/>
        <family val="2"/>
        <scheme val="major"/>
      </rPr>
      <t>La solution propose d'ajouter une nouvelle interface qui permet de :
- Afficher le nombre d'opérateurs possédant une compétence donnée à chaque niveau de maîtrise (0%, 25%, 50%, 75%, 100%).
- Présenter le nombre total d'opérateurs pour chaque compétence.
- Calculer et afficher la note moyenne de chaque opérateur pour l'ensemble des compétences (pondérée par les niveaux de maîtrise).
- Mettre à jour automatiquement les analyses en cas de modification des données.
- Filtrer les données selon les besoins.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</si>
</sst>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s>
  <fills count="5">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7">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5" fillId="0" borderId="0" xfId="0" applyFont="1" applyAlignment="1">
      <alignment horizontal="left"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 fillId="0" borderId="0" xfId="0" applyNumberFormat="1" applyFont="1" applyAlignment="1">
      <alignment vertical="center" wrapText="1"/>
    </xf>
  </cellXfs>
  <cellStyles count="1">
    <cellStyle name="Normal" xfId="0" builtinId="0"/>
  </cellStyles>
  <dxfs count="52">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201706</xdr:colOff>
      <xdr:row>2</xdr:row>
      <xdr:rowOff>112059</xdr:rowOff>
    </xdr:from>
    <xdr:to>
      <xdr:col>2</xdr:col>
      <xdr:colOff>1288591</xdr:colOff>
      <xdr:row>2</xdr:row>
      <xdr:rowOff>561093</xdr:rowOff>
    </xdr:to>
    <xdr:pic>
      <xdr:nvPicPr>
        <xdr:cNvPr id="2" name="Image 1">
          <a:extLst>
            <a:ext uri="{FF2B5EF4-FFF2-40B4-BE49-F238E27FC236}">
              <a16:creationId xmlns:a16="http://schemas.microsoft.com/office/drawing/2014/main" id="{468FDDBE-FF59-4CE8-923A-218408949520}"/>
            </a:ext>
          </a:extLst>
        </xdr:cNvPr>
        <xdr:cNvPicPr/>
      </xdr:nvPicPr>
      <xdr:blipFill>
        <a:blip xmlns:r="http://schemas.openxmlformats.org/officeDocument/2006/relationships" r:embed="rId1"/>
        <a:stretch>
          <a:fillRect/>
        </a:stretch>
      </xdr:blipFill>
      <xdr:spPr>
        <a:xfrm>
          <a:off x="963706" y="560294"/>
          <a:ext cx="1495153" cy="4490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23" totalsRowCount="1" headerRowDxfId="51" dataDxfId="50">
  <autoFilter ref="B13:V22" xr:uid="{DDEA2C8B-EE0D-4C55-9256-CCC64E002CE6}"/>
  <tableColumns count="21">
    <tableColumn id="1" xr3:uid="{E467E0EE-CDAA-4FF5-85A8-CDC0B23A5AD9}" name="ID" dataDxfId="49" totalsRowDxfId="20"/>
    <tableColumn id="2" xr3:uid="{E53952AC-4972-47BD-8B1D-C7EF23088D0D}" name="Intitulé Exigence" dataDxfId="48" totalsRowDxfId="19"/>
    <tableColumn id="8" xr3:uid="{B2D0BC2C-C803-4015-8FA6-70F84517BDB2}" name="Nature" dataDxfId="47" totalsRowDxfId="18"/>
    <tableColumn id="7" xr3:uid="{24F2F0ED-022E-4EC1-91D8-BFE0E4F2FD36}" name="Catégorie" dataDxfId="46" totalsRowDxfId="17"/>
    <tableColumn id="10" xr3:uid="{1FF81CF1-6D35-421C-8767-9E7FA06FEE6A}" name="Exigence idenfiée pendant la phase" dataDxfId="45" totalsRowDxfId="16"/>
    <tableColumn id="3" xr3:uid="{E7621A68-9552-4853-96A5-92A226EA42DD}" name="Description de l'exigence" dataDxfId="44" totalsRowDxfId="15"/>
    <tableColumn id="9" xr3:uid="{E6EEEC82-3576-4980-94B3-1423906CE531}" name="Source" dataDxfId="43" totalsRowDxfId="14"/>
    <tableColumn id="16" xr3:uid="{1441554A-79F9-4040-9CF5-AEBFF7ADF7D1}" name="Desciption de la solution ADDIXO" dataDxfId="42" totalsRowDxfId="13"/>
    <tableColumn id="17" xr3:uid="{D1BC9C86-C3CE-417F-AC83-FC4786A7656D}" name="Ecart entre exigence client et la solution proposée - préciser aussi les limites et hypothèses si applicable" dataDxfId="41" totalsRowDxfId="12"/>
    <tableColumn id="5" xr3:uid="{2649C3B7-E8B9-44F9-8883-E5BB6F91B4B1}" name="Validation Interne" dataDxfId="40" totalsRowDxfId="11"/>
    <tableColumn id="6" xr3:uid="{8CC493F8-0886-498D-AB98-B77300CC6510}" name="Validation Interne par:" dataDxfId="39" totalsRowDxfId="10"/>
    <tableColumn id="15" xr3:uid="{78231C60-0932-4386-925D-4C689A91C0E3}" name="Statut Client" dataDxfId="38" totalsRowDxfId="9"/>
    <tableColumn id="22" xr3:uid="{D944A0FD-E468-407F-91A6-BD8A29086A7B}" name="HJ Dev" dataDxfId="37" totalsRowDxfId="8"/>
    <tableColumn id="21" xr3:uid="{818C68C5-1CC3-4DC9-9BB8-2CB7816ABE9F}" name="HJ Analyse et Test" dataDxfId="36" totalsRowDxfId="7">
      <calculatedColumnFormula>Tableau3[[#This Row],[HJ Dev]]*(25%+25%)</calculatedColumnFormula>
    </tableColumn>
    <tableColumn id="20" xr3:uid="{81CB5860-4285-4425-ABF9-C91F3323BF25}" name="Total HJ" totalsRowFunction="sum" dataDxfId="35" totalsRowDxfId="6">
      <calculatedColumnFormula>Tableau3[[#This Row],[HJ Analyse et Test]]+Tableau3[[#This Row],[HJ Dev]]</calculatedColumnFormula>
    </tableColumn>
    <tableColumn id="11" xr3:uid="{20685332-73A9-4B9D-874E-F1C9F770405F}" name="Description comment la conception de la solution prend en compte l'exigence client" dataDxfId="34" totalsRowDxfId="5"/>
    <tableColumn id="12" xr3:uid="{36B390F4-625A-46E1-864B-7108903FFD96}" name="Conception réalisée par:" dataDxfId="33" totalsRowDxfId="4"/>
    <tableColumn id="13" xr3:uid="{9016419E-83A5-4950-AB28-EA27A0D72FAD}" name="Revue conception réalisée par" dataDxfId="32" totalsRowDxfId="3"/>
    <tableColumn id="14" xr3:uid="{B5F29B7E-09EB-43EF-BD3D-9ADF38F7CC12}" name="Vérification de la conception réalisée par" dataDxfId="31" totalsRowDxfId="2"/>
    <tableColumn id="18" xr3:uid="{0CA25C90-64D6-43D5-90C8-CE6D70CCA638}" name="Preuve de vérification " dataDxfId="30" totalsRowDxfId="1"/>
    <tableColumn id="4" xr3:uid="{B7406A3A-A365-4F76-9A20-372573D19BC9}" name="Notes" dataDxfId="29"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28" dataDxfId="27">
  <autoFilter ref="B13:G18" xr:uid="{96AD1385-A1F5-4391-ABC2-C9F250557626}"/>
  <tableColumns count="6">
    <tableColumn id="1" xr3:uid="{56DA355E-F205-482A-9CF1-CA3361A1D801}" name="Version" dataDxfId="26"/>
    <tableColumn id="2" xr3:uid="{C9D8A0D7-1D6E-479B-AF74-6D39D19E4653}" name="Date" dataDxfId="25"/>
    <tableColumn id="3" xr3:uid="{79109713-8A38-4162-A269-136157905B75}" name="Modifications" dataDxfId="24"/>
    <tableColumn id="4" xr3:uid="{AC928B3E-399C-4A3D-9FB5-9CD96F5D4745}" name="Auteur(s)" dataDxfId="23"/>
    <tableColumn id="5" xr3:uid="{0D0A428D-4F18-4D4E-A0CB-4D1A5057B6E9}" name="Vérificateur(s)" dataDxfId="22"/>
    <tableColumn id="6" xr3:uid="{D81EAB57-FBCA-44D9-8F45-58AF13AA08B6}" name="Approbateur" dataDxfId="21"/>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23"/>
  <sheetViews>
    <sheetView tabSelected="1" topLeftCell="H8" zoomScale="115" zoomScaleNormal="115" workbookViewId="0">
      <selection activeCell="L14" sqref="L14"/>
    </sheetView>
  </sheetViews>
  <sheetFormatPr defaultColWidth="11.453125" defaultRowHeight="13" x14ac:dyDescent="0.3"/>
  <cols>
    <col min="1" max="1" width="11.453125" style="1"/>
    <col min="2" max="2" width="6.1796875" style="1" customWidth="1"/>
    <col min="3" max="3" width="27.453125" style="1" customWidth="1"/>
    <col min="4" max="4" width="24" style="1" customWidth="1"/>
    <col min="5" max="5" width="18.26953125" style="1" customWidth="1"/>
    <col min="6" max="6" width="19.453125" style="1" customWidth="1"/>
    <col min="7" max="7" width="56.54296875" style="1" customWidth="1"/>
    <col min="8" max="8" width="18.453125" style="1" customWidth="1"/>
    <col min="9" max="9" width="95" style="1" customWidth="1"/>
    <col min="10" max="10" width="33.1796875" style="1" customWidth="1"/>
    <col min="11" max="12" width="13.54296875" style="1" customWidth="1"/>
    <col min="13" max="13" width="15.26953125" style="1" customWidth="1"/>
    <col min="14" max="14" width="11.81640625" style="1" customWidth="1"/>
    <col min="15" max="15" width="15.453125" style="1" customWidth="1"/>
    <col min="16" max="16" width="13.7265625" style="1" customWidth="1"/>
    <col min="17" max="17" width="39.81640625" style="1" customWidth="1"/>
    <col min="18" max="18" width="15.7265625" style="1" customWidth="1"/>
    <col min="19" max="19" width="20.54296875" style="1" customWidth="1"/>
    <col min="20" max="20" width="20.1796875" style="1" customWidth="1"/>
    <col min="21" max="21" width="15.1796875" style="1" customWidth="1"/>
    <col min="22" max="22" width="30.81640625" style="1" customWidth="1"/>
    <col min="23" max="16384" width="11.453125" style="1"/>
  </cols>
  <sheetData>
    <row r="1" spans="2:22" ht="13.5" thickBot="1" x14ac:dyDescent="0.35"/>
    <row r="2" spans="2:22" ht="21.75" customHeight="1" thickBot="1" x14ac:dyDescent="0.5">
      <c r="B2" s="36" t="s">
        <v>0</v>
      </c>
      <c r="C2" s="37"/>
      <c r="D2" s="37"/>
      <c r="E2" s="37"/>
      <c r="F2" s="37"/>
      <c r="G2" s="37"/>
      <c r="H2" s="37"/>
      <c r="I2" s="37"/>
      <c r="J2" s="37"/>
      <c r="K2" s="37"/>
      <c r="L2" s="37"/>
      <c r="M2" s="38"/>
      <c r="N2" s="39" t="s">
        <v>1</v>
      </c>
      <c r="O2" s="40"/>
      <c r="P2" s="41"/>
      <c r="Q2" s="33" t="s">
        <v>2</v>
      </c>
      <c r="R2" s="34"/>
      <c r="S2" s="34"/>
      <c r="T2" s="34"/>
      <c r="U2" s="34"/>
      <c r="V2" s="35"/>
    </row>
    <row r="3" spans="2:22" ht="53.25" customHeight="1" x14ac:dyDescent="0.3">
      <c r="C3" s="8"/>
      <c r="D3" s="8"/>
      <c r="E3" s="8"/>
      <c r="F3" s="8"/>
      <c r="G3" s="8"/>
      <c r="H3" s="8"/>
      <c r="I3" s="8"/>
    </row>
    <row r="4" spans="2:22" ht="21" customHeight="1" x14ac:dyDescent="0.3">
      <c r="B4" s="30" t="s">
        <v>3</v>
      </c>
      <c r="C4" s="8"/>
      <c r="D4" s="31" t="s">
        <v>74</v>
      </c>
      <c r="E4" s="8"/>
      <c r="F4" s="8"/>
      <c r="G4" s="8"/>
      <c r="H4" s="8"/>
      <c r="I4" s="8"/>
    </row>
    <row r="5" spans="2:22" ht="21.75" customHeight="1" x14ac:dyDescent="0.35">
      <c r="B5" s="27" t="s">
        <v>5</v>
      </c>
      <c r="D5" s="3" t="s">
        <v>112</v>
      </c>
      <c r="E5" s="3"/>
      <c r="F5" s="3"/>
      <c r="G5" s="3"/>
      <c r="H5" s="3"/>
      <c r="I5" s="3"/>
    </row>
    <row r="6" spans="2:22" ht="33" customHeight="1" x14ac:dyDescent="0.35">
      <c r="B6" s="27" t="s">
        <v>6</v>
      </c>
      <c r="D6" s="42" t="s">
        <v>114</v>
      </c>
      <c r="E6" s="42"/>
      <c r="F6" s="3"/>
      <c r="G6" s="3"/>
      <c r="H6" s="3"/>
      <c r="I6" s="3"/>
    </row>
    <row r="7" spans="2:22" ht="20.5" customHeight="1" x14ac:dyDescent="0.35">
      <c r="B7" s="27"/>
      <c r="D7" s="3"/>
      <c r="E7" s="3"/>
      <c r="F7" s="3"/>
      <c r="G7" s="3"/>
      <c r="H7" s="3"/>
      <c r="I7" s="3"/>
    </row>
    <row r="8" spans="2:22" ht="21.65" customHeight="1" x14ac:dyDescent="0.35">
      <c r="B8" s="27"/>
      <c r="D8" s="3"/>
      <c r="E8" s="3"/>
      <c r="F8" s="3"/>
      <c r="G8" s="3"/>
      <c r="H8" s="3"/>
      <c r="I8" s="3"/>
    </row>
    <row r="9" spans="2:22" ht="14.5" x14ac:dyDescent="0.35">
      <c r="C9" s="3"/>
      <c r="D9" s="24"/>
      <c r="E9" s="24"/>
      <c r="F9" s="24"/>
      <c r="G9" s="24"/>
      <c r="H9" s="24"/>
      <c r="I9" s="24"/>
    </row>
    <row r="10" spans="2:22" x14ac:dyDescent="0.3">
      <c r="B10" s="28" t="s">
        <v>7</v>
      </c>
      <c r="C10" s="29"/>
      <c r="D10" s="28" t="s">
        <v>8</v>
      </c>
      <c r="E10" s="9"/>
      <c r="F10" s="9"/>
      <c r="I10" s="21" t="s">
        <v>9</v>
      </c>
    </row>
    <row r="11" spans="2:22" x14ac:dyDescent="0.3">
      <c r="B11" s="28" t="s">
        <v>10</v>
      </c>
      <c r="C11" s="29"/>
      <c r="D11" s="28" t="s">
        <v>11</v>
      </c>
      <c r="E11" s="9"/>
      <c r="F11" s="9"/>
    </row>
    <row r="12" spans="2:22" ht="13.5" thickBot="1" x14ac:dyDescent="0.35"/>
    <row r="13" spans="2:22" s="10" customFormat="1" ht="39.5" thickBot="1" x14ac:dyDescent="0.3">
      <c r="B13" s="18" t="s">
        <v>12</v>
      </c>
      <c r="C13" s="19" t="s">
        <v>13</v>
      </c>
      <c r="D13" s="19" t="s">
        <v>14</v>
      </c>
      <c r="E13" s="19" t="s">
        <v>15</v>
      </c>
      <c r="F13" s="19" t="s">
        <v>16</v>
      </c>
      <c r="G13" s="19" t="s">
        <v>17</v>
      </c>
      <c r="H13" s="19" t="s">
        <v>18</v>
      </c>
      <c r="I13" s="19" t="s">
        <v>19</v>
      </c>
      <c r="J13" s="19" t="s">
        <v>20</v>
      </c>
      <c r="K13" s="19" t="s">
        <v>21</v>
      </c>
      <c r="L13" s="19" t="s">
        <v>22</v>
      </c>
      <c r="M13" s="20" t="s">
        <v>23</v>
      </c>
      <c r="N13" s="14" t="s">
        <v>24</v>
      </c>
      <c r="O13" s="14" t="s">
        <v>25</v>
      </c>
      <c r="P13" s="14" t="s">
        <v>26</v>
      </c>
      <c r="Q13" s="15" t="s">
        <v>27</v>
      </c>
      <c r="R13" s="16" t="s">
        <v>28</v>
      </c>
      <c r="S13" s="16" t="s">
        <v>29</v>
      </c>
      <c r="T13" s="16" t="s">
        <v>30</v>
      </c>
      <c r="U13" s="16" t="s">
        <v>31</v>
      </c>
      <c r="V13" s="17" t="s">
        <v>32</v>
      </c>
    </row>
    <row r="14" spans="2:22" s="10" customFormat="1" ht="140.15" customHeight="1" x14ac:dyDescent="0.25">
      <c r="B14" s="10" t="s">
        <v>33</v>
      </c>
      <c r="C14" s="10" t="s">
        <v>105</v>
      </c>
      <c r="D14" s="10" t="s">
        <v>54</v>
      </c>
      <c r="E14" s="10" t="s">
        <v>93</v>
      </c>
      <c r="F14" s="10" t="s">
        <v>55</v>
      </c>
      <c r="G14" s="10" t="s">
        <v>106</v>
      </c>
      <c r="H14" s="10" t="s">
        <v>64</v>
      </c>
      <c r="I14" s="10" t="s">
        <v>131</v>
      </c>
      <c r="J14" s="10" t="s">
        <v>111</v>
      </c>
      <c r="N14" s="10">
        <v>0</v>
      </c>
      <c r="O14" s="10">
        <f>Tableau3[[#This Row],[HJ Dev]]*(25%+25%)</f>
        <v>0</v>
      </c>
      <c r="P14" s="10">
        <f>Tableau3[[#This Row],[HJ Analyse et Test]]+Tableau3[[#This Row],[HJ Dev]]</f>
        <v>0</v>
      </c>
      <c r="Q14" s="10" t="s">
        <v>34</v>
      </c>
      <c r="R14" s="10" t="s">
        <v>34</v>
      </c>
      <c r="S14" s="10" t="s">
        <v>34</v>
      </c>
      <c r="T14" s="10" t="s">
        <v>34</v>
      </c>
      <c r="U14" s="10" t="s">
        <v>34</v>
      </c>
    </row>
    <row r="15" spans="2:22" s="10" customFormat="1" ht="205" customHeight="1" x14ac:dyDescent="0.25">
      <c r="B15" s="10" t="s">
        <v>35</v>
      </c>
      <c r="C15" s="10" t="s">
        <v>116</v>
      </c>
      <c r="D15" s="10" t="s">
        <v>54</v>
      </c>
      <c r="E15" s="10" t="s">
        <v>93</v>
      </c>
      <c r="F15" s="10" t="s">
        <v>55</v>
      </c>
      <c r="G15" s="10" t="s">
        <v>117</v>
      </c>
      <c r="H15" s="10" t="s">
        <v>64</v>
      </c>
      <c r="I15" s="10" t="s">
        <v>118</v>
      </c>
      <c r="J15" s="10" t="s">
        <v>111</v>
      </c>
      <c r="O15" s="10">
        <f>Tableau3[[#This Row],[HJ Dev]]*(25%+25%)</f>
        <v>0</v>
      </c>
      <c r="P15" s="10">
        <f>Tableau3[[#This Row],[HJ Analyse et Test]]+Tableau3[[#This Row],[HJ Dev]]</f>
        <v>0</v>
      </c>
    </row>
    <row r="16" spans="2:22" s="10" customFormat="1" ht="137.15" customHeight="1" x14ac:dyDescent="0.25">
      <c r="B16" s="10" t="s">
        <v>36</v>
      </c>
      <c r="C16" s="10" t="s">
        <v>113</v>
      </c>
      <c r="D16" s="10" t="s">
        <v>54</v>
      </c>
      <c r="E16" s="10" t="s">
        <v>93</v>
      </c>
      <c r="F16" s="10" t="s">
        <v>55</v>
      </c>
      <c r="G16" s="10" t="s">
        <v>107</v>
      </c>
      <c r="H16" s="10" t="s">
        <v>64</v>
      </c>
      <c r="I16" s="10" t="s">
        <v>123</v>
      </c>
      <c r="J16" s="10" t="s">
        <v>111</v>
      </c>
      <c r="N16" s="10">
        <v>0</v>
      </c>
      <c r="O16" s="10">
        <f>Tableau3[[#This Row],[HJ Dev]]*(25%+25%)</f>
        <v>0</v>
      </c>
      <c r="P16" s="10">
        <f>Tableau3[[#This Row],[HJ Analyse et Test]]+Tableau3[[#This Row],[HJ Dev]]</f>
        <v>0</v>
      </c>
    </row>
    <row r="17" spans="2:22" s="10" customFormat="1" ht="137.15" customHeight="1" x14ac:dyDescent="0.25">
      <c r="B17" s="10" t="s">
        <v>37</v>
      </c>
      <c r="C17" s="10" t="s">
        <v>133</v>
      </c>
      <c r="D17" s="10" t="s">
        <v>54</v>
      </c>
      <c r="E17" s="10" t="s">
        <v>93</v>
      </c>
      <c r="F17" s="10" t="s">
        <v>55</v>
      </c>
      <c r="G17" s="10" t="s">
        <v>134</v>
      </c>
      <c r="H17" s="10" t="s">
        <v>64</v>
      </c>
      <c r="I17" s="10" t="s">
        <v>135</v>
      </c>
      <c r="J17" s="10" t="s">
        <v>111</v>
      </c>
      <c r="O17" s="46">
        <f>Tableau3[[#This Row],[HJ Dev]]*(25%+25%)</f>
        <v>0</v>
      </c>
      <c r="P17" s="46">
        <f>Tableau3[[#This Row],[HJ Analyse et Test]]+Tableau3[[#This Row],[HJ Dev]]</f>
        <v>0</v>
      </c>
    </row>
    <row r="18" spans="2:22" s="10" customFormat="1" ht="137.15" customHeight="1" x14ac:dyDescent="0.25">
      <c r="B18" s="10" t="s">
        <v>38</v>
      </c>
      <c r="C18" s="10" t="s">
        <v>119</v>
      </c>
      <c r="D18" s="10" t="s">
        <v>54</v>
      </c>
      <c r="E18" s="10" t="s">
        <v>93</v>
      </c>
      <c r="F18" s="10" t="s">
        <v>55</v>
      </c>
      <c r="G18" s="10" t="s">
        <v>120</v>
      </c>
      <c r="H18" s="10" t="s">
        <v>64</v>
      </c>
      <c r="I18" s="10" t="s">
        <v>124</v>
      </c>
      <c r="J18" s="10" t="s">
        <v>111</v>
      </c>
      <c r="O18" s="10">
        <f>Tableau3[[#This Row],[HJ Dev]]*(25%+25%)</f>
        <v>0</v>
      </c>
      <c r="P18" s="10">
        <f>Tableau3[[#This Row],[HJ Analyse et Test]]+Tableau3[[#This Row],[HJ Dev]]</f>
        <v>0</v>
      </c>
    </row>
    <row r="19" spans="2:22" s="10" customFormat="1" ht="135.65" customHeight="1" x14ac:dyDescent="0.25">
      <c r="B19" s="10" t="s">
        <v>39</v>
      </c>
      <c r="C19" s="10" t="s">
        <v>108</v>
      </c>
      <c r="D19" s="10" t="s">
        <v>54</v>
      </c>
      <c r="E19" s="10" t="s">
        <v>93</v>
      </c>
      <c r="F19" s="10" t="s">
        <v>55</v>
      </c>
      <c r="G19" s="10" t="s">
        <v>109</v>
      </c>
      <c r="H19" s="10" t="s">
        <v>64</v>
      </c>
      <c r="I19" s="10" t="s">
        <v>122</v>
      </c>
      <c r="J19" s="10" t="s">
        <v>111</v>
      </c>
      <c r="N19" s="10">
        <v>0</v>
      </c>
      <c r="O19" s="10">
        <f>Tableau3[[#This Row],[HJ Dev]]*(25%+25%)</f>
        <v>0</v>
      </c>
      <c r="P19" s="10">
        <f>Tableau3[[#This Row],[HJ Analyse et Test]]+Tableau3[[#This Row],[HJ Dev]]</f>
        <v>0</v>
      </c>
    </row>
    <row r="20" spans="2:22" s="10" customFormat="1" ht="117" x14ac:dyDescent="0.25">
      <c r="B20" s="10" t="s">
        <v>40</v>
      </c>
      <c r="C20" s="10" t="s">
        <v>115</v>
      </c>
      <c r="D20" s="10" t="s">
        <v>54</v>
      </c>
      <c r="E20" s="10" t="s">
        <v>93</v>
      </c>
      <c r="F20" s="10" t="s">
        <v>55</v>
      </c>
      <c r="G20" s="10" t="s">
        <v>121</v>
      </c>
      <c r="H20" s="10" t="s">
        <v>64</v>
      </c>
      <c r="I20" s="10" t="s">
        <v>125</v>
      </c>
      <c r="J20" s="10" t="s">
        <v>111</v>
      </c>
      <c r="O20" s="10">
        <f>Tableau3[[#This Row],[HJ Dev]]*(25%+25%)</f>
        <v>0</v>
      </c>
      <c r="P20" s="10">
        <f>Tableau3[[#This Row],[HJ Analyse et Test]]+Tableau3[[#This Row],[HJ Dev]]</f>
        <v>0</v>
      </c>
    </row>
    <row r="21" spans="2:22" s="10" customFormat="1" ht="129.5" customHeight="1" x14ac:dyDescent="0.25">
      <c r="B21" s="10" t="s">
        <v>41</v>
      </c>
      <c r="C21" s="10" t="s">
        <v>110</v>
      </c>
      <c r="D21" s="10" t="s">
        <v>54</v>
      </c>
      <c r="E21" s="10" t="s">
        <v>93</v>
      </c>
      <c r="F21" s="10" t="s">
        <v>55</v>
      </c>
      <c r="G21" s="10" t="s">
        <v>128</v>
      </c>
      <c r="H21" s="10" t="s">
        <v>64</v>
      </c>
      <c r="I21" s="10" t="s">
        <v>129</v>
      </c>
      <c r="J21" s="10" t="s">
        <v>111</v>
      </c>
      <c r="N21" s="10">
        <v>0</v>
      </c>
      <c r="O21" s="10">
        <f>Tableau3[[#This Row],[HJ Dev]]*(25%+25%)</f>
        <v>0</v>
      </c>
      <c r="P21" s="10">
        <f>Tableau3[[#This Row],[HJ Analyse et Test]]+Tableau3[[#This Row],[HJ Dev]]</f>
        <v>0</v>
      </c>
    </row>
    <row r="22" spans="2:22" ht="52" x14ac:dyDescent="0.3">
      <c r="B22" s="10" t="s">
        <v>132</v>
      </c>
      <c r="C22" s="10" t="s">
        <v>126</v>
      </c>
      <c r="D22" s="10" t="s">
        <v>54</v>
      </c>
      <c r="E22" s="10" t="s">
        <v>93</v>
      </c>
      <c r="F22" s="10" t="s">
        <v>55</v>
      </c>
      <c r="G22" s="10" t="s">
        <v>127</v>
      </c>
      <c r="H22" s="10" t="s">
        <v>64</v>
      </c>
      <c r="I22" s="10" t="s">
        <v>130</v>
      </c>
      <c r="J22" s="10" t="s">
        <v>111</v>
      </c>
      <c r="K22" s="10"/>
      <c r="L22" s="10"/>
      <c r="M22" s="10"/>
      <c r="N22" s="10">
        <v>0</v>
      </c>
      <c r="O22" s="10">
        <f>Tableau3[[#This Row],[HJ Dev]]*(25%+25%)</f>
        <v>0</v>
      </c>
      <c r="P22" s="10">
        <f>Tableau3[[#This Row],[HJ Analyse et Test]]+Tableau3[[#This Row],[HJ Dev]]</f>
        <v>0</v>
      </c>
      <c r="Q22" s="10"/>
      <c r="R22" s="10"/>
      <c r="S22" s="10"/>
      <c r="T22" s="10"/>
      <c r="U22" s="10"/>
      <c r="V22" s="10"/>
    </row>
    <row r="23" spans="2:22" x14ac:dyDescent="0.3">
      <c r="B23" s="10"/>
      <c r="C23" s="10"/>
      <c r="D23" s="10"/>
      <c r="E23" s="10"/>
      <c r="F23" s="10"/>
      <c r="G23" s="10"/>
      <c r="H23" s="10"/>
      <c r="I23" s="10"/>
      <c r="J23" s="10"/>
      <c r="K23" s="10"/>
      <c r="L23" s="10"/>
      <c r="M23" s="10"/>
      <c r="N23" s="10"/>
      <c r="O23" s="10"/>
      <c r="P23" s="10">
        <f>SUBTOTAL(109,Tableau3[Total HJ])</f>
        <v>0</v>
      </c>
      <c r="Q23" s="10"/>
      <c r="R23" s="10"/>
      <c r="S23" s="10"/>
      <c r="T23" s="10"/>
      <c r="U23" s="10"/>
      <c r="V23" s="10"/>
    </row>
  </sheetData>
  <mergeCells count="4">
    <mergeCell ref="Q2:V2"/>
    <mergeCell ref="B2:M2"/>
    <mergeCell ref="N2:P2"/>
    <mergeCell ref="D6:E6"/>
  </mergeCells>
  <phoneticPr fontId="2" type="noConversion"/>
  <dataValidations count="1">
    <dataValidation type="whole" operator="greaterThanOrEqual" allowBlank="1" showInputMessage="1" showErrorMessage="1" sqref="N14:P22" xr:uid="{10E2E794-3894-4CC1-AB1A-9BB5BF41EABB}">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9E253E9F-6967-4CE3-BEC2-E6EF086F8550}">
          <x14:formula1>
            <xm:f>Params!$B$3:$B$10</xm:f>
          </x14:formula1>
          <xm:sqref>D4</xm:sqref>
        </x14:dataValidation>
        <x14:dataValidation type="list" allowBlank="1" showInputMessage="1" showErrorMessage="1" xr:uid="{63E576AD-8CDE-4B1B-8DEC-1BE67CC8DE6D}">
          <x14:formula1>
            <xm:f>Params!$D$3:$D$10</xm:f>
          </x14:formula1>
          <xm:sqref>F20:F22 F14:F18</xm:sqref>
        </x14:dataValidation>
        <x14:dataValidation type="list" allowBlank="1" showInputMessage="1" showErrorMessage="1" xr:uid="{C43D2377-E8A5-4EC4-8F56-2516FCD07F2A}">
          <x14:formula1>
            <xm:f>Params!$E$3:$E$12</xm:f>
          </x14:formula1>
          <xm:sqref>H20:H22 H14:H18</xm:sqref>
        </x14:dataValidation>
        <x14:dataValidation type="list" allowBlank="1" showInputMessage="1" showErrorMessage="1" xr:uid="{63FB3CBD-0303-4DD5-A1D9-0AE10EE7B36C}">
          <x14:formula1>
            <xm:f>Params!$C$3:$C$10</xm:f>
          </x14:formula1>
          <xm:sqref>D20:D22 D14:D18</xm:sqref>
        </x14:dataValidation>
        <x14:dataValidation type="list" allowBlank="1" showInputMessage="1" showErrorMessage="1" xr:uid="{ACD971DD-EBC0-49A2-8B0F-955749BFC348}">
          <x14:formula1>
            <xm:f>Params!$I$3:$I$19</xm:f>
          </x14:formula1>
          <xm:sqref>E20:E22 E14:E18</xm:sqref>
        </x14:dataValidation>
        <x14:dataValidation type="list" allowBlank="1" showInputMessage="1" showErrorMessage="1" xr:uid="{06B2A4DB-2A94-4B0B-971B-CDFF438E23BA}">
          <x14:formula1>
            <xm:f>Params!$G$3:$G$9</xm:f>
          </x14:formula1>
          <xm:sqref>M14:M22</xm:sqref>
        </x14:dataValidation>
        <x14:dataValidation type="list" allowBlank="1" showInputMessage="1" showErrorMessage="1" xr:uid="{1F2CF1C1-BE35-4DC9-A975-F49F788F3D6A}">
          <x14:formula1>
            <xm:f>Params!$H$3:$H$6</xm:f>
          </x14:formula1>
          <xm:sqref>K14:K22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E11" sqref="E11"/>
    </sheetView>
  </sheetViews>
  <sheetFormatPr defaultColWidth="11.453125" defaultRowHeight="14.5" x14ac:dyDescent="0.35"/>
  <cols>
    <col min="1" max="1" width="12" style="2" customWidth="1"/>
    <col min="2" max="2" width="10.1796875" style="2" customWidth="1"/>
    <col min="3" max="3" width="11.453125" style="2"/>
    <col min="4" max="4" width="58.26953125" style="2" customWidth="1"/>
    <col min="5" max="5" width="15.81640625" style="2" customWidth="1"/>
    <col min="6" max="6" width="22.26953125" style="2" customWidth="1"/>
    <col min="7" max="7" width="16.54296875" style="2" customWidth="1"/>
    <col min="8" max="16384" width="11.453125" style="2"/>
  </cols>
  <sheetData>
    <row r="2" spans="1:7" ht="15" thickBot="1" x14ac:dyDescent="0.4"/>
    <row r="3" spans="1:7" ht="24" customHeight="1" thickBot="1" x14ac:dyDescent="0.4">
      <c r="A3" s="2" t="s">
        <v>42</v>
      </c>
      <c r="B3" s="43" t="s">
        <v>0</v>
      </c>
      <c r="C3" s="44"/>
      <c r="D3" s="44"/>
      <c r="E3" s="44"/>
      <c r="F3" s="44"/>
      <c r="G3" s="45"/>
    </row>
    <row r="4" spans="1:7" x14ac:dyDescent="0.35">
      <c r="B4" s="4"/>
      <c r="C4" s="5"/>
      <c r="D4" s="5"/>
      <c r="E4" s="5"/>
      <c r="F4" s="5"/>
      <c r="G4" s="5"/>
    </row>
    <row r="5" spans="1:7" x14ac:dyDescent="0.35">
      <c r="B5" s="12" t="str">
        <f>'Gestion Exigences'!B5</f>
        <v>Client</v>
      </c>
      <c r="D5" s="12" t="s">
        <v>112</v>
      </c>
      <c r="E5" s="5"/>
      <c r="F5" s="5"/>
      <c r="G5" s="5"/>
    </row>
    <row r="6" spans="1:7" x14ac:dyDescent="0.35">
      <c r="B6" s="12" t="str">
        <f>'Gestion Exigences'!B6</f>
        <v>Projet</v>
      </c>
      <c r="D6" s="12" t="s">
        <v>113</v>
      </c>
      <c r="E6" s="5"/>
      <c r="F6" s="5"/>
      <c r="G6" s="5"/>
    </row>
    <row r="7" spans="1:7" x14ac:dyDescent="0.35">
      <c r="B7" s="12">
        <f>'Gestion Exigences'!B7</f>
        <v>0</v>
      </c>
      <c r="D7" s="12">
        <f>'Gestion Exigences'!D7</f>
        <v>0</v>
      </c>
      <c r="E7" s="5"/>
      <c r="F7" s="5"/>
      <c r="G7" s="5"/>
    </row>
    <row r="8" spans="1:7" x14ac:dyDescent="0.35">
      <c r="B8" s="12">
        <f>'Gestion Exigences'!B8</f>
        <v>0</v>
      </c>
      <c r="D8" s="12">
        <f>'Gestion Exigences'!D8</f>
        <v>0</v>
      </c>
      <c r="E8" s="5"/>
      <c r="F8" s="5"/>
      <c r="G8" s="5"/>
    </row>
    <row r="9" spans="1:7" x14ac:dyDescent="0.35">
      <c r="B9" s="4"/>
      <c r="C9" s="12"/>
      <c r="D9" s="5"/>
      <c r="E9" s="5"/>
      <c r="F9" s="5"/>
      <c r="G9" s="5"/>
    </row>
    <row r="10" spans="1:7" x14ac:dyDescent="0.35">
      <c r="B10" s="25" t="str">
        <f>'Gestion Exigences'!B10</f>
        <v>Réf Modèle Document</v>
      </c>
      <c r="C10" s="26" t="str">
        <f>'Gestion Exigences'!D10</f>
        <v>MD203</v>
      </c>
      <c r="D10" s="5"/>
      <c r="E10" s="5"/>
      <c r="F10" s="5"/>
      <c r="G10" s="5"/>
    </row>
    <row r="11" spans="1:7" x14ac:dyDescent="0.35">
      <c r="B11" s="25" t="str">
        <f>'Gestion Exigences'!B11</f>
        <v>Version Modèle Document</v>
      </c>
      <c r="C11" s="26" t="str">
        <f>'Gestion Exigences'!D11</f>
        <v>V1.5</v>
      </c>
      <c r="D11" s="5"/>
      <c r="E11" s="5"/>
      <c r="F11" s="5"/>
      <c r="G11" s="5"/>
    </row>
    <row r="12" spans="1:7" x14ac:dyDescent="0.35">
      <c r="B12" s="4"/>
      <c r="C12" s="5"/>
      <c r="D12" s="5"/>
      <c r="E12" s="5"/>
      <c r="F12" s="5"/>
      <c r="G12" s="5"/>
    </row>
    <row r="13" spans="1:7" x14ac:dyDescent="0.35">
      <c r="B13" s="13" t="s">
        <v>43</v>
      </c>
      <c r="C13" s="13" t="s">
        <v>44</v>
      </c>
      <c r="D13" s="13" t="s">
        <v>45</v>
      </c>
      <c r="E13" s="13" t="s">
        <v>46</v>
      </c>
      <c r="F13" s="13" t="s">
        <v>47</v>
      </c>
      <c r="G13" s="13" t="s">
        <v>48</v>
      </c>
    </row>
    <row r="14" spans="1:7" ht="29.5" customHeight="1" x14ac:dyDescent="0.35">
      <c r="B14" s="6" t="s">
        <v>101</v>
      </c>
      <c r="C14" s="7">
        <v>45342</v>
      </c>
      <c r="D14" s="23" t="s">
        <v>102</v>
      </c>
      <c r="E14" s="6" t="s">
        <v>103</v>
      </c>
      <c r="F14" s="22" t="s">
        <v>104</v>
      </c>
      <c r="G14" s="6" t="s">
        <v>49</v>
      </c>
    </row>
    <row r="15" spans="1:7" x14ac:dyDescent="0.35">
      <c r="C15" s="32"/>
    </row>
    <row r="16" spans="1:7" x14ac:dyDescent="0.35">
      <c r="C16" s="32"/>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B4" sqref="B4"/>
    </sheetView>
  </sheetViews>
  <sheetFormatPr defaultColWidth="11.453125" defaultRowHeight="13" x14ac:dyDescent="0.25"/>
  <cols>
    <col min="1" max="2" width="11.453125" style="10"/>
    <col min="3" max="4" width="19.7265625" style="10" customWidth="1"/>
    <col min="5" max="5" width="23.81640625" style="10" customWidth="1"/>
    <col min="6" max="6" width="14.453125" style="10" customWidth="1"/>
    <col min="7" max="7" width="23.81640625" style="10" customWidth="1"/>
    <col min="8" max="8" width="25.1796875" style="10" customWidth="1"/>
    <col min="9" max="9" width="20.453125" style="10" customWidth="1"/>
    <col min="10" max="16384" width="11.453125" style="10"/>
  </cols>
  <sheetData>
    <row r="2" spans="2:9" ht="26" x14ac:dyDescent="0.25">
      <c r="B2" s="11" t="s">
        <v>3</v>
      </c>
      <c r="C2" s="11" t="s">
        <v>14</v>
      </c>
      <c r="D2" s="11" t="s">
        <v>50</v>
      </c>
      <c r="E2" s="11" t="s">
        <v>18</v>
      </c>
      <c r="F2" s="11" t="s">
        <v>51</v>
      </c>
      <c r="G2" s="11" t="s">
        <v>23</v>
      </c>
      <c r="H2" s="11" t="s">
        <v>52</v>
      </c>
      <c r="I2" s="11" t="s">
        <v>15</v>
      </c>
    </row>
    <row r="3" spans="2:9" x14ac:dyDescent="0.25">
      <c r="B3" s="10" t="s">
        <v>53</v>
      </c>
      <c r="C3" s="10" t="s">
        <v>54</v>
      </c>
      <c r="D3" s="10" t="s">
        <v>55</v>
      </c>
      <c r="E3" s="10" t="s">
        <v>56</v>
      </c>
      <c r="F3" s="10" t="s">
        <v>57</v>
      </c>
      <c r="G3" s="10" t="s">
        <v>58</v>
      </c>
      <c r="H3" s="10" t="s">
        <v>59</v>
      </c>
      <c r="I3" s="10" t="s">
        <v>60</v>
      </c>
    </row>
    <row r="4" spans="2:9" x14ac:dyDescent="0.25">
      <c r="B4" s="10" t="s">
        <v>61</v>
      </c>
      <c r="C4" s="10" t="s">
        <v>62</v>
      </c>
      <c r="D4" s="10" t="s">
        <v>63</v>
      </c>
      <c r="E4" s="10" t="s">
        <v>64</v>
      </c>
      <c r="F4" s="10" t="s">
        <v>65</v>
      </c>
      <c r="G4" s="10" t="s">
        <v>66</v>
      </c>
      <c r="H4" s="10" t="s">
        <v>67</v>
      </c>
      <c r="I4" s="10" t="s">
        <v>68</v>
      </c>
    </row>
    <row r="5" spans="2:9" x14ac:dyDescent="0.25">
      <c r="B5" s="10" t="s">
        <v>69</v>
      </c>
      <c r="C5" s="10" t="s">
        <v>70</v>
      </c>
      <c r="D5" s="10" t="s">
        <v>71</v>
      </c>
      <c r="E5" s="10" t="s">
        <v>72</v>
      </c>
      <c r="F5" s="10" t="s">
        <v>34</v>
      </c>
      <c r="G5" s="10" t="s">
        <v>34</v>
      </c>
      <c r="H5" s="10" t="s">
        <v>34</v>
      </c>
      <c r="I5" s="10" t="s">
        <v>73</v>
      </c>
    </row>
    <row r="6" spans="2:9" x14ac:dyDescent="0.25">
      <c r="B6" s="10" t="s">
        <v>74</v>
      </c>
      <c r="C6" s="10" t="s">
        <v>75</v>
      </c>
      <c r="D6" s="10" t="s">
        <v>76</v>
      </c>
      <c r="E6" s="10" t="s">
        <v>77</v>
      </c>
      <c r="I6" s="10" t="s">
        <v>78</v>
      </c>
    </row>
    <row r="7" spans="2:9" x14ac:dyDescent="0.25">
      <c r="B7" s="10" t="s">
        <v>79</v>
      </c>
      <c r="C7" s="10" t="s">
        <v>80</v>
      </c>
      <c r="D7" s="10" t="s">
        <v>81</v>
      </c>
      <c r="E7" s="10" t="s">
        <v>82</v>
      </c>
      <c r="I7" s="10" t="s">
        <v>83</v>
      </c>
    </row>
    <row r="8" spans="2:9" x14ac:dyDescent="0.25">
      <c r="B8" s="10" t="s">
        <v>84</v>
      </c>
      <c r="C8" s="10" t="s">
        <v>85</v>
      </c>
      <c r="E8" s="10" t="s">
        <v>86</v>
      </c>
      <c r="I8" s="10" t="s">
        <v>87</v>
      </c>
    </row>
    <row r="9" spans="2:9" x14ac:dyDescent="0.25">
      <c r="B9" s="10" t="s">
        <v>4</v>
      </c>
      <c r="E9" s="10" t="s">
        <v>88</v>
      </c>
      <c r="I9" s="10" t="s">
        <v>89</v>
      </c>
    </row>
    <row r="10" spans="2:9" x14ac:dyDescent="0.25">
      <c r="I10" s="10" t="s">
        <v>90</v>
      </c>
    </row>
    <row r="11" spans="2:9" x14ac:dyDescent="0.25">
      <c r="I11" s="10" t="s">
        <v>91</v>
      </c>
    </row>
    <row r="13" spans="2:9" x14ac:dyDescent="0.25">
      <c r="I13" s="10" t="s">
        <v>92</v>
      </c>
    </row>
    <row r="14" spans="2:9" x14ac:dyDescent="0.25">
      <c r="I14" s="10" t="s">
        <v>93</v>
      </c>
    </row>
    <row r="15" spans="2:9" x14ac:dyDescent="0.25">
      <c r="I15" s="10" t="s">
        <v>94</v>
      </c>
    </row>
    <row r="16" spans="2:9" x14ac:dyDescent="0.25">
      <c r="I16" s="10" t="s">
        <v>95</v>
      </c>
    </row>
    <row r="17" spans="9:9" x14ac:dyDescent="0.25">
      <c r="I17" s="10" t="s">
        <v>96</v>
      </c>
    </row>
    <row r="18" spans="9:9" x14ac:dyDescent="0.25">
      <c r="I18" s="10" t="s">
        <v>97</v>
      </c>
    </row>
    <row r="19" spans="9:9" x14ac:dyDescent="0.25">
      <c r="I19" s="10" t="s">
        <v>98</v>
      </c>
    </row>
    <row r="21" spans="9:9" x14ac:dyDescent="0.25">
      <c r="I21" s="10" t="s">
        <v>99</v>
      </c>
    </row>
    <row r="22" spans="9:9" ht="26" x14ac:dyDescent="0.25">
      <c r="I22" s="10" t="s">
        <v>100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43b908ec-9e92-424c-a4ad-3174bac6e888">
      <UserInfo>
        <DisplayName/>
        <AccountId xsi:nil="true"/>
        <AccountType/>
      </UserInfo>
    </SharedWithUsers>
    <MediaLengthInSeconds xmlns="5f2f9e80-f74a-40c7-b145-b94d8e4966f0" xsi:nil="true"/>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Props1.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2.xml><?xml version="1.0" encoding="utf-8"?>
<ds:datastoreItem xmlns:ds="http://schemas.openxmlformats.org/officeDocument/2006/customXml" ds:itemID="{E15BB84F-55B0-4995-8973-D2DAD9239CDA}"/>
</file>

<file path=customXml/itemProps3.xml><?xml version="1.0" encoding="utf-8"?>
<ds:datastoreItem xmlns:ds="http://schemas.openxmlformats.org/officeDocument/2006/customXml" ds:itemID="{85503822-DF13-4051-A489-72B75648E37A}">
  <ds:schemaRefs>
    <ds:schemaRef ds:uri="http://schemas.microsoft.com/office/infopath/2007/PartnerControls"/>
    <ds:schemaRef ds:uri="http://schemas.openxmlformats.org/package/2006/metadata/core-properties"/>
    <ds:schemaRef ds:uri="http://purl.org/dc/terms/"/>
    <ds:schemaRef ds:uri="http://purl.org/dc/dcmitype/"/>
    <ds:schemaRef ds:uri="http://www.w3.org/XML/1998/namespace"/>
    <ds:schemaRef ds:uri="http://purl.org/dc/elements/1.1/"/>
    <ds:schemaRef ds:uri="http://schemas.microsoft.com/office/2006/documentManagement/types"/>
    <ds:schemaRef ds:uri="98d07ac0-315d-4ba4-a3f8-0e1dfb824eb0"/>
    <ds:schemaRef ds:uri="f681d081-fe2e-4389-8dd1-c7421b0f7b6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Gestion Exigences</vt:lpstr>
      <vt:lpstr>Modifs Doc</vt:lpstr>
      <vt:lpstr>Params</vt:lpstr>
      <vt:lpstr>'Gestion Exigences'!Print_Area</vt:lpstr>
      <vt:lpstr>'Modifs Doc'!Print_Area</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2024-05-20T08:52:25Z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