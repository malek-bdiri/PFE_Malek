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mc:AlternateContent xmlns:mc="http://schemas.openxmlformats.org/markup-compatibility/2006">
    <mc:Choice Requires="x15">
      <x15ac:absPath xmlns:x15ac="http://schemas.microsoft.com/office/spreadsheetml/2010/11/ac" url="https://momsoftware.sharepoint.com/sites/Commercial/Documents partages/06 Prospects/013 Novation City/20 ADWYA Usine Beta/2 Préparation Offre/"/>
    </mc:Choice>
  </mc:AlternateContent>
  <xr:revisionPtr revIDLastSave="6" documentId="14_{1B95539F-70E4-4E1B-8C6F-EA52907121A6}" xr6:coauthVersionLast="47" xr6:coauthVersionMax="47" xr10:uidLastSave="{2FD5A2D6-5D74-453B-ACAA-28BEA2A6F88A}"/>
  <bookViews>
    <workbookView xWindow="-108" yWindow="-108" windowWidth="23256" windowHeight="12456" tabRatio="620" xr2:uid="{00000000-000D-0000-FFFF-FFFF00000000}"/>
  </bookViews>
  <sheets>
    <sheet name="Gestion Exigences" sheetId="27" r:id="rId1"/>
    <sheet name="Modifs Doc" sheetId="29" r:id="rId2"/>
    <sheet name="Params" sheetId="30" r:id="rId3"/>
  </sheets>
  <definedNames>
    <definedName name="_xlnm.Print_Area" localSheetId="0">'Gestion Exigences'!$C$2:$I$21</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27" l="1"/>
  <c r="O15" i="27"/>
  <c r="O16" i="27"/>
  <c r="O17" i="27"/>
  <c r="O18" i="27"/>
  <c r="O19" i="27"/>
  <c r="O20" i="27"/>
  <c r="O21" i="27"/>
  <c r="O22" i="27"/>
  <c r="O23" i="27"/>
  <c r="O24" i="27"/>
  <c r="O25" i="27"/>
  <c r="O26" i="27"/>
  <c r="O27" i="27"/>
  <c r="O28" i="27"/>
  <c r="O29" i="27"/>
  <c r="P29" i="27" s="1"/>
  <c r="N30" i="27"/>
  <c r="P23" i="27" l="1"/>
  <c r="P24" i="27"/>
  <c r="P25" i="27"/>
  <c r="P26" i="27"/>
  <c r="P27" i="27"/>
  <c r="P28" i="27"/>
  <c r="P17" i="27"/>
  <c r="P14" i="27" l="1"/>
  <c r="P15" i="27"/>
  <c r="P16" i="27"/>
  <c r="P18" i="27"/>
  <c r="P19" i="27"/>
  <c r="P20" i="27"/>
  <c r="P21" i="27"/>
  <c r="D5" i="29"/>
  <c r="D6" i="29"/>
  <c r="D7" i="29"/>
  <c r="D8" i="29"/>
  <c r="C10" i="29"/>
  <c r="C11" i="29"/>
  <c r="B6" i="29"/>
  <c r="B7" i="29"/>
  <c r="B8" i="29"/>
  <c r="B10" i="29"/>
  <c r="B11" i="29"/>
  <c r="B5" i="29"/>
  <c r="P22" i="27" l="1"/>
  <c r="O30" i="27"/>
  <c r="P30"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Mahdi Besbes</author>
  </authors>
  <commentList>
    <comment ref="C16" authorId="0" shapeId="0" xr:uid="{73D2977E-37EC-4B7B-9874-22150F3F28B6}">
      <text>
        <r>
          <rPr>
            <b/>
            <sz val="9"/>
            <color indexed="81"/>
            <rFont val="Tahoma"/>
            <charset val="1"/>
          </rPr>
          <t>Mahdi Besbes:</t>
        </r>
        <r>
          <rPr>
            <sz val="9"/>
            <color indexed="81"/>
            <rFont val="Tahoma"/>
            <charset val="1"/>
          </rPr>
          <t xml:space="preserve">
Ordonnancement ?
</t>
        </r>
      </text>
    </comment>
  </commentList>
</comments>
</file>

<file path=xl/sharedStrings.xml><?xml version="1.0" encoding="utf-8"?>
<sst xmlns="http://schemas.openxmlformats.org/spreadsheetml/2006/main" count="247" uniqueCount="168">
  <si>
    <t>Gestion Exigences Projet</t>
  </si>
  <si>
    <t>Chiffrage Réalisation (SF only)</t>
  </si>
  <si>
    <t>Revue et Vérification Pendant la Conception</t>
  </si>
  <si>
    <t>BU</t>
  </si>
  <si>
    <t>SF</t>
  </si>
  <si>
    <t>Client</t>
  </si>
  <si>
    <t>ADWYA - Novation City</t>
  </si>
  <si>
    <t>Projet</t>
  </si>
  <si>
    <t>Digitalisation Usine Beta</t>
  </si>
  <si>
    <t>Réf BPA du Devis</t>
  </si>
  <si>
    <t>S0-00xyz</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</si>
  <si>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</si>
  <si>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</si>
  <si>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</si>
  <si>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</si>
  <si>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</si>
  <si>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</si>
  <si>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</si>
  <si>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</si>
  <si>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</si>
  <si>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</si>
  <si>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</si>
  <si>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</si>
  <si>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</si>
  <si>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</si>
  <si>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</si>
  <si>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</si>
  <si>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</si>
  <si>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</si>
  <si>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</si>
  <si>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</si>
  <si>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</si>
  <si>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</si>
  <si>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</si>
  <si>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</si>
  <si>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</si>
  <si>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</si>
  <si>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</si>
  <si>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</si>
  <si>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</si>
  <si>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</si>
  <si>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</si>
  <si>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</si>
  <si>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</si>
  <si>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</si>
  <si>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CdC client</t>
  </si>
  <si>
    <t>La solution offre un Module Core permettant la modélisation, gestion et planification pour une usine connectée:
• Modélisation hiérarchique de l'usine: Sites, ateliers, lignes, postes, machines, stocks.
• Gestion des produits: Nomenclatures, gammes opératoires.
• Gestion des incidents et défauts: Pannes par machines, défauts par produit.
• Gestion des utilisateurs et des autorisations: Rôles et accès contrôlés.
• Gestion des équipes: Production, qualité, maintenance.
• Planification des lignes et des équipes: Cycles, équipes, calendrier de travail.
• Configuration de l'outillage: Moules, gabarits..
• etc</t>
  </si>
  <si>
    <t>N/A</t>
  </si>
  <si>
    <t>E002</t>
  </si>
  <si>
    <t xml:space="preserve">Chargement des données </t>
  </si>
  <si>
    <t xml:space="preserve"> Automatisation de l'importation de données dans la solution</t>
  </si>
  <si>
    <t>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Lire les OF à partirde l'ERP</t>
  </si>
  <si>
    <t>E003</t>
  </si>
  <si>
    <t>Planification détaillée de la production</t>
  </si>
  <si>
    <t xml:space="preserve">Gérer et suivre les ordres de fabrications </t>
  </si>
  <si>
    <t>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t>
  </si>
  <si>
    <t>E004</t>
  </si>
  <si>
    <t>Dispatching de la Production</t>
  </si>
  <si>
    <t>Affecter les opérations</t>
  </si>
  <si>
    <t>La solution permet d'affecter les opérations de chaque OF par Opérateurs et par Poste en fonction de la gamme opératoire et de la disponibilité des postes et des opérateurs.</t>
  </si>
  <si>
    <t>E005</t>
  </si>
  <si>
    <t xml:space="preserve">Collecte manuelle de données de la production </t>
  </si>
  <si>
    <t>Collecte et transmission des données des machines en temps réel</t>
  </si>
  <si>
    <t>La solution permet l'acquisition automatique et en temps réel des données de production, d'arrêt et les paramètres process, en intégrant directement les équipements de production. Les données collectées incluent les métriques de production en cours et les événements d'arrêt.</t>
  </si>
  <si>
    <t>E006</t>
  </si>
  <si>
    <t xml:space="preserve">Collecte automatique de données de la production </t>
  </si>
  <si>
    <t>Déclaration manuelle de la production et des non-conformité et des arrêts en assurant un suivi en temps réel et un historique détaillé.</t>
  </si>
  <si>
    <t>La solution comprend un module de "Gestion de Production" offrant les fonctionnalités suivantes :
• Déclaration manuelle de la production : Enregistrement des quantités produites et des non-conformités pour chaque Ordre de Fabrication (OF), ligne, et produit. avec la possibilité de la déclaration par lot.
• Validation des déclarations :Workflow de validation des déclarations de production avec des niveaux de validation paramétrables 
• Rapports détaillés : Accès à des rapports détaillés sur l'historique de production, incluant les quantités produites, les non-conformités, ainsi que les performances des lignes et des opérateurs.
• Filtrage avancé : Possibilité de filtrer les données par OF, équipe, ligne, produit, et période de production.</t>
  </si>
  <si>
    <t>E007</t>
  </si>
  <si>
    <t>Suivi de la production</t>
  </si>
  <si>
    <t>Suivi en temps réel des KPIs de production</t>
  </si>
  <si>
    <t>La solution offre une supervision de production en temps réel avec le module "Vue 360°" permettant de  : 
• Visualiser l'état des lignes en temps réel avec codification couleur paramétrable.
•Suivire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</si>
  <si>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E008</t>
  </si>
  <si>
    <t>Analyse de performance de la production</t>
  </si>
  <si>
    <t>Analyser la performance historique des lignes de production
Analyser l'évolution des indicateurs clés au cours du temps pour chaque ligne de production.</t>
  </si>
  <si>
    <t xml:space="preserve">la solution offre un tableau de bord fournissant une vue multi-niveaux de la production en utilisant des indicateurs comme TRS, Quantité produite vs Quantité planifiée, Temps d'arrêt vs temps de production, etc.
</t>
  </si>
  <si>
    <t>E009</t>
  </si>
  <si>
    <t xml:space="preserve">Digitaliser la Cenrale de pesée </t>
  </si>
  <si>
    <t xml:space="preserve">Lire les données suivantes :
• Quantité MP réceptionné du Magasin  
• Opérateur affectée  
• Quantité retourné au Magasin après Pesée  
• Temps de pesée  
• Rendement 
• Incidents et arrêts </t>
  </si>
  <si>
    <t>La centrale de pesée est modélisée comme poste de production.
L'opérateur est affecté au niveau de l'OF.
Ajout d'une fiche de contrôle MP. Le contenu de la fiche est paramétable.
Ajout d'un bouton dans la fiche permettant de lire les données à partir de l'ERP.
Deux niveaux de validation sont disponibles après remplissage de la fiche.
Le protocole de communication entre Smart Factory et l'ERP doit être défini avec l'équipe client.
La communication entre les solutions est un travail de collaboration entre équipe MOMSOFT et l'intégrateur ERP du Client.</t>
  </si>
  <si>
    <t>E010</t>
  </si>
  <si>
    <t>Digitaliser le mélange</t>
  </si>
  <si>
    <t>Lire les données suivantes : 
• Temps de mélange  
• Opérateur affectée  
• Paramètres de réglages (Vitesse/ nb de tours par minute)  
• Arrêt  
• Rendement  
• Qt perte PSF  
• Incidents et arrêts</t>
  </si>
  <si>
    <t>Le mélange est modélisé comme poste de production.
L'opérateur est affecté au niveau de l'OF.
Les paramètres de réglages sont saisi au niveau des fiches de contrôle au démarrage et au cours de la production.
Les arrêts et les incidents sont déclarés manuellement à partir de l'interface de comptage et du détail ligne.
Le rendement est calculé en fonction de la quantité produite
La quantité perte PSF est déclarée manuellement à partir de l'interface de comptage.</t>
  </si>
  <si>
    <t>E011</t>
  </si>
  <si>
    <t>Digitaliser le compactage</t>
  </si>
  <si>
    <t>Lire les données suivantes :
• Temps de compactage (Début/ fin/ durée)  
• Opérateur affectée  
• Paramètres de réglages   
• Rendement  
• Qt perte PSF (Kg)  
• Incidents et arrêts</t>
  </si>
  <si>
    <t>Le compacteur est modélisé comme poste de production.
L'opérateur est affecté au niveau de l'OF.
Le temps de compactage est lu automatiquement à partir de la machine et enregistré dans l'interface suivi de fonctionnement.
Les paramètres de réglages sont saisi au niveau des fiches de contrôle au démarrage et au cours de la production. Un bouton est disponible dans cette interface pour lire les données automatiquement à partir de la machine à la demande.
Les arrêts et les incidents sont déclarés manuellement à partir de l'interface de comptage et du détail ligne.
Le rendement est calculé en fonction de la quantité produite
La quantité perte PSF est déclarée manuellement à partir de l'interface de comptage.</t>
  </si>
  <si>
    <t>E012</t>
  </si>
  <si>
    <t>Digitaliser la Compression (Kilian E150)</t>
  </si>
  <si>
    <t>Lire les données suivantes :
• Temps de compression (Début/ fin/ durée)  
• Opérateur affectée  
• Temps de nettoyage/ Ch format  
• Paramètres de réglages  
• Qt de perte PSF (Non qualité/ déchets de nettoyage)  
• Incidents et arrêts  
• Rendement</t>
  </si>
  <si>
    <t>La compression est modélisée comme ligne de production.
L'opérateur est affecté au niveau de l'OF.
Le temps de compression est saisi au niveau l'interface de comptage à partir des bouton début et fin.
Les paramètres de réglages sont saisi au niveau des fiches de contrôle au démarrage et au cours de la production. 
Les arrêts et les incidents sont déclarés manuellement à partir de l'interface de comptage et du détail ligne.
Le rendement est calculé en fonction de la quantité produite
La quantité perte PSF est déclarée manuellement à partir de l'interface de comptage.</t>
  </si>
  <si>
    <t>E013</t>
  </si>
  <si>
    <t>Digitaliser le Pelliculage</t>
  </si>
  <si>
    <t xml:space="preserve">Lire les données suivantes :
• Temps de pelliculage (Début/ fin/ durée)  
• Temps de nettoyage  
• Paramètres de réglages  
• Temps de préparation de la solution de pelliculage  
• Rendement  
• Qt de déchets (PSF)  
• Opérateur affectée      </t>
  </si>
  <si>
    <t>La compression est modélisée comme poste de production.
L'opérateur est affecté au niveau de l'OF.
Le temps de pelliculage est lu automatiquement à partir de la machine et enregistré dans l'interface suivi de fonctionnement.
Le temps de nettoyage est lu automatiquement à partir de la machine et enregistré dans l'interface suivi de fonctionnement.
Le temps de préparation de la solution de pelliculage est lu automatiquement à partir de la machine et enregistré dans l'interface suivi de fonctionnement.
Les paramètres de réglages sont saisi au niveau des fiches de contrôle au démarrage et au cours de la production.  Un bouton est disponible dans cette interface pour lire les données automatiquement à partir de la machine à la demande.
Les arrêts et les incidents sont déclarés manuellement à partir de l'interface de comptage et du détail ligne.
Le rendement est calculé en fonction de la quantité produite
La quantité de déchets est déclarée manuellement à partir de l'interface de comptage.</t>
  </si>
  <si>
    <t>E014</t>
  </si>
  <si>
    <t xml:space="preserve">Digitaliser le Conditionnement (Blistereuse/ Encartonneuse) </t>
  </si>
  <si>
    <t xml:space="preserve">Lire les données suivantes :
• Opérateur affectée  
• Temps de conditionnement (Début/ fin/ Durée)  
• Temps d'arrêts induits/ non induits  
• Paramètres de réglages (Cadence, température de scellage…)  
• Rendement  
• Qt de boite produite  
• Qt de déchets (PSF/ AC)  </t>
  </si>
  <si>
    <t>La compression est modélisée comme poste de production.
L'opérateur est affecté au niveau de l'OF.
Le temps de conditionnement est saisi au niveau l'interface de comptage à partir des bouton début et fin.
Les paramètres de réglages sont saisi au niveau des fiches de contrôle au démarrage et au cours de la production. 
Les arrêts et les incidents sont déclarés manuellement à partir de l'interface de comptage et du détail ligne. Les arrêts sont classés par catégorie (Induits, non induits)
Le rendement est calculé en fonction de la quantité produite
La quantité produite est déclarée manuellement à partir de l'interface de comptage.
La quantité de déchets est déclarée manuellement à partir de l'interface de comptage.</t>
  </si>
  <si>
    <t>E015</t>
  </si>
  <si>
    <t>Traçabilité des modifications</t>
  </si>
  <si>
    <t>Tracer toutes les modificaitons des données</t>
  </si>
  <si>
    <t>La solution assure un enregistrement d'un historique de modification pour les entitées critiques. Cet enregistrement contient : le détail de la modification, la date et l'heure, l'utilisateur,..</t>
  </si>
  <si>
    <t>Opération
Produit
OF
Fiche Qualité
Fiche Matière
Suivi Opération
Déclaration prod, Nok, Arrêt, déchet, CS</t>
  </si>
  <si>
    <t>E016</t>
  </si>
  <si>
    <t>Ajout des permissions Suppression, Ajout, Modification</t>
  </si>
  <si>
    <t>Gérer les permissions de suppression d'ajout et de modification par rôle</t>
  </si>
  <si>
    <t>La solution assure une gestion des accès aux opérations d'ajout, de modification et de suppression par entité et par rôle.</t>
  </si>
  <si>
    <t xml:space="preserve"> </t>
  </si>
  <si>
    <t>Version</t>
  </si>
  <si>
    <t>Date</t>
  </si>
  <si>
    <t>Modifications</t>
  </si>
  <si>
    <t>Auteur(s)</t>
  </si>
  <si>
    <t>Vérificateur(s)</t>
  </si>
  <si>
    <t>Approbateur</t>
  </si>
  <si>
    <t>V1.0</t>
  </si>
  <si>
    <t xml:space="preserve">Version initiale </t>
  </si>
  <si>
    <t>Nihel K.</t>
  </si>
  <si>
    <t xml:space="preserve">Mahdi B. + Ferjania BA </t>
  </si>
  <si>
    <t>Imed A.</t>
  </si>
  <si>
    <t>Exigence identifiée pendant la phase</t>
  </si>
  <si>
    <t>Oui/Non</t>
  </si>
  <si>
    <t>Statut Interne</t>
  </si>
  <si>
    <t>SE</t>
  </si>
  <si>
    <t>Oui</t>
  </si>
  <si>
    <t>Validée par le client</t>
  </si>
  <si>
    <t>Validée</t>
  </si>
  <si>
    <t>*** SE</t>
  </si>
  <si>
    <t>SE-TN</t>
  </si>
  <si>
    <t>Performance</t>
  </si>
  <si>
    <t>Conception</t>
  </si>
  <si>
    <t>Workshop/réunion client</t>
  </si>
  <si>
    <t>Non</t>
  </si>
  <si>
    <t>Non validée par client</t>
  </si>
  <si>
    <t>Non validée</t>
  </si>
  <si>
    <t>SE-Processus</t>
  </si>
  <si>
    <t>SE-MA</t>
  </si>
  <si>
    <t>Reglementaire</t>
  </si>
  <si>
    <t>Réalisation</t>
  </si>
  <si>
    <t>Workshop/réunion Interne</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</si>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</sst>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10"/>
      <color rgb="FF000000"/>
      <name val="Calibri Light"/>
      <family val="2"/>
    </font>
    <font>
      <sz val="10"/>
      <color rgb="FF000000"/>
      <name val="Calibri Light"/>
      <family val="2"/>
      <scheme val="major"/>
    </font>
    <font>
      <sz val="9"/>
      <color indexed="81"/>
      <name val="Tahoma"/>
      <charset val="1"/>
    </font>
    <font>
      <b/>
      <sz val="9"/>
      <color indexed="81"/>
      <name val="Tahoma"/>
      <charset val="1"/>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8" fillId="0" borderId="4" xfId="0" applyFont="1" applyBorder="1" applyAlignment="1">
      <alignment vertical="center" wrapText="1"/>
    </xf>
    <xf numFmtId="0" fontId="1" fillId="0" borderId="5" xfId="0" applyFont="1" applyBorder="1" applyAlignment="1">
      <alignment vertical="center" wrapText="1"/>
    </xf>
    <xf numFmtId="0" fontId="10" fillId="5" borderId="6" xfId="0" applyFont="1" applyFill="1" applyBorder="1" applyAlignment="1">
      <alignment vertical="center" wrapText="1"/>
    </xf>
    <xf numFmtId="0" fontId="1" fillId="0" borderId="7" xfId="0" applyFont="1" applyBorder="1" applyAlignment="1">
      <alignment vertical="center" wrapText="1"/>
    </xf>
    <xf numFmtId="0" fontId="10" fillId="5" borderId="8" xfId="0" applyFont="1" applyFill="1" applyBorder="1" applyAlignment="1">
      <alignment vertical="center" wrapText="1"/>
    </xf>
    <xf numFmtId="0" fontId="10" fillId="5" borderId="9" xfId="0" applyFont="1" applyFill="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9" fillId="0" borderId="11"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right style="thin">
          <color indexed="64"/>
        </right>
        <vertical/>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style="thin">
          <color indexed="64"/>
        </left>
        <right/>
        <vertical/>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17929</xdr:colOff>
      <xdr:row>2</xdr:row>
      <xdr:rowOff>161363</xdr:rowOff>
    </xdr:from>
    <xdr:to>
      <xdr:col>6</xdr:col>
      <xdr:colOff>442507</xdr:colOff>
      <xdr:row>2</xdr:row>
      <xdr:rowOff>601905</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7966670B-FD7D-478A-B1C8-F131A4F63520}"/>
            </a:ext>
          </a:extLst>
        </xdr:cNvPr>
        <xdr:cNvPicPr>
          <a:picLocks noChangeAspect="1"/>
        </xdr:cNvPicPr>
      </xdr:nvPicPr>
      <xdr:blipFill>
        <a:blip xmlns:r="http://schemas.openxmlformats.org/officeDocument/2006/relationships" r:embed="rId1"/>
        <a:stretch>
          <a:fillRect/>
        </a:stretch>
      </xdr:blipFill>
      <xdr:spPr>
        <a:xfrm>
          <a:off x="806823" y="618563"/>
          <a:ext cx="2729143" cy="4392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0" totalsRowCount="1" headerRowDxfId="51" dataDxfId="50">
  <autoFilter ref="B13:V29"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Dev]]*(25%+50%)</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0"/>
  <sheetViews>
    <sheetView tabSelected="1" topLeftCell="G21" zoomScale="85" zoomScaleNormal="85" workbookViewId="0">
      <selection activeCell="I22" sqref="I22"/>
    </sheetView>
  </sheetViews>
  <sheetFormatPr defaultColWidth="11.42578125" defaultRowHeight="13.9"/>
  <cols>
    <col min="1" max="1" width="11.42578125" style="1"/>
    <col min="2" max="2" width="6.140625" style="1" customWidth="1"/>
    <col min="3" max="3" width="27.42578125" style="1" customWidth="1"/>
    <col min="4" max="4" width="32.42578125" style="1" hidden="1" customWidth="1"/>
    <col min="5" max="5" width="18.28515625" style="1" hidden="1" customWidth="1"/>
    <col min="6" max="6" width="19.42578125" style="1" hidden="1" customWidth="1"/>
    <col min="7" max="7" width="56.5703125" style="1" customWidth="1"/>
    <col min="8" max="8" width="18.42578125" style="1" hidden="1" customWidth="1"/>
    <col min="9" max="9" width="128.42578125" style="1" customWidth="1"/>
    <col min="10" max="10" width="33.140625" style="1" customWidth="1"/>
    <col min="11" max="12" width="13.5703125" style="1" customWidth="1"/>
    <col min="13" max="13" width="15.28515625" style="1" customWidth="1"/>
    <col min="14" max="14" width="11.85546875" style="1" customWidth="1"/>
    <col min="15" max="15" width="15.42578125" style="1" customWidth="1"/>
    <col min="16" max="16" width="13.7109375" style="1" customWidth="1"/>
    <col min="17" max="17" width="39.85546875" style="1" customWidth="1"/>
    <col min="18" max="18" width="15.7109375" style="1" customWidth="1"/>
    <col min="19" max="19" width="20.5703125" style="1" customWidth="1"/>
    <col min="20" max="20" width="20.140625" style="1" customWidth="1"/>
    <col min="21" max="21" width="15.140625" style="1" customWidth="1"/>
    <col min="22" max="22" width="30.85546875" style="1" customWidth="1"/>
    <col min="23" max="16384" width="11.42578125" style="1"/>
  </cols>
  <sheetData>
    <row r="1" spans="2:22" ht="14.45" thickBot="1"/>
    <row r="2" spans="2:22" ht="21.75" customHeight="1" thickBot="1">
      <c r="B2" s="47" t="s">
        <v>0</v>
      </c>
      <c r="C2" s="48"/>
      <c r="D2" s="48"/>
      <c r="E2" s="48"/>
      <c r="F2" s="48"/>
      <c r="G2" s="48"/>
      <c r="H2" s="48"/>
      <c r="I2" s="48"/>
      <c r="J2" s="48"/>
      <c r="K2" s="48"/>
      <c r="L2" s="48"/>
      <c r="M2" s="49"/>
      <c r="N2" s="50" t="s">
        <v>1</v>
      </c>
      <c r="O2" s="51"/>
      <c r="P2" s="52"/>
      <c r="Q2" s="44" t="s">
        <v>2</v>
      </c>
      <c r="R2" s="45"/>
      <c r="S2" s="45"/>
      <c r="T2" s="45"/>
      <c r="U2" s="45"/>
      <c r="V2" s="46"/>
    </row>
    <row r="3" spans="2:22" ht="53.25" customHeight="1">
      <c r="C3" s="8"/>
      <c r="D3" s="8"/>
      <c r="E3" s="8"/>
      <c r="F3" s="8"/>
      <c r="G3" s="8"/>
      <c r="H3" s="8"/>
      <c r="I3" s="8"/>
    </row>
    <row r="4" spans="2:22" ht="21" customHeight="1">
      <c r="B4" s="27" t="s">
        <v>3</v>
      </c>
      <c r="C4" s="8"/>
      <c r="D4" s="28" t="s">
        <v>4</v>
      </c>
      <c r="E4" s="8"/>
      <c r="F4" s="8"/>
      <c r="G4" s="8"/>
      <c r="H4" s="8"/>
      <c r="I4" s="8"/>
    </row>
    <row r="5" spans="2:22" ht="21.75" customHeight="1">
      <c r="B5" s="24" t="s">
        <v>5</v>
      </c>
      <c r="D5" s="3" t="s">
        <v>6</v>
      </c>
      <c r="E5" s="3"/>
      <c r="F5" s="3"/>
      <c r="G5" s="3"/>
      <c r="H5" s="3"/>
      <c r="I5" s="3"/>
    </row>
    <row r="6" spans="2:22" ht="21" customHeight="1">
      <c r="B6" s="24" t="s">
        <v>7</v>
      </c>
      <c r="D6" s="3" t="s">
        <v>8</v>
      </c>
      <c r="E6" s="3"/>
      <c r="F6" s="3"/>
      <c r="G6" s="3"/>
      <c r="H6" s="3"/>
      <c r="I6" s="3"/>
    </row>
    <row r="7" spans="2:22" ht="20.45" customHeight="1">
      <c r="B7" s="24" t="s">
        <v>9</v>
      </c>
      <c r="D7" s="3" t="s">
        <v>10</v>
      </c>
      <c r="E7" s="3"/>
      <c r="F7" s="3"/>
      <c r="G7" s="3"/>
      <c r="H7" s="3"/>
      <c r="I7" s="3"/>
    </row>
    <row r="8" spans="2:22" ht="21.6" customHeight="1">
      <c r="B8" s="24" t="s">
        <v>11</v>
      </c>
      <c r="D8" s="3" t="s">
        <v>12</v>
      </c>
      <c r="E8" s="3"/>
      <c r="F8" s="3"/>
      <c r="G8" s="3"/>
      <c r="H8" s="3"/>
      <c r="I8" s="3"/>
    </row>
    <row r="9" spans="2:22" ht="14.45">
      <c r="C9" s="3"/>
      <c r="D9" s="21"/>
      <c r="E9" s="21"/>
      <c r="F9" s="21"/>
      <c r="G9" s="21"/>
      <c r="H9" s="21"/>
      <c r="I9" s="21"/>
    </row>
    <row r="10" spans="2:22">
      <c r="B10" s="25" t="s">
        <v>13</v>
      </c>
      <c r="C10" s="26"/>
      <c r="D10" s="25" t="s">
        <v>14</v>
      </c>
      <c r="E10" s="9"/>
      <c r="F10" s="9"/>
      <c r="I10" s="18" t="s">
        <v>15</v>
      </c>
    </row>
    <row r="11" spans="2:22">
      <c r="B11" s="25" t="s">
        <v>16</v>
      </c>
      <c r="C11" s="26"/>
      <c r="D11" s="25" t="s">
        <v>17</v>
      </c>
      <c r="E11" s="9"/>
      <c r="F11" s="9"/>
    </row>
    <row r="12" spans="2:22" ht="14.45" thickBot="1"/>
    <row r="13" spans="2:22" s="10" customFormat="1" ht="55.9" thickBot="1">
      <c r="B13" s="36" t="s">
        <v>18</v>
      </c>
      <c r="C13" s="34" t="s">
        <v>19</v>
      </c>
      <c r="D13" s="34" t="s">
        <v>20</v>
      </c>
      <c r="E13" s="34" t="s">
        <v>21</v>
      </c>
      <c r="F13" s="34" t="s">
        <v>22</v>
      </c>
      <c r="G13" s="34" t="s">
        <v>23</v>
      </c>
      <c r="H13" s="34" t="s">
        <v>24</v>
      </c>
      <c r="I13" s="37" t="s">
        <v>25</v>
      </c>
      <c r="J13" s="30" t="s">
        <v>26</v>
      </c>
      <c r="K13" s="30" t="s">
        <v>27</v>
      </c>
      <c r="L13" s="30" t="s">
        <v>28</v>
      </c>
      <c r="M13" s="31" t="s">
        <v>29</v>
      </c>
      <c r="N13" s="14" t="s">
        <v>30</v>
      </c>
      <c r="O13" s="14" t="s">
        <v>31</v>
      </c>
      <c r="P13" s="14" t="s">
        <v>32</v>
      </c>
      <c r="Q13" s="15" t="s">
        <v>33</v>
      </c>
      <c r="R13" s="16" t="s">
        <v>34</v>
      </c>
      <c r="S13" s="16" t="s">
        <v>35</v>
      </c>
      <c r="T13" s="16" t="s">
        <v>36</v>
      </c>
      <c r="U13" s="16" t="s">
        <v>37</v>
      </c>
      <c r="V13" s="17" t="s">
        <v>38</v>
      </c>
    </row>
    <row r="14" spans="2:22" s="10" customFormat="1" ht="124.15">
      <c r="B14" s="38" t="s">
        <v>39</v>
      </c>
      <c r="C14" s="10" t="s">
        <v>40</v>
      </c>
      <c r="D14" s="10" t="s">
        <v>41</v>
      </c>
      <c r="E14" s="10" t="s">
        <v>42</v>
      </c>
      <c r="F14" s="10" t="s">
        <v>43</v>
      </c>
      <c r="G14" s="10" t="s">
        <v>44</v>
      </c>
      <c r="H14" s="10" t="s">
        <v>45</v>
      </c>
      <c r="I14" s="39" t="s">
        <v>46</v>
      </c>
      <c r="N14" s="10">
        <v>3</v>
      </c>
      <c r="O14" s="10">
        <f>Tableau3[[#This Row],[HJ Dev]]*(25%+50%)</f>
        <v>2.25</v>
      </c>
      <c r="P14" s="10">
        <f>Tableau3[[#This Row],[HJ Analyse et Test]]+Tableau3[[#This Row],[HJ Dev]]</f>
        <v>5.25</v>
      </c>
      <c r="Q14" s="10" t="s">
        <v>47</v>
      </c>
      <c r="R14" s="10" t="s">
        <v>47</v>
      </c>
      <c r="S14" s="10" t="s">
        <v>47</v>
      </c>
      <c r="T14" s="10" t="s">
        <v>47</v>
      </c>
      <c r="U14" s="10" t="s">
        <v>47</v>
      </c>
    </row>
    <row r="15" spans="2:22" s="10" customFormat="1" ht="41.45">
      <c r="B15" s="38" t="s">
        <v>48</v>
      </c>
      <c r="C15" s="10" t="s">
        <v>49</v>
      </c>
      <c r="D15" s="10" t="s">
        <v>41</v>
      </c>
      <c r="E15" s="10" t="s">
        <v>42</v>
      </c>
      <c r="F15" s="10" t="s">
        <v>43</v>
      </c>
      <c r="G15" s="10" t="s">
        <v>50</v>
      </c>
      <c r="H15" s="10" t="s">
        <v>45</v>
      </c>
      <c r="I15" s="39" t="s">
        <v>51</v>
      </c>
      <c r="N15" s="10">
        <v>2</v>
      </c>
      <c r="O15" s="10">
        <f>Tableau3[[#This Row],[HJ Dev]]*(25%+50%)</f>
        <v>1.5</v>
      </c>
      <c r="P15" s="10">
        <f>Tableau3[[#This Row],[HJ Analyse et Test]]+Tableau3[[#This Row],[HJ Dev]]</f>
        <v>3.5</v>
      </c>
    </row>
    <row r="16" spans="2:22" s="10" customFormat="1" ht="205.5">
      <c r="B16" s="38" t="s">
        <v>52</v>
      </c>
      <c r="C16" s="10" t="s">
        <v>53</v>
      </c>
      <c r="D16" s="10" t="s">
        <v>41</v>
      </c>
      <c r="E16" s="10" t="s">
        <v>42</v>
      </c>
      <c r="F16" s="10" t="s">
        <v>43</v>
      </c>
      <c r="G16" s="10" t="s">
        <v>54</v>
      </c>
      <c r="H16" s="10" t="s">
        <v>45</v>
      </c>
      <c r="I16" s="39" t="s">
        <v>55</v>
      </c>
      <c r="N16" s="10">
        <v>0</v>
      </c>
      <c r="O16" s="10">
        <f>Tableau3[[#This Row],[HJ Dev]]*(25%+50%)</f>
        <v>0</v>
      </c>
      <c r="P16" s="10">
        <f>Tableau3[[#This Row],[HJ Analyse et Test]]+Tableau3[[#This Row],[HJ Dev]]</f>
        <v>0</v>
      </c>
    </row>
    <row r="17" spans="2:22" s="10" customFormat="1" ht="27.6">
      <c r="B17" s="38" t="s">
        <v>56</v>
      </c>
      <c r="C17" s="10" t="s">
        <v>57</v>
      </c>
      <c r="D17" s="10" t="s">
        <v>41</v>
      </c>
      <c r="E17" s="10" t="s">
        <v>42</v>
      </c>
      <c r="F17" s="10" t="s">
        <v>43</v>
      </c>
      <c r="G17" s="10" t="s">
        <v>58</v>
      </c>
      <c r="H17" s="10" t="s">
        <v>45</v>
      </c>
      <c r="I17" s="39" t="s">
        <v>59</v>
      </c>
      <c r="N17" s="10">
        <v>0</v>
      </c>
      <c r="O17" s="10">
        <f>Tableau3[[#This Row],[HJ Dev]]*(25%+50%)</f>
        <v>0</v>
      </c>
      <c r="P17" s="10">
        <f>Tableau3[[#This Row],[HJ Analyse et Test]]+Tableau3[[#This Row],[HJ Dev]]</f>
        <v>0</v>
      </c>
    </row>
    <row r="18" spans="2:22" s="10" customFormat="1" ht="28.15" thickBot="1">
      <c r="B18" s="38" t="s">
        <v>60</v>
      </c>
      <c r="C18" s="33" t="s">
        <v>61</v>
      </c>
      <c r="D18" s="33" t="s">
        <v>41</v>
      </c>
      <c r="E18" s="33" t="s">
        <v>42</v>
      </c>
      <c r="F18" s="33" t="s">
        <v>43</v>
      </c>
      <c r="G18" s="33" t="s">
        <v>62</v>
      </c>
      <c r="H18" s="33" t="s">
        <v>45</v>
      </c>
      <c r="I18" s="40" t="s">
        <v>63</v>
      </c>
      <c r="N18" s="10">
        <v>0</v>
      </c>
      <c r="O18" s="10">
        <f>Tableau3[[#This Row],[HJ Dev]]*(25%+50%)</f>
        <v>0</v>
      </c>
      <c r="P18" s="10">
        <f>Tableau3[[#This Row],[HJ Analyse et Test]]+Tableau3[[#This Row],[HJ Dev]]</f>
        <v>0</v>
      </c>
    </row>
    <row r="19" spans="2:22" s="10" customFormat="1" ht="96.6">
      <c r="B19" s="38" t="s">
        <v>64</v>
      </c>
      <c r="C19" s="10" t="s">
        <v>65</v>
      </c>
      <c r="D19" s="10" t="s">
        <v>41</v>
      </c>
      <c r="E19" s="10" t="s">
        <v>42</v>
      </c>
      <c r="F19" s="10" t="s">
        <v>43</v>
      </c>
      <c r="G19" s="10" t="s">
        <v>66</v>
      </c>
      <c r="H19" s="10" t="s">
        <v>45</v>
      </c>
      <c r="I19" s="39" t="s">
        <v>67</v>
      </c>
      <c r="N19" s="10">
        <v>0</v>
      </c>
      <c r="O19" s="10">
        <f>Tableau3[[#This Row],[HJ Dev]]*(25%+50%)</f>
        <v>0</v>
      </c>
      <c r="P19" s="10">
        <f>Tableau3[[#This Row],[HJ Analyse et Test]]+Tableau3[[#This Row],[HJ Dev]]</f>
        <v>0</v>
      </c>
    </row>
    <row r="20" spans="2:22" s="10" customFormat="1" ht="96.6">
      <c r="B20" s="38" t="s">
        <v>68</v>
      </c>
      <c r="C20" s="10" t="s">
        <v>69</v>
      </c>
      <c r="D20" s="10" t="s">
        <v>41</v>
      </c>
      <c r="E20" s="10" t="s">
        <v>42</v>
      </c>
      <c r="F20" s="10" t="s">
        <v>43</v>
      </c>
      <c r="G20" s="10" t="s">
        <v>70</v>
      </c>
      <c r="H20" s="10" t="s">
        <v>45</v>
      </c>
      <c r="I20" s="41" t="s">
        <v>71</v>
      </c>
      <c r="N20" s="10">
        <v>0</v>
      </c>
      <c r="O20" s="10">
        <f>Tableau3[[#This Row],[HJ Dev]]*(25%+50%)</f>
        <v>0</v>
      </c>
      <c r="P20" s="10">
        <f>Tableau3[[#This Row],[HJ Analyse et Test]]+Tableau3[[#This Row],[HJ Dev]]</f>
        <v>0</v>
      </c>
    </row>
    <row r="21" spans="2:22" s="10" customFormat="1" ht="41.45">
      <c r="B21" s="38" t="s">
        <v>72</v>
      </c>
      <c r="C21" s="10" t="s">
        <v>73</v>
      </c>
      <c r="D21" s="10" t="s">
        <v>41</v>
      </c>
      <c r="E21" s="10" t="s">
        <v>42</v>
      </c>
      <c r="F21" s="10" t="s">
        <v>43</v>
      </c>
      <c r="G21" s="32" t="s">
        <v>74</v>
      </c>
      <c r="H21" s="10" t="s">
        <v>45</v>
      </c>
      <c r="I21" s="41" t="s">
        <v>75</v>
      </c>
      <c r="N21" s="10">
        <v>0</v>
      </c>
      <c r="O21" s="10">
        <f>Tableau3[[#This Row],[HJ Dev]]*(25%+50%)</f>
        <v>0</v>
      </c>
      <c r="P21" s="10">
        <f>Tableau3[[#This Row],[HJ Analyse et Test]]+Tableau3[[#This Row],[HJ Dev]]</f>
        <v>0</v>
      </c>
    </row>
    <row r="22" spans="2:22" s="10" customFormat="1" ht="102.75">
      <c r="B22" s="38" t="s">
        <v>76</v>
      </c>
      <c r="C22" s="10" t="s">
        <v>77</v>
      </c>
      <c r="D22" s="10" t="s">
        <v>41</v>
      </c>
      <c r="E22" s="10" t="s">
        <v>42</v>
      </c>
      <c r="F22" s="10" t="s">
        <v>43</v>
      </c>
      <c r="G22" s="10" t="s">
        <v>78</v>
      </c>
      <c r="H22" s="10" t="s">
        <v>45</v>
      </c>
      <c r="I22" s="39" t="s">
        <v>79</v>
      </c>
      <c r="N22" s="10">
        <v>6</v>
      </c>
      <c r="O22" s="10">
        <f>Tableau3[[#This Row],[HJ Dev]]*(25%+50%)</f>
        <v>4.5</v>
      </c>
      <c r="P22" s="10">
        <f>Tableau3[[#This Row],[HJ Analyse et Test]]+Tableau3[[#This Row],[HJ Dev]]</f>
        <v>10.5</v>
      </c>
    </row>
    <row r="23" spans="2:22" s="10" customFormat="1" ht="111" thickBot="1">
      <c r="B23" s="38" t="s">
        <v>80</v>
      </c>
      <c r="C23" s="33" t="s">
        <v>81</v>
      </c>
      <c r="D23" s="33" t="s">
        <v>41</v>
      </c>
      <c r="E23" s="33" t="s">
        <v>42</v>
      </c>
      <c r="F23" s="33" t="s">
        <v>43</v>
      </c>
      <c r="G23" s="33" t="s">
        <v>82</v>
      </c>
      <c r="H23" s="33" t="s">
        <v>45</v>
      </c>
      <c r="I23" s="40" t="s">
        <v>83</v>
      </c>
      <c r="N23" s="10">
        <v>2</v>
      </c>
      <c r="O23" s="10">
        <f>Tableau3[[#This Row],[HJ Dev]]*(25%+50%)</f>
        <v>1.5</v>
      </c>
      <c r="P23" s="10">
        <f>Tableau3[[#This Row],[HJ Analyse et Test]]+Tableau3[[#This Row],[HJ Dev]]</f>
        <v>3.5</v>
      </c>
    </row>
    <row r="24" spans="2:22" s="10" customFormat="1" ht="110.45">
      <c r="B24" s="38" t="s">
        <v>84</v>
      </c>
      <c r="C24" s="10" t="s">
        <v>85</v>
      </c>
      <c r="D24" s="10" t="s">
        <v>41</v>
      </c>
      <c r="E24" s="10" t="s">
        <v>42</v>
      </c>
      <c r="F24" s="10" t="s">
        <v>43</v>
      </c>
      <c r="G24" s="10" t="s">
        <v>86</v>
      </c>
      <c r="H24" s="10" t="s">
        <v>45</v>
      </c>
      <c r="I24" s="39" t="s">
        <v>87</v>
      </c>
      <c r="N24" s="10">
        <v>3</v>
      </c>
      <c r="O24" s="10">
        <f>Tableau3[[#This Row],[HJ Dev]]*(25%+50%)</f>
        <v>2.25</v>
      </c>
      <c r="P24" s="10">
        <f>Tableau3[[#This Row],[HJ Analyse et Test]]+Tableau3[[#This Row],[HJ Dev]]</f>
        <v>5.25</v>
      </c>
    </row>
    <row r="25" spans="2:22" s="10" customFormat="1" ht="110.45">
      <c r="B25" s="38" t="s">
        <v>88</v>
      </c>
      <c r="C25" s="10" t="s">
        <v>89</v>
      </c>
      <c r="D25" s="10" t="s">
        <v>41</v>
      </c>
      <c r="E25" s="10" t="s">
        <v>42</v>
      </c>
      <c r="F25" s="10" t="s">
        <v>43</v>
      </c>
      <c r="G25" s="10" t="s">
        <v>90</v>
      </c>
      <c r="H25" s="10" t="s">
        <v>45</v>
      </c>
      <c r="I25" s="39" t="s">
        <v>91</v>
      </c>
      <c r="N25" s="10">
        <v>2</v>
      </c>
      <c r="O25" s="10">
        <f>Tableau3[[#This Row],[HJ Dev]]*(25%+50%)</f>
        <v>1.5</v>
      </c>
      <c r="P25" s="10">
        <f>Tableau3[[#This Row],[HJ Analyse et Test]]+Tableau3[[#This Row],[HJ Dev]]</f>
        <v>3.5</v>
      </c>
    </row>
    <row r="26" spans="2:22" s="10" customFormat="1" ht="138">
      <c r="B26" s="38" t="s">
        <v>92</v>
      </c>
      <c r="C26" s="10" t="s">
        <v>93</v>
      </c>
      <c r="D26" s="10" t="s">
        <v>41</v>
      </c>
      <c r="E26" s="10" t="s">
        <v>42</v>
      </c>
      <c r="F26" s="10" t="s">
        <v>43</v>
      </c>
      <c r="G26" s="10" t="s">
        <v>94</v>
      </c>
      <c r="H26" s="10" t="s">
        <v>45</v>
      </c>
      <c r="I26" s="39" t="s">
        <v>95</v>
      </c>
      <c r="N26" s="10">
        <v>3</v>
      </c>
      <c r="O26" s="10">
        <f>Tableau3[[#This Row],[HJ Dev]]*(25%+50%)</f>
        <v>2.25</v>
      </c>
      <c r="P26" s="10">
        <f>Tableau3[[#This Row],[HJ Analyse et Test]]+Tableau3[[#This Row],[HJ Dev]]</f>
        <v>5.25</v>
      </c>
    </row>
    <row r="27" spans="2:22" s="10" customFormat="1" ht="124.15">
      <c r="B27" s="38" t="s">
        <v>96</v>
      </c>
      <c r="C27" s="10" t="s">
        <v>97</v>
      </c>
      <c r="D27" s="10" t="s">
        <v>41</v>
      </c>
      <c r="E27" s="10" t="s">
        <v>42</v>
      </c>
      <c r="F27" s="10" t="s">
        <v>43</v>
      </c>
      <c r="G27" s="10" t="s">
        <v>98</v>
      </c>
      <c r="H27" s="10" t="s">
        <v>45</v>
      </c>
      <c r="I27" s="39" t="s">
        <v>99</v>
      </c>
      <c r="N27" s="10">
        <v>2</v>
      </c>
      <c r="O27" s="10">
        <f>Tableau3[[#This Row],[HJ Dev]]*(25%+50%)</f>
        <v>1.5</v>
      </c>
      <c r="P27" s="10">
        <f>Tableau3[[#This Row],[HJ Analyse et Test]]+Tableau3[[#This Row],[HJ Dev]]</f>
        <v>3.5</v>
      </c>
    </row>
    <row r="28" spans="2:22" s="10" customFormat="1" ht="110.45">
      <c r="B28" s="38" t="s">
        <v>100</v>
      </c>
      <c r="C28" s="10" t="s">
        <v>101</v>
      </c>
      <c r="D28" s="10" t="s">
        <v>41</v>
      </c>
      <c r="E28" s="10" t="s">
        <v>42</v>
      </c>
      <c r="F28" s="10" t="s">
        <v>43</v>
      </c>
      <c r="G28" s="10" t="s">
        <v>102</v>
      </c>
      <c r="H28" s="10" t="s">
        <v>45</v>
      </c>
      <c r="I28" s="39" t="s">
        <v>103</v>
      </c>
      <c r="N28" s="10">
        <v>6</v>
      </c>
      <c r="O28" s="10">
        <f>Tableau3[[#This Row],[HJ Dev]]*(25%+50%)</f>
        <v>4.5</v>
      </c>
      <c r="P28" s="10">
        <f>Tableau3[[#This Row],[HJ Analyse et Test]]+Tableau3[[#This Row],[HJ Dev]]</f>
        <v>10.5</v>
      </c>
      <c r="V28" s="10" t="s">
        <v>104</v>
      </c>
    </row>
    <row r="29" spans="2:22" s="10" customFormat="1" ht="34.9" customHeight="1">
      <c r="B29" s="42" t="s">
        <v>105</v>
      </c>
      <c r="C29" s="35" t="s">
        <v>106</v>
      </c>
      <c r="D29" s="35" t="s">
        <v>41</v>
      </c>
      <c r="E29" s="35" t="s">
        <v>42</v>
      </c>
      <c r="F29" s="35" t="s">
        <v>43</v>
      </c>
      <c r="G29" s="35" t="s">
        <v>107</v>
      </c>
      <c r="H29" s="35" t="s">
        <v>45</v>
      </c>
      <c r="I29" s="43" t="s">
        <v>108</v>
      </c>
      <c r="N29" s="10">
        <v>3</v>
      </c>
      <c r="O29" s="10">
        <f>Tableau3[[#This Row],[HJ Dev]]*(25%+50%)</f>
        <v>2.25</v>
      </c>
      <c r="P29" s="10">
        <f>Tableau3[[#This Row],[HJ Analyse et Test]]+Tableau3[[#This Row],[HJ Dev]]</f>
        <v>5.25</v>
      </c>
      <c r="V29" s="10" t="s">
        <v>104</v>
      </c>
    </row>
    <row r="30" spans="2:22" ht="36" customHeight="1">
      <c r="B30" s="10"/>
      <c r="C30" s="10"/>
      <c r="D30" s="10"/>
      <c r="E30" s="10"/>
      <c r="F30" s="10"/>
      <c r="G30" s="10"/>
      <c r="H30" s="10"/>
      <c r="I30" s="10"/>
      <c r="J30" s="10"/>
      <c r="K30" s="10"/>
      <c r="L30" s="10"/>
      <c r="M30" s="10"/>
      <c r="N30" s="10">
        <f>SUBTOTAL(109,Tableau3[HJ Dev])</f>
        <v>32</v>
      </c>
      <c r="O30" s="10">
        <f>SUBTOTAL(109,Tableau3[HJ Analyse et Test])</f>
        <v>24</v>
      </c>
      <c r="P30" s="10">
        <f>SUBTOTAL(109,Tableau3[Total HJ])</f>
        <v>56</v>
      </c>
      <c r="Q30" s="10"/>
      <c r="R30" s="10"/>
      <c r="S30" s="10"/>
      <c r="T30" s="10"/>
      <c r="U30" s="10"/>
      <c r="V30" s="10"/>
    </row>
  </sheetData>
  <mergeCells count="3">
    <mergeCell ref="Q2:V2"/>
    <mergeCell ref="B2:M2"/>
    <mergeCell ref="N2:P2"/>
  </mergeCells>
  <phoneticPr fontId="2" type="noConversion"/>
  <dataValidations count="2">
    <dataValidation type="whole" operator="greaterThanOrEqual" allowBlank="1" showInputMessage="1" showErrorMessage="1" sqref="N14:N29 P14:P29" xr:uid="{10E2E794-3894-4CC1-AB1A-9BB5BF41EABB}">
      <formula1>0</formula1>
    </dataValidation>
    <dataValidation operator="greaterThanOrEqual" allowBlank="1" showInputMessage="1" showErrorMessage="1" sqref="O14:O29" xr:uid="{7B927AA8-B162-4C28-B319-6F92CB6A64A1}"/>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7">
        <x14:dataValidation type="list" allowBlank="1" showInputMessage="1" showErrorMessage="1" xr:uid="{63E576AD-8CDE-4B1B-8DEC-1BE67CC8DE6D}">
          <x14:formula1>
            <xm:f>Params!$D$3:$D$10</xm:f>
          </x14:formula1>
          <xm:sqref>F15:F19</xm:sqref>
        </x14:dataValidation>
        <x14:dataValidation type="list" allowBlank="1" showInputMessage="1" showErrorMessage="1" xr:uid="{63FB3CBD-0303-4DD5-A1D9-0AE10EE7B36C}">
          <x14:formula1>
            <xm:f>Params!$C$3:$C$10</xm:f>
          </x14:formula1>
          <xm:sqref>D15:D19 D22:D27</xm:sqref>
        </x14:dataValidation>
        <x14:dataValidation type="list" allowBlank="1" showInputMessage="1" showErrorMessage="1" xr:uid="{ACD971DD-EBC0-49A2-8B0F-955749BFC348}">
          <x14:formula1>
            <xm:f>Params!$I$3:$I$19</xm:f>
          </x14:formula1>
          <xm:sqref>E15:E19</xm:sqref>
        </x14:dataValidation>
        <x14:dataValidation type="list" allowBlank="1" showInputMessage="1" showErrorMessage="1" xr:uid="{9E253E9F-6967-4CE3-BEC2-E6EF086F8550}">
          <x14:formula1>
            <xm:f>Params!$B$3:$B$10</xm:f>
          </x14:formula1>
          <xm:sqref>D4</xm:sqref>
        </x14:dataValidation>
        <x14:dataValidation type="list" allowBlank="1" showInputMessage="1" showErrorMessage="1" xr:uid="{C43D2377-E8A5-4EC4-8F56-2516FCD07F2A}">
          <x14:formula1>
            <xm:f>Params!$E$3:$E$12</xm:f>
          </x14:formula1>
          <xm:sqref>H14:H29</xm:sqref>
        </x14:dataValidation>
        <x14:dataValidation type="list" allowBlank="1" showInputMessage="1" showErrorMessage="1" xr:uid="{06B2A4DB-2A94-4B0B-971B-CDFF438E23BA}">
          <x14:formula1>
            <xm:f>Params!$G$3:$G$9</xm:f>
          </x14:formula1>
          <xm:sqref>M14:M29</xm:sqref>
        </x14:dataValidation>
        <x14:dataValidation type="list" allowBlank="1" showInputMessage="1" showErrorMessage="1" xr:uid="{1F2CF1C1-BE35-4DC9-A975-F49F788F3D6A}">
          <x14:formula1>
            <xm:f>Params!$H$3:$H$6</xm:f>
          </x14:formula1>
          <xm:sqref>K14:K29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F15" sqref="F15"/>
    </sheetView>
  </sheetViews>
  <sheetFormatPr defaultColWidth="11.42578125" defaultRowHeight="14.4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 thickBot="1"/>
    <row r="3" spans="1:7" ht="24" customHeight="1" thickBot="1">
      <c r="A3" s="2" t="s">
        <v>109</v>
      </c>
      <c r="B3" s="53" t="s">
        <v>0</v>
      </c>
      <c r="C3" s="54"/>
      <c r="D3" s="54"/>
      <c r="E3" s="54"/>
      <c r="F3" s="54"/>
      <c r="G3" s="55"/>
    </row>
    <row r="4" spans="1:7">
      <c r="B4" s="4"/>
      <c r="C4" s="5"/>
      <c r="D4" s="5"/>
      <c r="E4" s="5"/>
      <c r="F4" s="5"/>
      <c r="G4" s="5"/>
    </row>
    <row r="5" spans="1:7">
      <c r="B5" s="12" t="str">
        <f>'Gestion Exigences'!B5</f>
        <v>Client</v>
      </c>
      <c r="D5" s="12" t="str">
        <f>'Gestion Exigences'!D5</f>
        <v>ADWYA - Novation City</v>
      </c>
      <c r="E5" s="5"/>
      <c r="F5" s="5"/>
      <c r="G5" s="5"/>
    </row>
    <row r="6" spans="1:7">
      <c r="B6" s="12" t="str">
        <f>'Gestion Exigences'!B6</f>
        <v>Projet</v>
      </c>
      <c r="D6" s="12" t="str">
        <f>'Gestion Exigences'!D6</f>
        <v>Digitalisation Usine Beta</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22" t="str">
        <f>'Gestion Exigences'!B10</f>
        <v>Réf Modèle Document</v>
      </c>
      <c r="C10" s="23" t="str">
        <f>'Gestion Exigences'!D10</f>
        <v>MD203</v>
      </c>
      <c r="D10" s="5"/>
      <c r="E10" s="5"/>
      <c r="F10" s="5"/>
      <c r="G10" s="5"/>
    </row>
    <row r="11" spans="1:7">
      <c r="B11" s="22" t="str">
        <f>'Gestion Exigences'!B11</f>
        <v>Version Modèle Document</v>
      </c>
      <c r="C11" s="23" t="str">
        <f>'Gestion Exigences'!D11</f>
        <v>V1.5</v>
      </c>
      <c r="D11" s="5"/>
      <c r="E11" s="5"/>
      <c r="F11" s="5"/>
      <c r="G11" s="5"/>
    </row>
    <row r="12" spans="1:7">
      <c r="B12" s="4"/>
      <c r="C12" s="5"/>
      <c r="D12" s="5"/>
      <c r="E12" s="5"/>
      <c r="F12" s="5"/>
      <c r="G12" s="5"/>
    </row>
    <row r="13" spans="1:7">
      <c r="B13" s="13" t="s">
        <v>110</v>
      </c>
      <c r="C13" s="13" t="s">
        <v>111</v>
      </c>
      <c r="D13" s="13" t="s">
        <v>112</v>
      </c>
      <c r="E13" s="13" t="s">
        <v>113</v>
      </c>
      <c r="F13" s="13" t="s">
        <v>114</v>
      </c>
      <c r="G13" s="13" t="s">
        <v>115</v>
      </c>
    </row>
    <row r="14" spans="1:7" ht="29.45" customHeight="1">
      <c r="B14" s="6" t="s">
        <v>116</v>
      </c>
      <c r="C14" s="7">
        <v>45342</v>
      </c>
      <c r="D14" s="20" t="s">
        <v>117</v>
      </c>
      <c r="E14" s="6" t="s">
        <v>118</v>
      </c>
      <c r="F14" s="19" t="s">
        <v>119</v>
      </c>
      <c r="G14" s="6" t="s">
        <v>120</v>
      </c>
    </row>
    <row r="15" spans="1:7">
      <c r="C15" s="29"/>
    </row>
    <row r="16" spans="1:7">
      <c r="C16" s="29"/>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defaultColWidth="11.42578125" defaultRowHeight="13.9"/>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9" ht="27.6">
      <c r="B2" s="11" t="s">
        <v>3</v>
      </c>
      <c r="C2" s="11" t="s">
        <v>20</v>
      </c>
      <c r="D2" s="11" t="s">
        <v>121</v>
      </c>
      <c r="E2" s="11" t="s">
        <v>24</v>
      </c>
      <c r="F2" s="11" t="s">
        <v>122</v>
      </c>
      <c r="G2" s="11" t="s">
        <v>29</v>
      </c>
      <c r="H2" s="11" t="s">
        <v>123</v>
      </c>
      <c r="I2" s="11" t="s">
        <v>21</v>
      </c>
    </row>
    <row r="3" spans="2:9">
      <c r="B3" s="10" t="s">
        <v>124</v>
      </c>
      <c r="C3" s="10" t="s">
        <v>41</v>
      </c>
      <c r="D3" s="10" t="s">
        <v>43</v>
      </c>
      <c r="E3" s="10" t="s">
        <v>45</v>
      </c>
      <c r="F3" s="10" t="s">
        <v>125</v>
      </c>
      <c r="G3" s="10" t="s">
        <v>126</v>
      </c>
      <c r="H3" s="10" t="s">
        <v>127</v>
      </c>
      <c r="I3" s="10" t="s">
        <v>128</v>
      </c>
    </row>
    <row r="4" spans="2:9">
      <c r="B4" s="10" t="s">
        <v>129</v>
      </c>
      <c r="C4" s="10" t="s">
        <v>130</v>
      </c>
      <c r="D4" s="10" t="s">
        <v>131</v>
      </c>
      <c r="E4" s="10" t="s">
        <v>132</v>
      </c>
      <c r="F4" s="10" t="s">
        <v>133</v>
      </c>
      <c r="G4" s="10" t="s">
        <v>134</v>
      </c>
      <c r="H4" s="10" t="s">
        <v>135</v>
      </c>
      <c r="I4" s="10" t="s">
        <v>136</v>
      </c>
    </row>
    <row r="5" spans="2:9">
      <c r="B5" s="10" t="s">
        <v>137</v>
      </c>
      <c r="C5" s="10" t="s">
        <v>138</v>
      </c>
      <c r="D5" s="10" t="s">
        <v>139</v>
      </c>
      <c r="E5" s="10" t="s">
        <v>140</v>
      </c>
      <c r="F5" s="10" t="s">
        <v>47</v>
      </c>
      <c r="G5" s="10" t="s">
        <v>47</v>
      </c>
      <c r="H5" s="10" t="s">
        <v>47</v>
      </c>
      <c r="I5" s="10" t="s">
        <v>141</v>
      </c>
    </row>
    <row r="6" spans="2:9">
      <c r="B6" s="10" t="s">
        <v>4</v>
      </c>
      <c r="C6" s="10" t="s">
        <v>142</v>
      </c>
      <c r="D6" s="10" t="s">
        <v>143</v>
      </c>
      <c r="E6" s="10" t="s">
        <v>144</v>
      </c>
      <c r="I6" s="10" t="s">
        <v>145</v>
      </c>
    </row>
    <row r="7" spans="2:9">
      <c r="B7" s="10" t="s">
        <v>146</v>
      </c>
      <c r="C7" s="10" t="s">
        <v>147</v>
      </c>
      <c r="D7" s="10" t="s">
        <v>148</v>
      </c>
      <c r="E7" s="10" t="s">
        <v>149</v>
      </c>
      <c r="I7" s="10" t="s">
        <v>150</v>
      </c>
    </row>
    <row r="8" spans="2:9">
      <c r="B8" s="10" t="s">
        <v>151</v>
      </c>
      <c r="C8" s="10" t="s">
        <v>152</v>
      </c>
      <c r="E8" s="10" t="s">
        <v>153</v>
      </c>
      <c r="I8" s="10" t="s">
        <v>154</v>
      </c>
    </row>
    <row r="9" spans="2:9">
      <c r="B9" s="10" t="s">
        <v>155</v>
      </c>
      <c r="E9" s="10" t="s">
        <v>156</v>
      </c>
      <c r="I9" s="10" t="s">
        <v>157</v>
      </c>
    </row>
    <row r="10" spans="2:9">
      <c r="I10" s="10" t="s">
        <v>158</v>
      </c>
    </row>
    <row r="11" spans="2:9">
      <c r="I11" s="10" t="s">
        <v>159</v>
      </c>
    </row>
    <row r="13" spans="2:9">
      <c r="I13" s="10" t="s">
        <v>160</v>
      </c>
    </row>
    <row r="14" spans="2:9">
      <c r="I14" s="10" t="s">
        <v>161</v>
      </c>
    </row>
    <row r="15" spans="2:9">
      <c r="I15" s="10" t="s">
        <v>42</v>
      </c>
    </row>
    <row r="16" spans="2:9">
      <c r="I16" s="10" t="s">
        <v>162</v>
      </c>
    </row>
    <row r="17" spans="9:9">
      <c r="I17" s="10" t="s">
        <v>163</v>
      </c>
    </row>
    <row r="18" spans="9:9">
      <c r="I18" s="10" t="s">
        <v>164</v>
      </c>
    </row>
    <row r="19" spans="9:9">
      <c r="I19" s="10" t="s">
        <v>165</v>
      </c>
    </row>
    <row r="21" spans="9:9">
      <c r="I21" s="10" t="s">
        <v>166</v>
      </c>
    </row>
    <row r="22" spans="9:9" ht="27.6">
      <c r="I22" s="10" t="s">
        <v>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9D302555-D56C-4F04-867C-AD4BB2235666}"/>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85503822-DF13-4051-A489-72B75648E37A}"/>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2024-09-24T20:12:56Z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