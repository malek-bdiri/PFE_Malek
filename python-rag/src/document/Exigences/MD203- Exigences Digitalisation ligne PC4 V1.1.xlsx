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addixo.sharepoint.com/COM/Documents partages/02 Prospects/La Rose Blanche (DIARI)/8 SF/01 Projet de digitalisation ligne PC4/2 Préparation Offre/"/>
    </mc:Choice>
  </mc:AlternateContent>
  <xr:revisionPtr revIDLastSave="356" documentId="13_ncr:1_{E30A3273-4CBF-4370-9EF0-546D91EEC9AE}" xr6:coauthVersionLast="47" xr6:coauthVersionMax="47" xr10:uidLastSave="{C114C89B-75E7-4BC8-AB1B-C0A5E460B000}"/>
  <bookViews>
    <workbookView xWindow="-120" yWindow="-120" windowWidth="20730" windowHeight="11040" tabRatio="620" xr2:uid="{00000000-000D-0000-FFFF-FFFF00000000}"/>
  </bookViews>
  <sheets>
    <sheet name="Gestion Exigences" sheetId="27" r:id="rId1"/>
    <sheet name="Params" sheetId="30" r:id="rId2"/>
    <sheet name="Modifs Doc" sheetId="29" r:id="rId3"/>
  </sheets>
  <definedNames>
    <definedName name="_xlnm.Print_Area" localSheetId="0">'Gestion Exigences'!$C$2:$I$30</definedName>
    <definedName name="_xlnm.Print_Area" localSheetId="2">'Modifs Doc'!$B$2:$G$18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5" i="27" l="1"/>
  <c r="N35" i="27"/>
  <c r="P34" i="27"/>
  <c r="Q33" i="27"/>
  <c r="R33" i="27" s="1"/>
  <c r="S33" i="27" s="1"/>
  <c r="T33" i="27" s="1"/>
  <c r="U33" i="27" s="1"/>
  <c r="N34" i="27"/>
  <c r="O13" i="27"/>
  <c r="O14" i="27"/>
  <c r="O15" i="27"/>
  <c r="O16" i="27"/>
  <c r="O17" i="27"/>
  <c r="O18" i="27"/>
  <c r="O19" i="27"/>
  <c r="O20" i="27"/>
  <c r="O21" i="27"/>
  <c r="O22" i="27"/>
  <c r="O23" i="27"/>
  <c r="O24" i="27"/>
  <c r="O25" i="27"/>
  <c r="O26" i="27"/>
  <c r="O27" i="27"/>
  <c r="O28" i="27"/>
  <c r="O29" i="27"/>
  <c r="O30" i="27"/>
  <c r="O31" i="27"/>
  <c r="O32" i="27"/>
  <c r="O33" i="27"/>
  <c r="P13" i="27" l="1"/>
  <c r="P22" i="27"/>
  <c r="P20" i="27"/>
  <c r="P31" i="27"/>
  <c r="P15" i="27" l="1"/>
  <c r="P16" i="27"/>
  <c r="P33" i="27"/>
  <c r="N12" i="27"/>
  <c r="O12" i="27" s="1"/>
  <c r="P32" i="27" l="1"/>
  <c r="P26" i="27" l="1"/>
  <c r="P28" i="27"/>
  <c r="P29" i="27"/>
  <c r="P30" i="27"/>
  <c r="P25" i="27"/>
  <c r="P24" i="27"/>
  <c r="P23" i="27"/>
  <c r="P21" i="27"/>
  <c r="P19" i="27"/>
  <c r="P18" i="27" l="1"/>
  <c r="P27" i="27" l="1"/>
  <c r="P12" i="27"/>
  <c r="P14" i="27"/>
  <c r="P17" i="27"/>
  <c r="C5" i="29"/>
  <c r="C6" i="29"/>
  <c r="C7" i="29"/>
  <c r="C8" i="29"/>
  <c r="C9" i="29"/>
  <c r="C10" i="29"/>
  <c r="B6" i="29"/>
  <c r="B7" i="29"/>
  <c r="B8" i="29"/>
  <c r="B9" i="29"/>
  <c r="B10" i="29"/>
  <c r="B5" i="29"/>
  <c r="P35" i="2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tc={5C078C71-ABD1-4F5D-9F52-1E06CE8C63D0}</author>
  </authors>
  <commentList>
    <comment ref="N16" authorId="0" shapeId="0" xr:uid="{5C078C71-ABD1-4F5D-9F52-1E06CE8C63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@Imed Ayadi Estimation pour refactoring du flux OF permettant la gestion des OF multilignes. Peut on diviser ce budget sur plusieurs projet ?</t>
      </text>
    </comment>
  </commentList>
</comments>
</file>

<file path=xl/sharedStrings.xml><?xml version="1.0" encoding="utf-8"?>
<sst xmlns="http://schemas.openxmlformats.org/spreadsheetml/2006/main" count="313" uniqueCount="209">
  <si>
    <t xml:space="preserve"> </t>
  </si>
  <si>
    <t>N/A</t>
  </si>
  <si>
    <t>Projet</t>
  </si>
  <si>
    <t>Approbateur</t>
  </si>
  <si>
    <t>Client</t>
  </si>
  <si>
    <t>Oui</t>
  </si>
  <si>
    <t>Notes</t>
  </si>
  <si>
    <t>Commerciale</t>
  </si>
  <si>
    <t>Conception</t>
  </si>
  <si>
    <t>Réalisation</t>
  </si>
  <si>
    <t>ID</t>
  </si>
  <si>
    <t>Exigence</t>
  </si>
  <si>
    <t>Nature</t>
  </si>
  <si>
    <t>Fonctionnelle</t>
  </si>
  <si>
    <t>Reglementaire</t>
  </si>
  <si>
    <t>Standard Client</t>
  </si>
  <si>
    <t>Standard ADDIXO</t>
  </si>
  <si>
    <t>Source</t>
  </si>
  <si>
    <t>Standards client</t>
  </si>
  <si>
    <t>Standards ADDIXO</t>
  </si>
  <si>
    <t>E001</t>
  </si>
  <si>
    <t>E002</t>
  </si>
  <si>
    <t>E003</t>
  </si>
  <si>
    <t>E004</t>
  </si>
  <si>
    <t>E006</t>
  </si>
  <si>
    <t>E007</t>
  </si>
  <si>
    <t>Conception réalisée par:</t>
  </si>
  <si>
    <t>Statut Client</t>
  </si>
  <si>
    <t>Desciption de la solution ADDIXO</t>
  </si>
  <si>
    <t>Performance</t>
  </si>
  <si>
    <t>Description de l'exigence</t>
  </si>
  <si>
    <t>Non validée par client</t>
  </si>
  <si>
    <t>Réf BPA du Projet</t>
  </si>
  <si>
    <t>Réf Modèle Document</t>
  </si>
  <si>
    <t>Version</t>
  </si>
  <si>
    <t>Date</t>
  </si>
  <si>
    <t>Modifications</t>
  </si>
  <si>
    <t>Auteur(s)</t>
  </si>
  <si>
    <t>Vérificateur(s)</t>
  </si>
  <si>
    <t>V1.5</t>
  </si>
  <si>
    <t>Oui/Non</t>
  </si>
  <si>
    <t>Non</t>
  </si>
  <si>
    <t>Mise en œuvre</t>
  </si>
  <si>
    <t>Exigence idenfiée pendant la phase</t>
  </si>
  <si>
    <t>Exigence identifiée pendant la phase</t>
  </si>
  <si>
    <t>Support et maintenance</t>
  </si>
  <si>
    <t>Reglementation</t>
  </si>
  <si>
    <t>Workshop/réunion client</t>
  </si>
  <si>
    <t>Workshop/réunion Interne</t>
  </si>
  <si>
    <t>Ecart entre exigence client et la solution proposée - préciser aussi les limites et hypothèses si applicable</t>
  </si>
  <si>
    <t>Revue conception réalisée par</t>
  </si>
  <si>
    <t>Vérification de la conception réalisée par</t>
  </si>
  <si>
    <t xml:space="preserve">Preuve de vérification </t>
  </si>
  <si>
    <t>Gestion Exigences Projet</t>
  </si>
  <si>
    <t>Revue et Vérification pendant la Conception</t>
  </si>
  <si>
    <t>Réf BPA du Devis</t>
  </si>
  <si>
    <t>S0-00xy</t>
  </si>
  <si>
    <t>PR-22-0xyz</t>
  </si>
  <si>
    <t>Version Modèle Document</t>
  </si>
  <si>
    <t>MD203</t>
  </si>
  <si>
    <t>CdC client</t>
  </si>
  <si>
    <t>Statut Interne</t>
  </si>
  <si>
    <t>Non validée</t>
  </si>
  <si>
    <t>Validée</t>
  </si>
  <si>
    <t>Validée par le client</t>
  </si>
  <si>
    <t>Description comment la conception de la solution prend en compte l'exigence client</t>
  </si>
  <si>
    <t>Sécurité</t>
  </si>
  <si>
    <t>Catégorie</t>
  </si>
  <si>
    <t>*** SE</t>
  </si>
  <si>
    <t>*** SF</t>
  </si>
  <si>
    <t>Demande modification</t>
  </si>
  <si>
    <t>HJ Dev</t>
  </si>
  <si>
    <t>HJ Analyse et test</t>
  </si>
  <si>
    <t>Total HJ</t>
  </si>
  <si>
    <t>Chiffrage Réalisation SF</t>
  </si>
  <si>
    <t>SE-Processus</t>
  </si>
  <si>
    <t>SE-Mécanique</t>
  </si>
  <si>
    <t>SE-Electrique</t>
  </si>
  <si>
    <t>SE-Auto</t>
  </si>
  <si>
    <t>SE-Fabrication</t>
  </si>
  <si>
    <t>SE-Soft</t>
  </si>
  <si>
    <t>SE-Intégration</t>
  </si>
  <si>
    <t>SE-Achats</t>
  </si>
  <si>
    <t>SF-Processus</t>
  </si>
  <si>
    <t>SF-Fonctionnelle</t>
  </si>
  <si>
    <t>SF-Connectivité Machine</t>
  </si>
  <si>
    <t>SF-Intégration SI</t>
  </si>
  <si>
    <t>SF-Software</t>
  </si>
  <si>
    <t>SF-Infra IT</t>
  </si>
  <si>
    <t>Validation Interne</t>
  </si>
  <si>
    <t>Validation Interne par:</t>
  </si>
  <si>
    <t>Imed A.</t>
  </si>
  <si>
    <t>*** TC</t>
  </si>
  <si>
    <t>TC-Prestations sur site client</t>
  </si>
  <si>
    <t xml:space="preserve">La rose blanche </t>
  </si>
  <si>
    <t>Digitalisation ligne PC4</t>
  </si>
  <si>
    <t>Suivi de la consommation énergétique par produit</t>
  </si>
  <si>
    <t>E010</t>
  </si>
  <si>
    <t>E011</t>
  </si>
  <si>
    <t>E012</t>
  </si>
  <si>
    <t>E013</t>
  </si>
  <si>
    <t>E014</t>
  </si>
  <si>
    <t>La détection des métaux est une non-conformité majeure qui provoque une alerte. La lecture du poids du paquet signalé n’est pas pertinente.</t>
  </si>
  <si>
    <t xml:space="preserve">Gestion des équipes </t>
  </si>
  <si>
    <t>Intégrer la gestion des équipes (Planification ouverture ligne)</t>
  </si>
  <si>
    <t>E015</t>
  </si>
  <si>
    <t>E016</t>
  </si>
  <si>
    <t>E017</t>
  </si>
  <si>
    <t xml:space="preserve">Gestion du débit matière </t>
  </si>
  <si>
    <t>E018</t>
  </si>
  <si>
    <t>Gestion des déchets en temps réel</t>
  </si>
  <si>
    <t xml:space="preserve">Historisation des déchets </t>
  </si>
  <si>
    <t>V1.0</t>
  </si>
  <si>
    <t>Version initiale</t>
  </si>
  <si>
    <t>Nihel K.</t>
  </si>
  <si>
    <t>Mahdi B.</t>
  </si>
  <si>
    <t>Suivre la source et la destination des quantités reçues et consommées.</t>
  </si>
  <si>
    <t>Intégrer la gestion des déchets : Suivre les quantités à broyer et les quantités broyées.</t>
  </si>
  <si>
    <t>E019</t>
  </si>
  <si>
    <t>E020</t>
  </si>
  <si>
    <t>E005</t>
  </si>
  <si>
    <t>E008</t>
  </si>
  <si>
    <t>E009</t>
  </si>
  <si>
    <t>Suivre le flux des matières</t>
  </si>
  <si>
    <t> Suivre les quantités à broyer et les quantités broyées.</t>
  </si>
  <si>
    <t>Vérification des nombres de paqueet conformes</t>
  </si>
  <si>
    <t xml:space="preserve">Gestion des arrêts non planifiès </t>
  </si>
  <si>
    <t xml:space="preserve">Gestion des arrêts planifiés </t>
  </si>
  <si>
    <t xml:space="preserve">Gestion des alertes </t>
  </si>
  <si>
    <t>Les quantités produites en vrac sont contrôlées. Celles rebutées sont pesées sur place avant de passer au broyage.</t>
  </si>
  <si>
    <t>Intégrer le suivi des indicateurs en temps réel  : 
•TRS et TRG
•Temps de réalisation
•Temps d’ouverture
•Temps de fonctionnement</t>
  </si>
  <si>
    <t xml:space="preserve">Gestion de la consommation énergitique </t>
  </si>
  <si>
    <t xml:space="preserve">La quantité produite est déterminé à partir des contrôleuses de poids via un transmetteur de poids DAT 1400 installé dans chaque ligne de conditionnement(B1,B2,B3,B4,B5).
</t>
  </si>
  <si>
    <t>Gestion quantités non-conformes en KG</t>
  </si>
  <si>
    <t xml:space="preserve">Module gestion des équipes </t>
  </si>
  <si>
    <t>Le déchet est historisé dans un tableau sur Smart Factory avec possibilité d’extraction des données sous formes de fichier Excel.</t>
  </si>
  <si>
    <t xml:space="preserve">Vérifier les nombres de paquet reçus par fardeleuse et les nombres de paquets déclarés à partir du contrôleuse de poids </t>
  </si>
  <si>
    <t>Interfaçage avec la fardeleuse (fin de ligne) pour vérifier le nombre de paquet conforme par rapport à celui déclarés à partir de la contrôleuse de poids. 
Ceci nécessite la vérification de la disponibilité des informations au niveau de la fardeleuse.</t>
  </si>
  <si>
    <t xml:space="preserve">Ajout d'un tableau pour afficher et comparer le nombre de paquet conforme par rapport à celui déclarés à partir de la contrôleuse de poids. </t>
  </si>
  <si>
    <t>Intégrer le suivi des arrêts : 
•Les arrêts planifiés ne sont pas inclus dans le calcul du TRS
•Les arrêts planifiés affecte le TRG.</t>
  </si>
  <si>
    <t xml:space="preserve">Les arrêts planifiés sont définis et gérés au niveau de Smart Factory </t>
  </si>
  <si>
    <t xml:space="preserve">Les arrêts non planifiés sont définis et gérés au niveau de Smart Factory </t>
  </si>
  <si>
    <t>Gestion des OF multilignes</t>
  </si>
  <si>
    <t>utilisation du module standard de Smart Factory</t>
  </si>
  <si>
    <t>La solution proposée permet l'affectation du même numéro OF sur plusieurs lignes.
Les quantités déclarées sur ces lignes seront groupées et affichées par OF.</t>
  </si>
  <si>
    <t>Permettre l'historisation des déchets et leurs affichage sous forme de tableau ou de graphique</t>
  </si>
  <si>
    <t xml:space="preserve">Suivre les quantités reçues au niveau du chaque silo et les quantités consommées par chaque ligne
Ces informations sont lues à partir d'un fichier Excel disponible sur un PC connecté au serveur.  </t>
  </si>
  <si>
    <t>Ajouter un tableau contient : 
•Les quantités produites en vrac
•Les quantités rebutées</t>
  </si>
  <si>
    <t xml:space="preserve">Suivi paramètres process </t>
  </si>
  <si>
    <t xml:space="preserve">Suivi des paramètres process </t>
  </si>
  <si>
    <t>Suivi des paramètres process via OPC avec une fréquence entre 10 et 30 secondes</t>
  </si>
  <si>
    <t xml:space="preserve">Suivi de la consommation énergétique par produit </t>
  </si>
  <si>
    <t xml:space="preserve">Ajout des interfaces de suivi des paramètres process en temps réel et en historique.
L'affichage des données stockées peut être effecuté sous forme de tableau et graphe ou extraites sous forme de fichier Excel. </t>
  </si>
  <si>
    <t>Adaptation au niveau de la gestion des arrêts :  
• Les arrêts non planifiés sont lancés au niveau de Smart Factory par le conducteur machines. La cause d’arrêt est définie à la fin de l’arrêt.
•Les arrêts sont définis par l’absence du signal Production pour une période paramétré dans Smart Factory. Ce signal est indiqué par le capteur passage entrée du détecteur de métaux.</t>
  </si>
  <si>
    <t xml:space="preserve">V1.1 </t>
  </si>
  <si>
    <t>Préciser la desciption de la solution ADDIXO
Préciser l'ecart entre exigence client et la solution proposée</t>
  </si>
  <si>
    <t>•Interfaçage avec  les contrôleuses des poids via un transmetteur de poids DAT 1400
•Déclaration des quantités produites au niveau des contrôleuses des poids et le nombre de paquets conformes</t>
  </si>
  <si>
    <t>E021</t>
  </si>
  <si>
    <t>Intégrer la gestion de la matière première en temps réel et en historique</t>
  </si>
  <si>
    <t>Chargement des OF à partir de l'ERP</t>
  </si>
  <si>
    <t>•Interfaçage entre l'ERP et ADDIXO Smart Factory pour lire les OF à partir de l'ERP.
•Ceci peut être effectué automatiquement en fonction d'une fréquence déterminée ou en appuyant sur un bouton.
•Cet écart nécessite un travail de collaboration entre l'équipe ADDIXO et l'équipe ERP.</t>
  </si>
  <si>
    <t>♦ADDIXO Smart Factory permet la création et la manipulation des OF via l'interface "Liste OF" et la lecture des OF à partir de l'ERP via le module Intégration SI.
♦L'intégration des OF s'effectue soit par : 
       •Chargement des OF d'une manière automatisée à partir de ERP 
       •Création manuelle des OF via Smart Factory</t>
  </si>
  <si>
    <t>Chargement des OF</t>
  </si>
  <si>
    <t>Renvoi des données des OF de SF vers ERP</t>
  </si>
  <si>
    <t xml:space="preserve">Retour vers ERP par rapport des données des OF </t>
  </si>
  <si>
    <t>ADDIXO Smart Factory permet d''envoyer les données des OF de ADDIXO Smart Factory via le module Integration SI</t>
  </si>
  <si>
    <t>•Interfaçage entre l'ERP et ADDIXO Smart Factory pour envoyer les données des OF vers l'ERP.
•Adaptation webservices retour de Smart Factory vers ERP
•Ceci peut être effectué automatiquement en fonction d'une fréquence déterminée ou en appuyant sur un bouton.
•Cet écart nécessite un travail de collaboration entre l'équipe ADDIXO et l'équipe ERP.</t>
  </si>
  <si>
    <t>Création et manipulation d'un seul OF sur plusieurs lignes</t>
  </si>
  <si>
    <t>ADDIXO Smart Factory permet de : 
•Afficher les indicateurs (TRS, TR, TO,TF) en temps réel au niveau de l'interface "Vue 360°"
•Historiser les indicateurs (TRS, TR, TO,TF) au niveau de la vue management et le tableau de bord.</t>
  </si>
  <si>
    <t xml:space="preserve">•Calculer le TRG et l'afficher en temps réel au niveau de l'interface "vue 360°"
•Affichage du TRG au niveau de la vue du TB et de la vue management 
•La disponibilité des données nécessaires pour le calcul des indicateurs est à vérifier.
</t>
  </si>
  <si>
    <t>Suivi des indicateurs</t>
  </si>
  <si>
    <t xml:space="preserve">Intégrer la gestion des quantités non conformes à partir des contrôleuses des poids : Les contrôleuses affichent le poids de chaque paquet tout en éliminant ceux avec un poids inférieur à une limite de contrôle paramétrée par le client </t>
  </si>
  <si>
    <t>•Les quantités non conformes sont définies par le poid des sachets éliminés au niveau des contrôleuses des poids 
•Les quantités non-conformes sont calculées dans ADDIXO Smart Factory : Smart Factory définit les sachets non conformes à partir du poids reçu et calcule la somme du poids de ces sachets.</t>
  </si>
  <si>
    <t>Gestion de la matière première</t>
  </si>
  <si>
    <t>Récupérer automatiquement les quantités produites à partir des contrôleuses des poids de chaque ligne de contionnement</t>
  </si>
  <si>
    <t xml:space="preserve"> Intégrer la gestion du débit matière en temps réel et en historique</t>
  </si>
  <si>
    <t>Ajout d'une interface opérationnelle permettant les fonctionnalités suivantes :
•Lecture du débit matière (Réception et Extraction) à partir de l’automate 
•Afficher le débit matière en temps réel au niveau de la vue 360°
•Stocker le débit matière en historique et l'afficher au niveau du TB sous forme de courbe 
•Une méthode d'exploitation des fichiers sera intégrée sous forme d'un bouton au niveau de l'interface "Débit matière" dans le module "Matière première"</t>
  </si>
  <si>
    <t>chiffrage total ( tout le flux de gestion of/ligne )</t>
  </si>
  <si>
    <t>Intégrer la gestion des déchets dans Smart Factory :
•les quantités à broyer de déchets sont lues à partir d’un fichier Excel en temps réel ou déclarées manuellement via une tablette 
•la quantité broyée est déclarée sur une bascule et  par la suite lue à partir d’un fichier CSV.</t>
  </si>
  <si>
    <t xml:space="preserve">Ajout d'une interface de gestion des déchets permettant les fonctionnalités suivantes :
•Lecture des quantités à broyer à partir d’un fichier Excel en temps réel 
•Déclarer manuellement les quantités à broyer en KG sous forme d'un tableau 
•Lecture des quantités broyées à partir d'un fichier excel </t>
  </si>
  <si>
    <t xml:space="preserve">Ajout d'une interface permettant les fonctionnalités suivantes :
•Afficher les quantités consommées par chaque ligne sous forme d'un tableau 
•Afficher les quantités reçues par les silos sous forme d'un tableau </t>
  </si>
  <si>
    <t xml:space="preserve">ADDIXO Smart Factory permet de : 
•Envoyer une nottification lors de la détection des métaux au niveau chaque ligne </t>
  </si>
  <si>
    <t>Intégrer le suivi des arrêts non planifés : 
•Les arrêts non-planifiés sont lus à partir des machines ou lancés manuellement par le conducteur machine.</t>
  </si>
  <si>
    <t>Les quantités produites en vrac sont contrôlées et stockées en Smart Factory manuellement.</t>
  </si>
  <si>
    <t>E022</t>
  </si>
  <si>
    <t xml:space="preserve">Chargement  des OM </t>
  </si>
  <si>
    <t>Chargement des OM préventives à partir de GMAO</t>
  </si>
  <si>
    <t>Renvoi des données des OM de SF vers GMAO</t>
  </si>
  <si>
    <t>Retour vers GMAO par rapport des données des OM</t>
  </si>
  <si>
    <t xml:space="preserve">•ADDIXO Smart Factory permet la lecture des OM via l'interface "Liste OM" et le chargement des OM à partir de GMAO via le module Intégration SI.
</t>
  </si>
  <si>
    <t>Adaptation d'un webservise pour lire les OM à partir du GMAO. Ceci peut être effectué automatiquement en fonction d'une fréquence déterminée ou en appuyant sur un bouton.
Cet écart nécessite un travail de collaboration entre l'équipe ADDIXO et l'équipe GMAO.</t>
  </si>
  <si>
    <t>ADDIXO Smart Factory permet d''envoyer les données des OM de ADDIXO Smart Factory via le module Integration SI</t>
  </si>
  <si>
    <t>Adaptation d'un webservise pour envoyer les données OM vers GMAO. Ceci peut être effectué automatiquement en fonction d'une fréquence déterminée ou en appuyant sur un bouton.
Cet écart nécessite un travail de collaboration entre l'équipe ADDIXO et l'équipe GMAO.</t>
  </si>
  <si>
    <t xml:space="preserve">•Afficher les quantités non conformes reçues au niveau de l'interface "historique production".
•Calculer  la somme du poids de ces sachets et l'afficher au niveau TB 
Hypothèse : La communication avec les contrôleuses de poids est possible. </t>
  </si>
  <si>
    <t xml:space="preserve">•Envoi d'un message Détection métaux de Edge vers SF 
•Réception et traitment du message au niveau de SF 
•Envoi d'une notification et déclenchement d'une alerte sonore </t>
  </si>
  <si>
    <t>Permettre la lecture des données nécessaires pour la gestion de la matière première :
Toutes les informations nécessaires sont extraites à partir d’un fichier Excel disponible sur un PC (en Temps réel).
• Une méthode d'exploitation des fichiers sera intégrée.</t>
  </si>
  <si>
    <t xml:space="preserve">Ajout des interfaces opérationnelles permettant les fonctionnalités suivantes :
•L'affichage graphique de la quantité reçue au niveau des silos 
•L'affichage graphique de la quantité envoyée aux lignes de production.
</t>
  </si>
  <si>
    <t>• Ajouter un flux qui permet de créer et affecter un seul OF sur pluieurs lignes.
Ceci nécessite une révision et adapatation au niveau de plusieurs interface : 
• Ajouter la multiselection des plusieurs lignes au niveau de l'interface "ajouter un nouveau OF"
• Affichage d'un OF sur plusieurs ligne au niveau de l'interface "Vue 360°"
• Adaptation de la gestion des fiches de démarrage, fin de série et de suivi pour supporter la déclaration sur plusieurs lignes.
• Adaptation de la déclaration manuelle et automatique de production pour déclarer des quantités 
• Adaptation de l'historisation des OF et des données de production dans les interfaces : Historique Production, Détails Production, Détails Qualité, Résumé OF, 
• Adaptation des tableaux de bord Production, Qualité et Maintenance</t>
  </si>
  <si>
    <t>ADDIXO Smart Factory permet de : 
•Lire les données matière à partir d'un fichier excel et de les exploiter en temps réel et en historique.
•L'extraction des données sous forme de fichier CSV.</t>
  </si>
  <si>
    <t>ADDIXO Smart Factory permet de : 
•Afficher les données sous forme de tableau ou graphique.
•L'extraction des données sous forme de fichier CSV.</t>
  </si>
  <si>
    <t xml:space="preserve">Récuppération des quantités produites </t>
  </si>
  <si>
    <t>Suivi des quantités produites  au niveau du stockage en vrac.</t>
  </si>
  <si>
    <t xml:space="preserve">suivre le débit matière en temps réel à partir d'un fichier excel disponible sur un PC connecté au serveur </t>
  </si>
  <si>
    <t>E023</t>
  </si>
  <si>
    <t xml:space="preserve">Connectivité avec fardouleuse </t>
  </si>
  <si>
    <t>Récupérer automatiquement les quantités produites à partir des fardouleuses de chaque ligne de contionnement</t>
  </si>
  <si>
    <t xml:space="preserve">La quantité produite est déterminé à partir des fardouleuses de chaque ligne de contionnement
</t>
  </si>
  <si>
    <t>•Interfaçage avec les fardouleuses
•Déclaration des quantités produites au niveau des fardouleuses</t>
  </si>
  <si>
    <t xml:space="preserve"> Confidentiel - Usage Externe Limité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</si>
</sst>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1"/>
      <color rgb="FFFF0000"/>
      <name val="Calibri Light"/>
      <family val="2"/>
      <scheme val="major"/>
    </font>
  </fonts>
  <fills count="5">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s>
  <cellStyleXfs count="1">
    <xf numFmtId="0" fontId="0" fillId="0" borderId="0"/>
  </cellStyleXfs>
  <cellXfs count="41">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vertical="center"/>
    </xf>
    <xf numFmtId="0" fontId="15"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0" fillId="0" borderId="0" xfId="0" applyFont="1" applyAlignment="1">
      <alignment wrapText="1"/>
    </xf>
    <xf numFmtId="0" fontId="10" fillId="0" borderId="0" xfId="0" applyFont="1" applyAlignment="1">
      <alignment vertical="center" wrapText="1"/>
    </xf>
    <xf numFmtId="0" fontId="16" fillId="0" borderId="0" xfId="0" applyFont="1" applyAlignment="1">
      <alignment wrapText="1"/>
    </xf>
    <xf numFmtId="14" fontId="3" fillId="0" borderId="0" xfId="0" applyNumberFormat="1" applyFont="1" applyAlignment="1">
      <alignment wrapText="1"/>
    </xf>
    <xf numFmtId="0" fontId="8" fillId="0" borderId="0" xfId="0" applyFont="1" applyAlignment="1">
      <alignment wrapText="1"/>
    </xf>
    <xf numFmtId="2" fontId="1" fillId="0" borderId="0" xfId="0" applyNumberFormat="1" applyFont="1" applyAlignment="1">
      <alignment vertical="center" wrapText="1"/>
    </xf>
    <xf numFmtId="0" fontId="5" fillId="0" borderId="0" xfId="0" applyFont="1" applyAlignment="1">
      <alignment horizontal="left" wrapText="1"/>
    </xf>
    <xf numFmtId="0" fontId="12" fillId="2" borderId="5" xfId="0" applyFont="1" applyFill="1" applyBorder="1" applyAlignment="1">
      <alignment horizontal="center" wrapText="1"/>
    </xf>
    <xf numFmtId="0" fontId="12" fillId="2" borderId="4"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52">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Imed Ayadi" id="{2F79D685-011A-4889-9BB5-8C7DD80D216B}" userId="imed.ayadi@addixo.com" providerId="PeoplePicker"/>
  <person displayName="Nihel Kadri" id="{CD16240E-001A-4C66-BC9C-184F33CAAFD3}" userId="S::nihel.kadry@addixo.com::1a8bea01-d142-4d80-af98-ab200912a46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1:V35" totalsRowCount="1" headerRowDxfId="51" dataDxfId="50">
  <autoFilter ref="B11:V34" xr:uid="{DDEA2C8B-EE0D-4C55-9256-CCC64E002CE6}"/>
  <tableColumns count="21">
    <tableColumn id="1" xr3:uid="{E467E0EE-CDAA-4FF5-85A8-CDC0B23A5AD9}" name="ID" dataDxfId="49" totalsRowDxfId="20"/>
    <tableColumn id="2" xr3:uid="{E53952AC-4972-47BD-8B1D-C7EF23088D0D}" name="Exigence" dataDxfId="48" totalsRowDxfId="19"/>
    <tableColumn id="8" xr3:uid="{B2D0BC2C-C803-4015-8FA6-70F84517BDB2}" name="Nature" dataDxfId="47" totalsRowDxfId="18"/>
    <tableColumn id="7" xr3:uid="{24F2F0ED-022E-4EC1-91D8-BFE0E4F2FD36}" name="Catégorie" dataDxfId="46" totalsRowDxfId="17"/>
    <tableColumn id="10" xr3:uid="{1FF81CF1-6D35-421C-8767-9E7FA06FEE6A}" name="Exigence idenfiée pendant la phase" dataDxfId="45" totalsRowDxfId="16"/>
    <tableColumn id="3" xr3:uid="{E7621A68-9552-4853-96A5-92A226EA42DD}" name="Description de l'exigence" dataDxfId="44" totalsRowDxfId="15"/>
    <tableColumn id="9" xr3:uid="{E6EEEC82-3576-4980-94B3-1423906CE531}" name="Source" dataDxfId="43" totalsRowDxfId="14"/>
    <tableColumn id="16" xr3:uid="{1441554A-79F9-4040-9CF5-AEBFF7ADF7D1}" name="Desciption de la solution ADDIXO" dataDxfId="42" totalsRowDxfId="13"/>
    <tableColumn id="17" xr3:uid="{D1BC9C86-C3CE-417F-AC83-FC4786A7656D}" name="Ecart entre exigence client et la solution proposée - préciser aussi les limites et hypothèses si applicable" dataDxfId="41" totalsRowDxfId="12"/>
    <tableColumn id="5" xr3:uid="{2649C3B7-E8B9-44F9-8883-E5BB6F91B4B1}" name="Validation Interne" dataDxfId="40" totalsRowDxfId="11"/>
    <tableColumn id="6" xr3:uid="{8CC493F8-0886-498D-AB98-B77300CC6510}" name="Validation Interne par:" dataDxfId="39" totalsRowDxfId="10"/>
    <tableColumn id="15" xr3:uid="{78231C60-0932-4386-925D-4C689A91C0E3}" name="Statut Client" dataDxfId="38" totalsRowDxfId="9"/>
    <tableColumn id="22" xr3:uid="{D944A0FD-E468-407F-91A6-BD8A29086A7B}" name="HJ Dev" totalsRowFunction="sum" dataDxfId="37" totalsRowDxfId="8"/>
    <tableColumn id="21" xr3:uid="{818C68C5-1CC3-4DC9-9BB8-2CB7816ABE9F}" name="HJ Analyse et test" totalsRowFunction="sum" dataDxfId="36" totalsRowDxfId="7">
      <calculatedColumnFormula>Tableau3[[#This Row],[HJ Dev]]*(50%+25%)</calculatedColumnFormula>
    </tableColumn>
    <tableColumn id="20" xr3:uid="{81CB5860-4285-4425-ABF9-C91F3323BF25}" name="Total HJ" totalsRowFunction="sum" dataDxfId="35" totalsRowDxfId="6">
      <calculatedColumnFormula>Tableau3[[#This Row],[HJ Analyse et test]]+Tableau3[[#This Row],[HJ Dev]]</calculatedColumnFormula>
    </tableColumn>
    <tableColumn id="11" xr3:uid="{20685332-73A9-4B9D-874E-F1C9F770405F}" name="Description comment la conception de la solution prend en compte l'exigence client" dataDxfId="34" totalsRowDxfId="5"/>
    <tableColumn id="12" xr3:uid="{36B390F4-625A-46E1-864B-7108903FFD96}" name="Conception réalisée par:" dataDxfId="33" totalsRowDxfId="4"/>
    <tableColumn id="13" xr3:uid="{9016419E-83A5-4950-AB28-EA27A0D72FAD}" name="Revue conception réalisée par" dataDxfId="32" totalsRowDxfId="3"/>
    <tableColumn id="14" xr3:uid="{B5F29B7E-09EB-43EF-BD3D-9ADF38F7CC12}" name="Vérification de la conception réalisée par" dataDxfId="31" totalsRowDxfId="2"/>
    <tableColumn id="18" xr3:uid="{0CA25C90-64D6-43D5-90C8-CE6D70CCA638}" name="Preuve de vérification " dataDxfId="30" totalsRowDxfId="1"/>
    <tableColumn id="4" xr3:uid="{B7406A3A-A365-4F76-9A20-372573D19BC9}" name="Notes" dataDxfId="29"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28" dataDxfId="27">
  <autoFilter ref="B13:G18" xr:uid="{96AD1385-A1F5-4391-ABC2-C9F250557626}"/>
  <tableColumns count="6">
    <tableColumn id="1" xr3:uid="{56DA355E-F205-482A-9CF1-CA3361A1D801}" name="Version" dataDxfId="26"/>
    <tableColumn id="2" xr3:uid="{C9D8A0D7-1D6E-479B-AF74-6D39D19E4653}" name="Date" dataDxfId="25"/>
    <tableColumn id="3" xr3:uid="{79109713-8A38-4162-A269-136157905B75}" name="Modifications" dataDxfId="24"/>
    <tableColumn id="4" xr3:uid="{AC928B3E-399C-4A3D-9FB5-9CD96F5D4745}" name="Auteur(s)" dataDxfId="23"/>
    <tableColumn id="5" xr3:uid="{0D0A428D-4F18-4D4E-A0CB-4D1A5057B6E9}" name="Vérificateur(s)" dataDxfId="22"/>
    <tableColumn id="6" xr3:uid="{D81EAB57-FBCA-44D9-8F45-58AF13AA08B6}" name="Approbateur" dataDxfId="21"/>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16" dT="2023-01-13T09:28:01.45" personId="{CD16240E-001A-4C66-BC9C-184F33CAAFD3}" id="{5C078C71-ABD1-4F5D-9F52-1E06CE8C63D0}">
    <text>@Imed Ayadi Estimation pour refactoring du flux OF permettant la gestion des OF multilignes. Peut on diviser ce budget sur plusieurs projet ?</text>
    <mentions>
      <mention mentionpersonId="{2F79D685-011A-4889-9BB5-8C7DD80D216B}" mentionId="{0F5EF01C-7D17-48E5-9603-F3B8A25B4FF5}" startIndex="0" length="11"/>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35"/>
  <sheetViews>
    <sheetView tabSelected="1" topLeftCell="A15" zoomScale="80" zoomScaleNormal="80" workbookViewId="0">
      <selection activeCell="G41" sqref="G41"/>
    </sheetView>
  </sheetViews>
  <sheetFormatPr baseColWidth="10" defaultRowHeight="12.75" x14ac:dyDescent="0.2"/>
  <cols>
    <col min="1" max="1" width="11.42578125" style="1"/>
    <col min="2" max="2" width="6.140625" style="1" customWidth="1"/>
    <col min="3" max="3" width="22" style="1" customWidth="1"/>
    <col min="4" max="4" width="12.28515625" style="1" customWidth="1"/>
    <col min="5" max="5" width="14" style="1" customWidth="1"/>
    <col min="6" max="6" width="11.7109375" style="1" customWidth="1"/>
    <col min="7" max="7" width="32.42578125" style="1" customWidth="1"/>
    <col min="8" max="8" width="13.7109375" style="1" customWidth="1"/>
    <col min="9" max="9" width="70.85546875" style="1" customWidth="1"/>
    <col min="10" max="10" width="73" style="1" customWidth="1"/>
    <col min="11" max="12" width="13.5703125" style="1" customWidth="1"/>
    <col min="13" max="13" width="15.28515625" style="1" customWidth="1"/>
    <col min="14" max="14" width="13.28515625" style="1" customWidth="1"/>
    <col min="15" max="15" width="11.42578125" style="1" customWidth="1"/>
    <col min="16" max="16" width="15.28515625" style="1" customWidth="1"/>
    <col min="17" max="17" width="28.140625" style="1" hidden="1" customWidth="1"/>
    <col min="18" max="18" width="15.7109375" style="1" hidden="1" customWidth="1"/>
    <col min="19" max="19" width="14.28515625" style="1" hidden="1" customWidth="1"/>
    <col min="20" max="20" width="15.140625" style="1" hidden="1" customWidth="1"/>
    <col min="21" max="21" width="26" style="1" hidden="1" customWidth="1"/>
    <col min="22" max="22" width="20.7109375" style="1" customWidth="1"/>
    <col min="23" max="16384" width="11.42578125" style="1"/>
  </cols>
  <sheetData>
    <row r="1" spans="2:22" ht="13.5" thickBot="1" x14ac:dyDescent="0.25"/>
    <row r="2" spans="2:22" ht="21.75" customHeight="1" thickBot="1" x14ac:dyDescent="0.35">
      <c r="B2" s="32" t="s">
        <v>53</v>
      </c>
      <c r="C2" s="33"/>
      <c r="D2" s="33"/>
      <c r="E2" s="33"/>
      <c r="F2" s="33"/>
      <c r="G2" s="33"/>
      <c r="H2" s="33"/>
      <c r="I2" s="33"/>
      <c r="J2" s="33"/>
      <c r="K2" s="33"/>
      <c r="L2" s="33"/>
      <c r="M2" s="34"/>
      <c r="N2" s="35" t="s">
        <v>74</v>
      </c>
      <c r="O2" s="36"/>
      <c r="P2" s="37"/>
      <c r="Q2" s="30" t="s">
        <v>54</v>
      </c>
      <c r="R2" s="31"/>
      <c r="S2" s="31"/>
      <c r="T2" s="31"/>
      <c r="U2" s="31"/>
      <c r="V2" s="31"/>
    </row>
    <row r="3" spans="2:22" ht="21.75" customHeight="1" x14ac:dyDescent="0.2">
      <c r="C3" s="8"/>
      <c r="D3" s="8"/>
      <c r="E3" s="8"/>
      <c r="F3" s="8"/>
      <c r="G3" s="8"/>
      <c r="H3" s="8"/>
      <c r="I3" s="8"/>
    </row>
    <row r="4" spans="2:22" ht="21.75" customHeight="1" x14ac:dyDescent="0.25">
      <c r="C4" s="3" t="s">
        <v>4</v>
      </c>
      <c r="D4" s="29" t="s">
        <v>94</v>
      </c>
      <c r="E4" s="29"/>
      <c r="F4" s="29"/>
      <c r="G4" s="29"/>
      <c r="H4" s="29"/>
      <c r="I4" s="29"/>
    </row>
    <row r="5" spans="2:22" ht="15" x14ac:dyDescent="0.25">
      <c r="C5" s="3" t="s">
        <v>2</v>
      </c>
      <c r="D5" s="29" t="s">
        <v>95</v>
      </c>
      <c r="E5" s="29"/>
      <c r="F5" s="29"/>
      <c r="G5" s="29"/>
      <c r="H5" s="29"/>
      <c r="I5" s="29"/>
    </row>
    <row r="6" spans="2:22" ht="15" x14ac:dyDescent="0.25">
      <c r="C6" s="3" t="s">
        <v>55</v>
      </c>
      <c r="D6" s="29" t="s">
        <v>56</v>
      </c>
      <c r="E6" s="29"/>
      <c r="F6" s="29"/>
      <c r="G6" s="29"/>
      <c r="H6" s="29"/>
      <c r="I6" s="29"/>
    </row>
    <row r="7" spans="2:22" ht="15" x14ac:dyDescent="0.25">
      <c r="C7" s="3" t="s">
        <v>32</v>
      </c>
      <c r="D7" s="29" t="s">
        <v>57</v>
      </c>
      <c r="E7" s="29"/>
      <c r="F7" s="29"/>
      <c r="G7" s="29"/>
      <c r="H7" s="29"/>
      <c r="I7" s="29"/>
    </row>
    <row r="8" spans="2:22" ht="15" x14ac:dyDescent="0.25">
      <c r="C8" s="9" t="s">
        <v>33</v>
      </c>
      <c r="D8" s="9" t="s">
        <v>59</v>
      </c>
      <c r="E8" s="9"/>
      <c r="F8" s="9"/>
      <c r="I8" s="25" t="s">
        <v>208</v>
      </c>
    </row>
    <row r="9" spans="2:22" x14ac:dyDescent="0.2">
      <c r="C9" s="9" t="s">
        <v>58</v>
      </c>
      <c r="D9" s="9" t="s">
        <v>39</v>
      </c>
      <c r="E9" s="9"/>
      <c r="F9" s="9"/>
    </row>
    <row r="10" spans="2:22" ht="13.5" thickBot="1" x14ac:dyDescent="0.25"/>
    <row r="11" spans="2:22" s="10" customFormat="1" ht="51.75" thickBot="1" x14ac:dyDescent="0.25">
      <c r="B11" s="20" t="s">
        <v>10</v>
      </c>
      <c r="C11" s="21" t="s">
        <v>11</v>
      </c>
      <c r="D11" s="21" t="s">
        <v>12</v>
      </c>
      <c r="E11" s="21" t="s">
        <v>67</v>
      </c>
      <c r="F11" s="21" t="s">
        <v>43</v>
      </c>
      <c r="G11" s="21" t="s">
        <v>30</v>
      </c>
      <c r="H11" s="21" t="s">
        <v>17</v>
      </c>
      <c r="I11" s="21" t="s">
        <v>28</v>
      </c>
      <c r="J11" s="21" t="s">
        <v>49</v>
      </c>
      <c r="K11" s="21" t="s">
        <v>89</v>
      </c>
      <c r="L11" s="21" t="s">
        <v>90</v>
      </c>
      <c r="M11" s="22" t="s">
        <v>27</v>
      </c>
      <c r="N11" s="16" t="s">
        <v>71</v>
      </c>
      <c r="O11" s="16" t="s">
        <v>72</v>
      </c>
      <c r="P11" s="16" t="s">
        <v>73</v>
      </c>
      <c r="Q11" s="17" t="s">
        <v>65</v>
      </c>
      <c r="R11" s="18" t="s">
        <v>26</v>
      </c>
      <c r="S11" s="18" t="s">
        <v>50</v>
      </c>
      <c r="T11" s="18" t="s">
        <v>51</v>
      </c>
      <c r="U11" s="18" t="s">
        <v>52</v>
      </c>
      <c r="V11" s="19" t="s">
        <v>6</v>
      </c>
    </row>
    <row r="12" spans="2:22" s="10" customFormat="1" ht="66" customHeight="1" x14ac:dyDescent="0.2">
      <c r="B12" s="10" t="s">
        <v>20</v>
      </c>
      <c r="C12" s="10" t="s">
        <v>200</v>
      </c>
      <c r="D12" s="10" t="s">
        <v>13</v>
      </c>
      <c r="E12" s="10" t="s">
        <v>85</v>
      </c>
      <c r="F12" s="10" t="s">
        <v>7</v>
      </c>
      <c r="G12" s="10" t="s">
        <v>174</v>
      </c>
      <c r="H12" s="10" t="s">
        <v>47</v>
      </c>
      <c r="I12" s="10" t="s">
        <v>132</v>
      </c>
      <c r="J12" s="10" t="s">
        <v>156</v>
      </c>
      <c r="N12" s="10">
        <f>1+2</f>
        <v>3</v>
      </c>
      <c r="O12" s="10">
        <f>Tableau3[[#This Row],[HJ Dev]]*(50%+25%)</f>
        <v>2.25</v>
      </c>
      <c r="P12" s="10">
        <f>Tableau3[[#This Row],[HJ Analyse et test]]+Tableau3[[#This Row],[HJ Dev]]</f>
        <v>5.25</v>
      </c>
    </row>
    <row r="13" spans="2:22" ht="45.75" customHeight="1" x14ac:dyDescent="0.2">
      <c r="B13" s="10" t="s">
        <v>21</v>
      </c>
      <c r="C13" s="10" t="s">
        <v>201</v>
      </c>
      <c r="D13" s="10" t="s">
        <v>13</v>
      </c>
      <c r="E13" s="10" t="s">
        <v>84</v>
      </c>
      <c r="F13" s="10" t="s">
        <v>7</v>
      </c>
      <c r="G13" s="10" t="s">
        <v>129</v>
      </c>
      <c r="H13" s="10" t="s">
        <v>48</v>
      </c>
      <c r="I13" s="10" t="s">
        <v>183</v>
      </c>
      <c r="J13" s="10" t="s">
        <v>147</v>
      </c>
      <c r="K13" s="10"/>
      <c r="L13" s="10"/>
      <c r="M13" s="10"/>
      <c r="N13" s="10">
        <v>5</v>
      </c>
      <c r="O13" s="10">
        <f>Tableau3[[#This Row],[HJ Dev]]*(50%+25%)</f>
        <v>3.75</v>
      </c>
      <c r="P13" s="10">
        <f>Tableau3[[#This Row],[HJ Analyse et test]]+Tableau3[[#This Row],[HJ Dev]]</f>
        <v>8.75</v>
      </c>
      <c r="Q13" s="10"/>
      <c r="R13" s="10"/>
      <c r="S13" s="10"/>
      <c r="T13" s="10"/>
      <c r="U13" s="10"/>
      <c r="V13" s="10"/>
    </row>
    <row r="14" spans="2:22" s="10" customFormat="1" ht="110.25" customHeight="1" x14ac:dyDescent="0.2">
      <c r="B14" s="10" t="s">
        <v>22</v>
      </c>
      <c r="C14" s="10" t="s">
        <v>162</v>
      </c>
      <c r="D14" s="10" t="s">
        <v>13</v>
      </c>
      <c r="E14" s="10" t="s">
        <v>86</v>
      </c>
      <c r="F14" s="10" t="s">
        <v>7</v>
      </c>
      <c r="G14" s="10" t="s">
        <v>159</v>
      </c>
      <c r="H14" s="10" t="s">
        <v>48</v>
      </c>
      <c r="I14" s="10" t="s">
        <v>161</v>
      </c>
      <c r="J14" s="10" t="s">
        <v>160</v>
      </c>
      <c r="N14" s="10">
        <v>5</v>
      </c>
      <c r="O14" s="10">
        <f>Tableau3[[#This Row],[HJ Dev]]*(50%+25%)</f>
        <v>3.75</v>
      </c>
      <c r="P14" s="10">
        <f>Tableau3[[#This Row],[HJ Analyse et test]]+Tableau3[[#This Row],[HJ Dev]]</f>
        <v>8.75</v>
      </c>
    </row>
    <row r="15" spans="2:22" s="10" customFormat="1" ht="84.75" customHeight="1" x14ac:dyDescent="0.2">
      <c r="B15" s="10" t="s">
        <v>23</v>
      </c>
      <c r="C15" s="10" t="s">
        <v>163</v>
      </c>
      <c r="D15" s="10" t="s">
        <v>13</v>
      </c>
      <c r="E15" s="10" t="s">
        <v>86</v>
      </c>
      <c r="F15" s="10" t="s">
        <v>7</v>
      </c>
      <c r="G15" s="10" t="s">
        <v>164</v>
      </c>
      <c r="H15" s="10" t="s">
        <v>48</v>
      </c>
      <c r="I15" s="10" t="s">
        <v>165</v>
      </c>
      <c r="J15" s="10" t="s">
        <v>166</v>
      </c>
      <c r="N15" s="10">
        <v>7</v>
      </c>
      <c r="O15" s="10">
        <f>Tableau3[[#This Row],[HJ Dev]]*(50%+25%)</f>
        <v>5.25</v>
      </c>
      <c r="P15" s="10">
        <f>Tableau3[[#This Row],[HJ Analyse et test]]+Tableau3[[#This Row],[HJ Dev]]</f>
        <v>12.25</v>
      </c>
    </row>
    <row r="16" spans="2:22" s="10" customFormat="1" ht="171" customHeight="1" x14ac:dyDescent="0.2">
      <c r="B16" s="10" t="s">
        <v>120</v>
      </c>
      <c r="C16" s="10" t="s">
        <v>142</v>
      </c>
      <c r="D16" s="10" t="s">
        <v>13</v>
      </c>
      <c r="E16" s="10" t="s">
        <v>83</v>
      </c>
      <c r="F16" s="10" t="s">
        <v>7</v>
      </c>
      <c r="G16" s="10" t="s">
        <v>167</v>
      </c>
      <c r="H16" s="10" t="s">
        <v>48</v>
      </c>
      <c r="I16" s="10" t="s">
        <v>144</v>
      </c>
      <c r="J16" s="10" t="s">
        <v>197</v>
      </c>
      <c r="N16" s="10">
        <v>40</v>
      </c>
      <c r="O16" s="10">
        <f>Tableau3[[#This Row],[HJ Dev]]*(50%+25%)</f>
        <v>30</v>
      </c>
      <c r="P16" s="10">
        <f>Tableau3[[#This Row],[HJ Analyse et test]]+Tableau3[[#This Row],[HJ Dev]]</f>
        <v>70</v>
      </c>
      <c r="V16" s="10" t="s">
        <v>177</v>
      </c>
    </row>
    <row r="17" spans="2:22" s="10" customFormat="1" ht="90" customHeight="1" x14ac:dyDescent="0.2">
      <c r="B17" s="10" t="s">
        <v>24</v>
      </c>
      <c r="C17" s="10" t="s">
        <v>170</v>
      </c>
      <c r="D17" s="10" t="s">
        <v>13</v>
      </c>
      <c r="E17" s="10" t="s">
        <v>84</v>
      </c>
      <c r="F17" s="10" t="s">
        <v>7</v>
      </c>
      <c r="G17" s="10" t="s">
        <v>130</v>
      </c>
      <c r="H17" s="10" t="s">
        <v>48</v>
      </c>
      <c r="I17" s="10" t="s">
        <v>168</v>
      </c>
      <c r="J17" s="10" t="s">
        <v>169</v>
      </c>
      <c r="N17" s="10">
        <v>4</v>
      </c>
      <c r="O17" s="10">
        <f>Tableau3[[#This Row],[HJ Dev]]*(50%+25%)</f>
        <v>3</v>
      </c>
      <c r="P17" s="10">
        <f>Tableau3[[#This Row],[HJ Analyse et test]]+Tableau3[[#This Row],[HJ Dev]]</f>
        <v>7</v>
      </c>
    </row>
    <row r="18" spans="2:22" ht="89.25" x14ac:dyDescent="0.2">
      <c r="B18" s="10" t="s">
        <v>25</v>
      </c>
      <c r="C18" s="10" t="s">
        <v>133</v>
      </c>
      <c r="D18" s="10" t="s">
        <v>13</v>
      </c>
      <c r="E18" s="10" t="s">
        <v>84</v>
      </c>
      <c r="F18" s="10" t="s">
        <v>7</v>
      </c>
      <c r="G18" s="10" t="s">
        <v>171</v>
      </c>
      <c r="H18" s="10" t="s">
        <v>48</v>
      </c>
      <c r="I18" s="10" t="s">
        <v>172</v>
      </c>
      <c r="J18" s="10" t="s">
        <v>193</v>
      </c>
      <c r="K18" s="10"/>
      <c r="L18" s="10"/>
      <c r="M18" s="10"/>
      <c r="N18" s="10">
        <v>4</v>
      </c>
      <c r="O18" s="10">
        <f>Tableau3[[#This Row],[HJ Dev]]*(50%+25%)</f>
        <v>3</v>
      </c>
      <c r="P18" s="10">
        <f>Tableau3[[#This Row],[HJ Analyse et test]]+Tableau3[[#This Row],[HJ Dev]]</f>
        <v>7</v>
      </c>
      <c r="Q18" s="10"/>
      <c r="R18" s="10"/>
      <c r="S18" s="10"/>
      <c r="T18" s="10"/>
      <c r="U18" s="10"/>
      <c r="V18" s="10"/>
    </row>
    <row r="19" spans="2:22" ht="25.5" x14ac:dyDescent="0.2">
      <c r="B19" s="10" t="s">
        <v>121</v>
      </c>
      <c r="C19" s="10" t="s">
        <v>103</v>
      </c>
      <c r="D19" s="10" t="s">
        <v>13</v>
      </c>
      <c r="E19" s="10" t="s">
        <v>84</v>
      </c>
      <c r="F19" s="10" t="s">
        <v>7</v>
      </c>
      <c r="G19" s="10" t="s">
        <v>104</v>
      </c>
      <c r="H19" s="10" t="s">
        <v>48</v>
      </c>
      <c r="I19" s="10" t="s">
        <v>134</v>
      </c>
      <c r="J19" s="10" t="s">
        <v>143</v>
      </c>
      <c r="K19" s="10"/>
      <c r="L19" s="10"/>
      <c r="M19" s="10"/>
      <c r="N19" s="10">
        <v>0</v>
      </c>
      <c r="O19" s="10">
        <f>Tableau3[[#This Row],[HJ Dev]]*(50%+25%)</f>
        <v>0</v>
      </c>
      <c r="P19" s="10">
        <f>Tableau3[[#This Row],[HJ Analyse et test]]+Tableau3[[#This Row],[HJ Dev]]</f>
        <v>0</v>
      </c>
      <c r="Q19" s="10"/>
      <c r="R19" s="10"/>
      <c r="S19" s="10"/>
      <c r="T19" s="10"/>
      <c r="U19" s="10"/>
      <c r="V19" s="10"/>
    </row>
    <row r="20" spans="2:22" ht="81.75" customHeight="1" x14ac:dyDescent="0.2">
      <c r="B20" s="10" t="s">
        <v>122</v>
      </c>
      <c r="C20" s="10" t="s">
        <v>173</v>
      </c>
      <c r="D20" s="10" t="s">
        <v>13</v>
      </c>
      <c r="E20" s="10" t="s">
        <v>84</v>
      </c>
      <c r="F20" s="10" t="s">
        <v>7</v>
      </c>
      <c r="G20" s="10" t="s">
        <v>158</v>
      </c>
      <c r="H20" s="10" t="s">
        <v>48</v>
      </c>
      <c r="I20" s="10" t="s">
        <v>198</v>
      </c>
      <c r="J20" s="10" t="s">
        <v>195</v>
      </c>
      <c r="K20" s="10"/>
      <c r="L20" s="10"/>
      <c r="M20" s="10"/>
      <c r="N20" s="10">
        <v>4</v>
      </c>
      <c r="O20" s="10">
        <f>Tableau3[[#This Row],[HJ Dev]]*(50%+25%)</f>
        <v>3</v>
      </c>
      <c r="P20" s="10">
        <f>Tableau3[[#This Row],[HJ Analyse et test]]+Tableau3[[#This Row],[HJ Dev]]</f>
        <v>7</v>
      </c>
      <c r="Q20" s="10"/>
      <c r="R20" s="10"/>
      <c r="S20" s="10"/>
      <c r="T20" s="10"/>
      <c r="U20" s="10"/>
      <c r="V20" s="10"/>
    </row>
    <row r="21" spans="2:22" ht="63.75" x14ac:dyDescent="0.2">
      <c r="B21" s="10" t="s">
        <v>97</v>
      </c>
      <c r="C21" s="10" t="s">
        <v>173</v>
      </c>
      <c r="D21" s="10" t="s">
        <v>13</v>
      </c>
      <c r="E21" s="10" t="s">
        <v>84</v>
      </c>
      <c r="F21" s="10" t="s">
        <v>7</v>
      </c>
      <c r="G21" s="10" t="s">
        <v>158</v>
      </c>
      <c r="H21" s="10" t="s">
        <v>48</v>
      </c>
      <c r="I21" s="10" t="s">
        <v>199</v>
      </c>
      <c r="J21" s="10" t="s">
        <v>196</v>
      </c>
      <c r="K21" s="10"/>
      <c r="L21" s="10"/>
      <c r="M21" s="10"/>
      <c r="N21" s="10">
        <v>7</v>
      </c>
      <c r="O21" s="10">
        <f>Tableau3[[#This Row],[HJ Dev]]*(50%+25%)</f>
        <v>5.25</v>
      </c>
      <c r="P21" s="10">
        <f>Tableau3[[#This Row],[HJ Analyse et test]]+Tableau3[[#This Row],[HJ Dev]]</f>
        <v>12.25</v>
      </c>
      <c r="Q21" s="10"/>
      <c r="R21" s="10"/>
      <c r="S21" s="10"/>
      <c r="T21" s="10"/>
      <c r="U21" s="10"/>
      <c r="V21" s="10"/>
    </row>
    <row r="22" spans="2:22" ht="66" customHeight="1" x14ac:dyDescent="0.2">
      <c r="B22" s="10" t="s">
        <v>98</v>
      </c>
      <c r="C22" s="10" t="s">
        <v>123</v>
      </c>
      <c r="D22" s="10" t="s">
        <v>13</v>
      </c>
      <c r="E22" s="10" t="s">
        <v>84</v>
      </c>
      <c r="F22" s="10" t="s">
        <v>7</v>
      </c>
      <c r="G22" s="10" t="s">
        <v>116</v>
      </c>
      <c r="H22" s="10" t="s">
        <v>48</v>
      </c>
      <c r="I22" s="10" t="s">
        <v>146</v>
      </c>
      <c r="J22" s="10" t="s">
        <v>180</v>
      </c>
      <c r="K22" s="10"/>
      <c r="L22" s="10"/>
      <c r="M22" s="10"/>
      <c r="N22" s="10">
        <v>6</v>
      </c>
      <c r="O22" s="10">
        <f>Tableau3[[#This Row],[HJ Dev]]*(50%+25%)</f>
        <v>4.5</v>
      </c>
      <c r="P22" s="10">
        <f>Tableau3[[#This Row],[HJ Analyse et test]]+Tableau3[[#This Row],[HJ Dev]]</f>
        <v>10.5</v>
      </c>
      <c r="Q22" s="10"/>
      <c r="R22" s="10"/>
      <c r="S22" s="10"/>
      <c r="T22" s="10"/>
      <c r="U22" s="10"/>
      <c r="V22" s="10"/>
    </row>
    <row r="23" spans="2:22" ht="84.75" customHeight="1" x14ac:dyDescent="0.2">
      <c r="B23" s="10" t="s">
        <v>99</v>
      </c>
      <c r="C23" s="10" t="s">
        <v>108</v>
      </c>
      <c r="D23" s="10" t="s">
        <v>13</v>
      </c>
      <c r="E23" s="10" t="s">
        <v>84</v>
      </c>
      <c r="F23" s="10" t="s">
        <v>7</v>
      </c>
      <c r="G23" s="10" t="s">
        <v>175</v>
      </c>
      <c r="H23" s="10" t="s">
        <v>48</v>
      </c>
      <c r="I23" s="10" t="s">
        <v>202</v>
      </c>
      <c r="J23" s="10" t="s">
        <v>176</v>
      </c>
      <c r="K23" s="10"/>
      <c r="L23" s="10"/>
      <c r="M23" s="10"/>
      <c r="N23" s="10">
        <v>10</v>
      </c>
      <c r="O23" s="10">
        <f>Tableau3[[#This Row],[HJ Dev]]*(50%+25%)</f>
        <v>7.5</v>
      </c>
      <c r="P23" s="10">
        <f>Tableau3[[#This Row],[HJ Analyse et test]]+Tableau3[[#This Row],[HJ Dev]]</f>
        <v>17.5</v>
      </c>
      <c r="Q23" s="10"/>
      <c r="R23" s="10"/>
      <c r="S23" s="10"/>
      <c r="T23" s="10"/>
      <c r="U23" s="10"/>
      <c r="V23" s="10"/>
    </row>
    <row r="24" spans="2:22" ht="96.75" customHeight="1" x14ac:dyDescent="0.2">
      <c r="B24" s="10" t="s">
        <v>100</v>
      </c>
      <c r="C24" s="10" t="s">
        <v>110</v>
      </c>
      <c r="D24" s="10" t="s">
        <v>13</v>
      </c>
      <c r="E24" s="10" t="s">
        <v>84</v>
      </c>
      <c r="F24" s="10" t="s">
        <v>7</v>
      </c>
      <c r="G24" s="10" t="s">
        <v>124</v>
      </c>
      <c r="H24" s="10" t="s">
        <v>48</v>
      </c>
      <c r="I24" s="10" t="s">
        <v>178</v>
      </c>
      <c r="J24" s="10" t="s">
        <v>179</v>
      </c>
      <c r="K24" s="10"/>
      <c r="L24" s="10"/>
      <c r="M24" s="10"/>
      <c r="N24" s="10">
        <v>5</v>
      </c>
      <c r="O24" s="10">
        <f>Tableau3[[#This Row],[HJ Dev]]*(50%+25%)</f>
        <v>3.75</v>
      </c>
      <c r="P24" s="10">
        <f>Tableau3[[#This Row],[HJ Analyse et test]]+Tableau3[[#This Row],[HJ Dev]]</f>
        <v>8.75</v>
      </c>
      <c r="Q24" s="10"/>
      <c r="R24" s="10"/>
      <c r="S24" s="10"/>
      <c r="T24" s="10"/>
      <c r="U24" s="10"/>
      <c r="V24" s="10"/>
    </row>
    <row r="25" spans="2:22" ht="47.25" customHeight="1" x14ac:dyDescent="0.2">
      <c r="B25" s="10" t="s">
        <v>101</v>
      </c>
      <c r="C25" s="10" t="s">
        <v>111</v>
      </c>
      <c r="D25" s="10" t="s">
        <v>13</v>
      </c>
      <c r="E25" s="10" t="s">
        <v>84</v>
      </c>
      <c r="F25" s="10" t="s">
        <v>7</v>
      </c>
      <c r="G25" s="10" t="s">
        <v>117</v>
      </c>
      <c r="H25" s="10" t="s">
        <v>48</v>
      </c>
      <c r="I25" s="10" t="s">
        <v>135</v>
      </c>
      <c r="J25" s="10" t="s">
        <v>145</v>
      </c>
      <c r="K25" s="10"/>
      <c r="L25" s="10"/>
      <c r="M25" s="10"/>
      <c r="N25" s="10">
        <v>3</v>
      </c>
      <c r="O25" s="10">
        <f>Tableau3[[#This Row],[HJ Dev]]*(50%+25%)</f>
        <v>2.25</v>
      </c>
      <c r="P25" s="10">
        <f>Tableau3[[#This Row],[HJ Analyse et test]]+Tableau3[[#This Row],[HJ Dev]]</f>
        <v>5.25</v>
      </c>
      <c r="Q25" s="10"/>
      <c r="R25" s="10"/>
      <c r="S25" s="10"/>
      <c r="T25" s="10"/>
      <c r="U25" s="10"/>
      <c r="V25" s="10"/>
    </row>
    <row r="26" spans="2:22" ht="61.5" customHeight="1" x14ac:dyDescent="0.2">
      <c r="B26" s="10" t="s">
        <v>105</v>
      </c>
      <c r="C26" s="10" t="s">
        <v>128</v>
      </c>
      <c r="D26" s="10" t="s">
        <v>13</v>
      </c>
      <c r="E26" s="10" t="s">
        <v>84</v>
      </c>
      <c r="F26" s="10" t="s">
        <v>7</v>
      </c>
      <c r="G26" s="10" t="s">
        <v>102</v>
      </c>
      <c r="H26" s="10" t="s">
        <v>48</v>
      </c>
      <c r="I26" s="10" t="s">
        <v>181</v>
      </c>
      <c r="J26" s="10" t="s">
        <v>194</v>
      </c>
      <c r="K26" s="10"/>
      <c r="L26" s="10"/>
      <c r="M26" s="10"/>
      <c r="N26" s="10">
        <v>6</v>
      </c>
      <c r="O26" s="10">
        <f>Tableau3[[#This Row],[HJ Dev]]*(50%+25%)</f>
        <v>4.5</v>
      </c>
      <c r="P26" s="10">
        <f>Tableau3[[#This Row],[HJ Analyse et test]]+Tableau3[[#This Row],[HJ Dev]]</f>
        <v>10.5</v>
      </c>
      <c r="Q26" s="10"/>
      <c r="R26" s="10"/>
      <c r="S26" s="10"/>
      <c r="T26" s="10"/>
      <c r="U26" s="10"/>
      <c r="V26" s="10"/>
    </row>
    <row r="27" spans="2:22" ht="57.75" customHeight="1" x14ac:dyDescent="0.2">
      <c r="B27" s="10" t="s">
        <v>106</v>
      </c>
      <c r="C27" s="10" t="s">
        <v>127</v>
      </c>
      <c r="D27" s="10" t="s">
        <v>13</v>
      </c>
      <c r="E27" s="10" t="s">
        <v>84</v>
      </c>
      <c r="F27" s="10" t="s">
        <v>7</v>
      </c>
      <c r="G27" s="10" t="s">
        <v>139</v>
      </c>
      <c r="H27" s="10" t="s">
        <v>48</v>
      </c>
      <c r="I27" s="10" t="s">
        <v>140</v>
      </c>
      <c r="J27" s="10" t="s">
        <v>143</v>
      </c>
      <c r="K27" s="10"/>
      <c r="L27" s="10"/>
      <c r="M27" s="10"/>
      <c r="N27" s="10">
        <v>0</v>
      </c>
      <c r="O27" s="10">
        <f>Tableau3[[#This Row],[HJ Dev]]*(50%+25%)</f>
        <v>0</v>
      </c>
      <c r="P27" s="10">
        <f>Tableau3[[#This Row],[HJ Analyse et test]]+Tableau3[[#This Row],[HJ Dev]]</f>
        <v>0</v>
      </c>
      <c r="Q27" s="10"/>
      <c r="R27" s="10"/>
      <c r="S27" s="10"/>
      <c r="T27" s="10"/>
      <c r="U27" s="10"/>
      <c r="V27" s="10"/>
    </row>
    <row r="28" spans="2:22" ht="77.25" customHeight="1" x14ac:dyDescent="0.2">
      <c r="B28" s="10" t="s">
        <v>107</v>
      </c>
      <c r="C28" s="10" t="s">
        <v>126</v>
      </c>
      <c r="D28" s="10" t="s">
        <v>13</v>
      </c>
      <c r="E28" s="10" t="s">
        <v>84</v>
      </c>
      <c r="F28" s="10" t="s">
        <v>7</v>
      </c>
      <c r="G28" s="10" t="s">
        <v>182</v>
      </c>
      <c r="H28" s="10" t="s">
        <v>48</v>
      </c>
      <c r="I28" s="10" t="s">
        <v>141</v>
      </c>
      <c r="J28" s="10" t="s">
        <v>153</v>
      </c>
      <c r="K28" s="10"/>
      <c r="L28" s="10"/>
      <c r="M28" s="10"/>
      <c r="N28" s="10">
        <v>4</v>
      </c>
      <c r="O28" s="10">
        <f>Tableau3[[#This Row],[HJ Dev]]*(50%+25%)</f>
        <v>3</v>
      </c>
      <c r="P28" s="10">
        <f>Tableau3[[#This Row],[HJ Analyse et test]]+Tableau3[[#This Row],[HJ Dev]]</f>
        <v>7</v>
      </c>
      <c r="Q28" s="10"/>
      <c r="R28" s="10"/>
      <c r="S28" s="10"/>
      <c r="T28" s="10"/>
      <c r="U28" s="10"/>
      <c r="V28" s="10"/>
    </row>
    <row r="29" spans="2:22" ht="70.5" customHeight="1" x14ac:dyDescent="0.2">
      <c r="B29" s="10" t="s">
        <v>109</v>
      </c>
      <c r="C29" s="10" t="s">
        <v>125</v>
      </c>
      <c r="D29" s="10" t="s">
        <v>13</v>
      </c>
      <c r="E29" s="10" t="s">
        <v>84</v>
      </c>
      <c r="F29" s="10" t="s">
        <v>7</v>
      </c>
      <c r="G29" s="10" t="s">
        <v>136</v>
      </c>
      <c r="H29" s="10" t="s">
        <v>48</v>
      </c>
      <c r="I29" s="10" t="s">
        <v>137</v>
      </c>
      <c r="J29" s="10" t="s">
        <v>138</v>
      </c>
      <c r="K29" s="10"/>
      <c r="L29" s="10"/>
      <c r="M29" s="10"/>
      <c r="N29" s="10">
        <v>12</v>
      </c>
      <c r="O29" s="10">
        <f>Tableau3[[#This Row],[HJ Dev]]*(50%+25%)</f>
        <v>9</v>
      </c>
      <c r="P29" s="10">
        <f>Tableau3[[#This Row],[HJ Analyse et test]]+Tableau3[[#This Row],[HJ Dev]]</f>
        <v>21</v>
      </c>
      <c r="Q29" s="10"/>
      <c r="R29" s="10"/>
      <c r="S29" s="10"/>
      <c r="T29" s="10"/>
      <c r="U29" s="10"/>
      <c r="V29" s="10"/>
    </row>
    <row r="30" spans="2:22" ht="70.5" customHeight="1" x14ac:dyDescent="0.2">
      <c r="B30" s="10" t="s">
        <v>118</v>
      </c>
      <c r="C30" s="10" t="s">
        <v>185</v>
      </c>
      <c r="D30" s="10" t="s">
        <v>13</v>
      </c>
      <c r="E30" s="10" t="s">
        <v>86</v>
      </c>
      <c r="F30" s="10" t="s">
        <v>7</v>
      </c>
      <c r="G30" s="10" t="s">
        <v>186</v>
      </c>
      <c r="H30" s="10" t="s">
        <v>48</v>
      </c>
      <c r="I30" s="10" t="s">
        <v>189</v>
      </c>
      <c r="J30" s="10" t="s">
        <v>190</v>
      </c>
      <c r="K30" s="10"/>
      <c r="L30" s="10"/>
      <c r="M30" s="10"/>
      <c r="N30" s="10">
        <v>4</v>
      </c>
      <c r="O30" s="10">
        <f>Tableau3[[#This Row],[HJ Dev]]*(50%+25%)</f>
        <v>3</v>
      </c>
      <c r="P30" s="10">
        <f>Tableau3[[#This Row],[HJ Analyse et test]]+Tableau3[[#This Row],[HJ Dev]]</f>
        <v>7</v>
      </c>
      <c r="Q30" s="10"/>
      <c r="R30" s="10"/>
      <c r="S30" s="10"/>
      <c r="T30" s="10"/>
      <c r="U30" s="10"/>
      <c r="V30" s="10"/>
    </row>
    <row r="31" spans="2:22" ht="62.25" customHeight="1" x14ac:dyDescent="0.2">
      <c r="B31" s="10" t="s">
        <v>119</v>
      </c>
      <c r="C31" s="10" t="s">
        <v>187</v>
      </c>
      <c r="D31" s="10" t="s">
        <v>13</v>
      </c>
      <c r="E31" s="10" t="s">
        <v>86</v>
      </c>
      <c r="F31" s="10" t="s">
        <v>7</v>
      </c>
      <c r="G31" s="10" t="s">
        <v>188</v>
      </c>
      <c r="H31" s="10" t="s">
        <v>48</v>
      </c>
      <c r="I31" s="10" t="s">
        <v>191</v>
      </c>
      <c r="J31" s="10" t="s">
        <v>192</v>
      </c>
      <c r="K31" s="10"/>
      <c r="L31" s="10"/>
      <c r="M31" s="10"/>
      <c r="N31" s="10">
        <v>4</v>
      </c>
      <c r="O31" s="10">
        <f>Tableau3[[#This Row],[HJ Dev]]*(50%+25%)</f>
        <v>3</v>
      </c>
      <c r="P31" s="10">
        <f>Tableau3[[#This Row],[HJ Analyse et test]]+Tableau3[[#This Row],[HJ Dev]]</f>
        <v>7</v>
      </c>
      <c r="Q31" s="10"/>
      <c r="R31" s="10"/>
      <c r="S31" s="10"/>
      <c r="T31" s="10"/>
      <c r="U31" s="10"/>
      <c r="V31" s="10"/>
    </row>
    <row r="32" spans="2:22" ht="39" customHeight="1" x14ac:dyDescent="0.2">
      <c r="B32" s="10" t="s">
        <v>157</v>
      </c>
      <c r="C32" s="10" t="s">
        <v>131</v>
      </c>
      <c r="D32" s="10" t="s">
        <v>13</v>
      </c>
      <c r="E32" s="10" t="s">
        <v>83</v>
      </c>
      <c r="F32" s="10" t="s">
        <v>7</v>
      </c>
      <c r="G32" s="10" t="s">
        <v>96</v>
      </c>
      <c r="H32" s="10" t="s">
        <v>48</v>
      </c>
      <c r="I32" s="10" t="s">
        <v>151</v>
      </c>
      <c r="J32" s="10" t="s">
        <v>143</v>
      </c>
      <c r="K32" s="10"/>
      <c r="L32" s="10"/>
      <c r="M32" s="10"/>
      <c r="N32" s="10">
        <v>0</v>
      </c>
      <c r="O32" s="10">
        <f>Tableau3[[#This Row],[HJ Dev]]*(50%+25%)</f>
        <v>0</v>
      </c>
      <c r="P32" s="10">
        <f>Tableau3[[#This Row],[HJ Analyse et test]]+Tableau3[[#This Row],[HJ Dev]]</f>
        <v>0</v>
      </c>
      <c r="Q32" s="10"/>
      <c r="R32" s="10"/>
      <c r="S32" s="10"/>
      <c r="T32" s="10"/>
      <c r="U32" s="10"/>
      <c r="V32" s="10"/>
    </row>
    <row r="33" spans="2:22" ht="38.25" x14ac:dyDescent="0.2">
      <c r="B33" s="10" t="s">
        <v>184</v>
      </c>
      <c r="C33" s="10" t="s">
        <v>148</v>
      </c>
      <c r="D33" s="10" t="s">
        <v>13</v>
      </c>
      <c r="E33" s="10" t="s">
        <v>83</v>
      </c>
      <c r="F33" s="10" t="s">
        <v>7</v>
      </c>
      <c r="G33" s="10" t="s">
        <v>149</v>
      </c>
      <c r="H33" s="10" t="s">
        <v>48</v>
      </c>
      <c r="I33" s="10" t="s">
        <v>150</v>
      </c>
      <c r="J33" s="10" t="s">
        <v>152</v>
      </c>
      <c r="K33" s="10"/>
      <c r="L33" s="10"/>
      <c r="M33" s="10"/>
      <c r="N33" s="10">
        <v>30</v>
      </c>
      <c r="O33" s="10">
        <f>Tableau3[[#This Row],[HJ Dev]]*(50%+25%)</f>
        <v>22.5</v>
      </c>
      <c r="P33" s="10">
        <f>Tableau3[[#This Row],[HJ Analyse et test]]+Tableau3[[#This Row],[HJ Dev]]</f>
        <v>52.5</v>
      </c>
      <c r="Q33" s="10">
        <f>Tableau3[[#This Row],[Total HJ]]+Tableau3[[#This Row],[HJ Analyse et test]]</f>
        <v>75</v>
      </c>
      <c r="R33" s="10">
        <f>Tableau3[[#This Row],[Description comment la conception de la solution prend en compte l''exigence client]]+Tableau3[[#This Row],[Total HJ]]</f>
        <v>127.5</v>
      </c>
      <c r="S33" s="10">
        <f>Tableau3[[#This Row],[Conception réalisée par:]]+Tableau3[[#This Row],[Description comment la conception de la solution prend en compte l''exigence client]]</f>
        <v>202.5</v>
      </c>
      <c r="T33" s="10">
        <f>Tableau3[[#This Row],[Revue conception réalisée par]]+Tableau3[[#This Row],[Conception réalisée par:]]</f>
        <v>330</v>
      </c>
      <c r="U33" s="10">
        <f>Tableau3[[#This Row],[Vérification de la conception réalisée par]]+Tableau3[[#This Row],[Revue conception réalisée par]]</f>
        <v>532.5</v>
      </c>
      <c r="V33" s="10"/>
    </row>
    <row r="34" spans="2:22" ht="51" x14ac:dyDescent="0.2">
      <c r="B34" s="10" t="s">
        <v>203</v>
      </c>
      <c r="C34" s="10" t="s">
        <v>204</v>
      </c>
      <c r="D34" s="10" t="s">
        <v>13</v>
      </c>
      <c r="E34" s="10" t="s">
        <v>85</v>
      </c>
      <c r="F34" s="10" t="s">
        <v>7</v>
      </c>
      <c r="G34" s="10" t="s">
        <v>205</v>
      </c>
      <c r="H34" s="10" t="s">
        <v>48</v>
      </c>
      <c r="I34" s="10" t="s">
        <v>206</v>
      </c>
      <c r="J34" s="10" t="s">
        <v>207</v>
      </c>
      <c r="K34" s="10"/>
      <c r="L34" s="10"/>
      <c r="M34" s="10"/>
      <c r="N34" s="10">
        <f>5*5</f>
        <v>25</v>
      </c>
      <c r="O34" s="10">
        <v>3</v>
      </c>
      <c r="P34" s="10">
        <f>Tableau3[[#This Row],[HJ Analyse et test]]+Tableau3[[#This Row],[HJ Dev]]</f>
        <v>28</v>
      </c>
      <c r="Q34" s="10"/>
      <c r="R34" s="10"/>
      <c r="S34" s="10"/>
      <c r="T34" s="10"/>
      <c r="U34" s="10"/>
      <c r="V34" s="10"/>
    </row>
    <row r="35" spans="2:22" x14ac:dyDescent="0.2">
      <c r="B35" s="10"/>
      <c r="C35" s="10"/>
      <c r="D35" s="10"/>
      <c r="E35" s="10"/>
      <c r="F35" s="10"/>
      <c r="G35" s="10"/>
      <c r="H35" s="10"/>
      <c r="I35" s="10"/>
      <c r="J35" s="10"/>
      <c r="K35" s="10"/>
      <c r="L35" s="10"/>
      <c r="M35" s="10"/>
      <c r="N35" s="10">
        <f>SUBTOTAL(109,Tableau3[HJ Dev])</f>
        <v>188</v>
      </c>
      <c r="O35" s="10">
        <f>SUBTOTAL(109,Tableau3[HJ Analyse et test])</f>
        <v>125.25</v>
      </c>
      <c r="P35" s="28">
        <f>SUBTOTAL(109,Tableau3[Total HJ])</f>
        <v>313.25</v>
      </c>
      <c r="Q35" s="10"/>
      <c r="R35" s="10"/>
      <c r="S35" s="10"/>
      <c r="T35" s="10"/>
      <c r="U35" s="10"/>
      <c r="V35" s="10"/>
    </row>
  </sheetData>
  <mergeCells count="7">
    <mergeCell ref="D7:I7"/>
    <mergeCell ref="D6:I6"/>
    <mergeCell ref="Q2:V2"/>
    <mergeCell ref="B2:M2"/>
    <mergeCell ref="D4:I4"/>
    <mergeCell ref="D5:I5"/>
    <mergeCell ref="N2:P2"/>
  </mergeCells>
  <phoneticPr fontId="2" type="noConversion"/>
  <dataValidations count="2">
    <dataValidation operator="greaterThanOrEqual" allowBlank="1" showInputMessage="1" showErrorMessage="1" sqref="P36:P1048576 P1:P34 Q33:U33" xr:uid="{217F760D-4B3E-46E7-8827-0BAC6BB208B1}"/>
    <dataValidation type="whole" operator="greaterThanOrEqual" allowBlank="1" showInputMessage="1" showErrorMessage="1" sqref="N12:O33 O34" xr:uid="{10E2E794-3894-4CC1-AB1A-9BB5BF41EABB}">
      <formula1>0</formula1>
    </dataValidation>
  </dataValidations>
  <pageMargins left="0.7" right="0.7" top="0.75" bottom="0.75" header="0.3" footer="0.3"/>
  <pageSetup paperSize="9" scale="74" fitToHeight="0"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InputMessage="1" showErrorMessage="1" xr:uid="{06B2A4DB-2A94-4B0B-971B-CDFF438E23BA}">
          <x14:formula1>
            <xm:f>Params!$F$3:$F$9</xm:f>
          </x14:formula1>
          <xm:sqref>M12:M33</xm:sqref>
        </x14:dataValidation>
        <x14:dataValidation type="list" allowBlank="1" showInputMessage="1" showErrorMessage="1" xr:uid="{1F2CF1C1-BE35-4DC9-A975-F49F788F3D6A}">
          <x14:formula1>
            <xm:f>Params!$G$3:$G$6</xm:f>
          </x14:formula1>
          <xm:sqref>K12:K33</xm:sqref>
        </x14:dataValidation>
        <x14:dataValidation type="list" allowBlank="1" showInputMessage="1" showErrorMessage="1" xr:uid="{63E576AD-8CDE-4B1B-8DEC-1BE67CC8DE6D}">
          <x14:formula1>
            <xm:f>Params!$C$3:$C$10</xm:f>
          </x14:formula1>
          <xm:sqref>F12:F34</xm:sqref>
        </x14:dataValidation>
        <x14:dataValidation type="list" allowBlank="1" showInputMessage="1" showErrorMessage="1" xr:uid="{C43D2377-E8A5-4EC4-8F56-2516FCD07F2A}">
          <x14:formula1>
            <xm:f>Params!$D$3:$D$12</xm:f>
          </x14:formula1>
          <xm:sqref>H12:H34</xm:sqref>
        </x14:dataValidation>
        <x14:dataValidation type="list" allowBlank="1" showInputMessage="1" showErrorMessage="1" xr:uid="{63FB3CBD-0303-4DD5-A1D9-0AE10EE7B36C}">
          <x14:formula1>
            <xm:f>Params!$B$3:$B$10</xm:f>
          </x14:formula1>
          <xm:sqref>D12:D34</xm:sqref>
        </x14:dataValidation>
        <x14:dataValidation type="list" allowBlank="1" showInputMessage="1" showErrorMessage="1" xr:uid="{ACD971DD-EBC0-49A2-8B0F-955749BFC348}">
          <x14:formula1>
            <xm:f>Params!$H$3:$H$19</xm:f>
          </x14:formula1>
          <xm:sqref>E12:E34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H22"/>
  <sheetViews>
    <sheetView workbookViewId="0">
      <selection activeCell="H23" sqref="H23"/>
    </sheetView>
  </sheetViews>
  <sheetFormatPr baseColWidth="10" defaultRowHeight="12.75" x14ac:dyDescent="0.2"/>
  <cols>
    <col min="1" max="1" width="11.42578125" style="10"/>
    <col min="2" max="3" width="19.7109375" style="10" customWidth="1"/>
    <col min="4" max="4" width="21.5703125" style="10" customWidth="1"/>
    <col min="5" max="5" width="11.42578125" style="10"/>
    <col min="6" max="6" width="16.140625" style="10" customWidth="1"/>
    <col min="7" max="16384" width="11.42578125" style="10"/>
  </cols>
  <sheetData>
    <row r="2" spans="2:8" ht="25.5" x14ac:dyDescent="0.2">
      <c r="B2" s="11" t="s">
        <v>12</v>
      </c>
      <c r="C2" s="11" t="s">
        <v>44</v>
      </c>
      <c r="D2" s="11" t="s">
        <v>17</v>
      </c>
      <c r="E2" s="11" t="s">
        <v>40</v>
      </c>
      <c r="F2" s="11" t="s">
        <v>27</v>
      </c>
      <c r="G2" s="11" t="s">
        <v>61</v>
      </c>
      <c r="H2" s="11" t="s">
        <v>67</v>
      </c>
    </row>
    <row r="3" spans="2:8" x14ac:dyDescent="0.2">
      <c r="B3" s="10" t="s">
        <v>13</v>
      </c>
      <c r="C3" s="10" t="s">
        <v>7</v>
      </c>
      <c r="D3" s="10" t="s">
        <v>60</v>
      </c>
      <c r="E3" s="10" t="s">
        <v>5</v>
      </c>
      <c r="F3" s="10" t="s">
        <v>64</v>
      </c>
      <c r="G3" s="10" t="s">
        <v>63</v>
      </c>
      <c r="H3" s="10" t="s">
        <v>68</v>
      </c>
    </row>
    <row r="4" spans="2:8" ht="25.5" x14ac:dyDescent="0.2">
      <c r="B4" s="10" t="s">
        <v>29</v>
      </c>
      <c r="C4" s="10" t="s">
        <v>8</v>
      </c>
      <c r="D4" s="10" t="s">
        <v>47</v>
      </c>
      <c r="E4" s="10" t="s">
        <v>41</v>
      </c>
      <c r="F4" s="10" t="s">
        <v>31</v>
      </c>
      <c r="G4" s="10" t="s">
        <v>62</v>
      </c>
      <c r="H4" s="10" t="s">
        <v>75</v>
      </c>
    </row>
    <row r="5" spans="2:8" ht="25.5" x14ac:dyDescent="0.2">
      <c r="B5" s="10" t="s">
        <v>14</v>
      </c>
      <c r="C5" s="10" t="s">
        <v>9</v>
      </c>
      <c r="D5" s="10" t="s">
        <v>48</v>
      </c>
      <c r="E5" s="10" t="s">
        <v>1</v>
      </c>
      <c r="H5" s="10" t="s">
        <v>76</v>
      </c>
    </row>
    <row r="6" spans="2:8" x14ac:dyDescent="0.2">
      <c r="B6" s="10" t="s">
        <v>66</v>
      </c>
      <c r="C6" s="10" t="s">
        <v>42</v>
      </c>
      <c r="D6" s="10" t="s">
        <v>18</v>
      </c>
      <c r="H6" s="10" t="s">
        <v>77</v>
      </c>
    </row>
    <row r="7" spans="2:8" x14ac:dyDescent="0.2">
      <c r="B7" s="10" t="s">
        <v>15</v>
      </c>
      <c r="C7" s="10" t="s">
        <v>45</v>
      </c>
      <c r="D7" s="10" t="s">
        <v>19</v>
      </c>
      <c r="H7" s="10" t="s">
        <v>80</v>
      </c>
    </row>
    <row r="8" spans="2:8" x14ac:dyDescent="0.2">
      <c r="B8" s="10" t="s">
        <v>16</v>
      </c>
      <c r="D8" s="10" t="s">
        <v>46</v>
      </c>
      <c r="H8" s="10" t="s">
        <v>78</v>
      </c>
    </row>
    <row r="9" spans="2:8" ht="25.5" x14ac:dyDescent="0.2">
      <c r="D9" s="10" t="s">
        <v>70</v>
      </c>
      <c r="H9" s="10" t="s">
        <v>79</v>
      </c>
    </row>
    <row r="10" spans="2:8" x14ac:dyDescent="0.2">
      <c r="H10" s="10" t="s">
        <v>81</v>
      </c>
    </row>
    <row r="11" spans="2:8" x14ac:dyDescent="0.2">
      <c r="H11" s="10" t="s">
        <v>82</v>
      </c>
    </row>
    <row r="13" spans="2:8" x14ac:dyDescent="0.2">
      <c r="H13" s="10" t="s">
        <v>69</v>
      </c>
    </row>
    <row r="14" spans="2:8" x14ac:dyDescent="0.2">
      <c r="H14" s="10" t="s">
        <v>83</v>
      </c>
    </row>
    <row r="15" spans="2:8" ht="25.5" x14ac:dyDescent="0.2">
      <c r="H15" s="10" t="s">
        <v>84</v>
      </c>
    </row>
    <row r="16" spans="2:8" ht="38.25" x14ac:dyDescent="0.2">
      <c r="H16" s="10" t="s">
        <v>85</v>
      </c>
    </row>
    <row r="17" spans="8:8" ht="25.5" x14ac:dyDescent="0.2">
      <c r="H17" s="10" t="s">
        <v>86</v>
      </c>
    </row>
    <row r="18" spans="8:8" x14ac:dyDescent="0.2">
      <c r="H18" s="10" t="s">
        <v>87</v>
      </c>
    </row>
    <row r="19" spans="8:8" x14ac:dyDescent="0.2">
      <c r="H19" s="10" t="s">
        <v>88</v>
      </c>
    </row>
    <row r="21" spans="8:8" x14ac:dyDescent="0.2">
      <c r="H21" s="10" t="s">
        <v>92</v>
      </c>
    </row>
    <row r="22" spans="8:8" ht="38.25" x14ac:dyDescent="0.2">
      <c r="H22" s="10"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5"/>
  <sheetViews>
    <sheetView topLeftCell="A8" workbookViewId="0">
      <selection activeCell="D19" sqref="D19"/>
    </sheetView>
  </sheetViews>
  <sheetFormatPr baseColWidth="10" defaultColWidth="11.42578125" defaultRowHeight="15" x14ac:dyDescent="0.25"/>
  <cols>
    <col min="1" max="1" width="16.5703125" style="2" customWidth="1"/>
    <col min="2" max="2" width="19.5703125" style="2" customWidth="1"/>
    <col min="3" max="3" width="11.42578125" style="2"/>
    <col min="4" max="4" width="58.28515625" style="2" customWidth="1"/>
    <col min="5" max="5" width="15.85546875" style="2" customWidth="1"/>
    <col min="6" max="6" width="18" style="2" customWidth="1"/>
    <col min="7" max="7" width="16.5703125" style="2" customWidth="1"/>
    <col min="8" max="16384" width="11.42578125" style="2"/>
  </cols>
  <sheetData>
    <row r="2" spans="1:7" ht="15.75" thickBot="1" x14ac:dyDescent="0.3"/>
    <row r="3" spans="1:7" ht="24" customHeight="1" thickBot="1" x14ac:dyDescent="0.3">
      <c r="A3" s="2" t="s">
        <v>0</v>
      </c>
      <c r="B3" s="38" t="s">
        <v>53</v>
      </c>
      <c r="C3" s="39"/>
      <c r="D3" s="39"/>
      <c r="E3" s="39"/>
      <c r="F3" s="39"/>
      <c r="G3" s="40"/>
    </row>
    <row r="4" spans="1:7" x14ac:dyDescent="0.25">
      <c r="B4" s="4"/>
      <c r="C4" s="5"/>
      <c r="D4" s="5"/>
      <c r="E4" s="5"/>
      <c r="F4" s="5"/>
      <c r="G4" s="5"/>
    </row>
    <row r="5" spans="1:7" x14ac:dyDescent="0.25">
      <c r="B5" s="4" t="str">
        <f>'Gestion Exigences'!C4</f>
        <v>Client</v>
      </c>
      <c r="C5" s="13" t="str">
        <f>'Gestion Exigences'!D4</f>
        <v xml:space="preserve">La rose blanche </v>
      </c>
      <c r="D5" s="5"/>
      <c r="E5" s="5"/>
      <c r="F5" s="5"/>
      <c r="G5" s="5"/>
    </row>
    <row r="6" spans="1:7" x14ac:dyDescent="0.25">
      <c r="B6" s="4" t="str">
        <f>'Gestion Exigences'!C5</f>
        <v>Projet</v>
      </c>
      <c r="C6" s="13" t="str">
        <f>'Gestion Exigences'!D5</f>
        <v>Digitalisation ligne PC4</v>
      </c>
      <c r="D6" s="5"/>
      <c r="E6" s="5"/>
      <c r="F6" s="5"/>
      <c r="G6" s="5"/>
    </row>
    <row r="7" spans="1:7" x14ac:dyDescent="0.25">
      <c r="B7" s="4" t="str">
        <f>'Gestion Exigences'!C6</f>
        <v>Réf BPA du Devis</v>
      </c>
      <c r="C7" s="13" t="str">
        <f>'Gestion Exigences'!D6</f>
        <v>S0-00xy</v>
      </c>
      <c r="D7" s="5"/>
      <c r="E7" s="5"/>
      <c r="F7" s="5"/>
      <c r="G7" s="5"/>
    </row>
    <row r="8" spans="1:7" x14ac:dyDescent="0.25">
      <c r="B8" s="4" t="str">
        <f>'Gestion Exigences'!C7</f>
        <v>Réf BPA du Projet</v>
      </c>
      <c r="C8" s="13" t="str">
        <f>'Gestion Exigences'!D7</f>
        <v>PR-22-0xyz</v>
      </c>
      <c r="D8" s="5"/>
      <c r="E8" s="5"/>
      <c r="F8" s="5"/>
      <c r="G8" s="5"/>
    </row>
    <row r="9" spans="1:7" x14ac:dyDescent="0.25">
      <c r="B9" s="12" t="str">
        <f>'Gestion Exigences'!C8</f>
        <v>Réf Modèle Document</v>
      </c>
      <c r="C9" s="14" t="str">
        <f>'Gestion Exigences'!D8</f>
        <v>MD203</v>
      </c>
      <c r="D9" s="5"/>
      <c r="E9" s="5"/>
      <c r="F9" s="5"/>
      <c r="G9" s="5"/>
    </row>
    <row r="10" spans="1:7" x14ac:dyDescent="0.25">
      <c r="B10" s="12" t="str">
        <f>'Gestion Exigences'!C9</f>
        <v>Version Modèle Document</v>
      </c>
      <c r="C10" s="14" t="str">
        <f>'Gestion Exigences'!D9</f>
        <v>V1.5</v>
      </c>
      <c r="D10" s="5"/>
      <c r="E10" s="5"/>
      <c r="F10" s="5"/>
      <c r="G10" s="5"/>
    </row>
    <row r="11" spans="1:7" x14ac:dyDescent="0.25">
      <c r="B11" s="4"/>
      <c r="C11" s="5"/>
      <c r="D11" s="5"/>
      <c r="E11" s="5"/>
      <c r="F11" s="5"/>
      <c r="G11" s="5"/>
    </row>
    <row r="12" spans="1:7" x14ac:dyDescent="0.25">
      <c r="B12" s="4"/>
      <c r="C12" s="5"/>
      <c r="D12" s="5"/>
      <c r="E12" s="5"/>
      <c r="F12" s="5"/>
      <c r="G12" s="5"/>
    </row>
    <row r="13" spans="1:7" x14ac:dyDescent="0.25">
      <c r="B13" s="15" t="s">
        <v>34</v>
      </c>
      <c r="C13" s="15" t="s">
        <v>35</v>
      </c>
      <c r="D13" s="15" t="s">
        <v>36</v>
      </c>
      <c r="E13" s="15" t="s">
        <v>37</v>
      </c>
      <c r="F13" s="15" t="s">
        <v>38</v>
      </c>
      <c r="G13" s="15" t="s">
        <v>3</v>
      </c>
    </row>
    <row r="14" spans="1:7" x14ac:dyDescent="0.25">
      <c r="B14" s="6" t="s">
        <v>112</v>
      </c>
      <c r="C14" s="7">
        <v>44894</v>
      </c>
      <c r="D14" s="24" t="s">
        <v>113</v>
      </c>
      <c r="E14" s="6" t="s">
        <v>114</v>
      </c>
      <c r="F14" s="23" t="s">
        <v>115</v>
      </c>
      <c r="G14" s="6" t="s">
        <v>91</v>
      </c>
    </row>
    <row r="15" spans="1:7" ht="30" x14ac:dyDescent="0.25">
      <c r="B15" s="2" t="s">
        <v>154</v>
      </c>
      <c r="C15" s="26">
        <v>44944</v>
      </c>
      <c r="D15" s="2" t="s">
        <v>155</v>
      </c>
      <c r="E15" s="27" t="s">
        <v>114</v>
      </c>
      <c r="F15" s="23" t="s">
        <v>115</v>
      </c>
      <c r="G15" s="27" t="s">
        <v>91</v>
      </c>
    </row>
  </sheetData>
  <mergeCells count="1">
    <mergeCell ref="B3:G3"/>
  </mergeCells>
  <pageMargins left="0.7" right="0.7" top="0.75" bottom="0.75" header="0.3" footer="0.3"/>
  <pageSetup paperSize="9" scale="95"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2.xml><?xml version="1.0" encoding="utf-8"?>
<ds:datastoreItem xmlns:ds="http://schemas.openxmlformats.org/officeDocument/2006/customXml" ds:itemID="{85503822-DF13-4051-A489-72B75648E37A}">
  <ds:schemaRefs>
    <ds:schemaRef ds:uri="http://schemas.openxmlformats.org/package/2006/metadata/core-properties"/>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http://purl.org/dc/elements/1.1/"/>
    <ds:schemaRef ds:uri="f681d081-fe2e-4389-8dd1-c7421b0f7b61"/>
    <ds:schemaRef ds:uri="http://purl.org/dc/dcmitype/"/>
    <ds:schemaRef ds:uri="http://purl.org/dc/terms/"/>
    <ds:schemaRef ds:uri="98d07ac0-315d-4ba4-a3f8-0e1dfb824eb0"/>
  </ds:schemaRefs>
</ds:datastoreItem>
</file>

<file path=customXml/itemProps3.xml><?xml version="1.0" encoding="utf-8"?>
<ds:datastoreItem xmlns:ds="http://schemas.openxmlformats.org/officeDocument/2006/customXml" ds:itemID="{D7B843FC-0D89-4E5F-9AD9-9AE1BB7898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Params</vt:lpstr>
      <vt:lpstr>Modifs Doc</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Nihel Kadri</cp:lastModifiedBy>
  <cp:revision/>
  <cp:lastPrinted>2022-06-21T05:07:55Z</cp:lastPrinted>
  <dcterms:created xsi:type="dcterms:W3CDTF">2000-07-05T17:03:55Z</dcterms:created>
  <dcterms:modified xsi:type="dcterms:W3CDTF">2024-02-15T08:34:13Z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ies>
</file>