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6 Prospects/058 BKFOOD/21 Projet Suivi Performance Opération Parage/2 Préparation Offre/"/>
    </mc:Choice>
  </mc:AlternateContent>
  <xr:revisionPtr revIDLastSave="208" documentId="8_{E91A9D94-9FAD-4B45-8F88-16DA6064F354}" xr6:coauthVersionLast="47" xr6:coauthVersionMax="47" xr10:uidLastSave="{7B5FCAE3-8164-43FA-B25F-5AC05663F9D9}"/>
  <bookViews>
    <workbookView xWindow="-108" yWindow="-108" windowWidth="23256" windowHeight="12456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definedNames>
    <definedName name="_xlnm.Print_Area" localSheetId="0">'Gestion Exigences'!$D$2:$J$28</definedName>
    <definedName name="_xlnm.Print_Area" localSheetId="1">'Modifs Doc'!$B$2:$G$17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27" l="1"/>
  <c r="O18" i="27"/>
  <c r="O21" i="27"/>
  <c r="P25" i="27"/>
  <c r="Q25" i="27" s="1"/>
  <c r="P24" i="27"/>
  <c r="Q24" i="27" s="1"/>
  <c r="P22" i="27"/>
  <c r="Q22" i="27"/>
  <c r="P23" i="27"/>
  <c r="Q23" i="27" s="1"/>
  <c r="P20" i="27"/>
  <c r="Q20" i="27" s="1"/>
  <c r="P17" i="27"/>
  <c r="Q17" i="27"/>
  <c r="P18" i="27"/>
  <c r="Q18" i="27" s="1"/>
  <c r="P19" i="27"/>
  <c r="Q19" i="27" s="1"/>
  <c r="P26" i="27" l="1"/>
  <c r="Q26" i="27" s="1"/>
  <c r="P28" i="27"/>
  <c r="Q28" i="27" s="1"/>
  <c r="P27" i="27" l="1"/>
  <c r="Q27" i="27" s="1"/>
  <c r="P21" i="27"/>
  <c r="Q21" i="27" s="1"/>
  <c r="O29" i="27"/>
  <c r="P16" i="27" l="1"/>
  <c r="Q16" i="27" s="1"/>
  <c r="P15" i="27"/>
  <c r="Q15" i="27" s="1"/>
  <c r="D8" i="29" l="1"/>
  <c r="D9" i="29"/>
  <c r="B6" i="29"/>
  <c r="D6" i="29"/>
  <c r="B7" i="29"/>
  <c r="D7" i="29"/>
  <c r="B8" i="29"/>
  <c r="B9" i="29"/>
  <c r="B11" i="29"/>
  <c r="D5" i="29"/>
  <c r="B5" i="29"/>
  <c r="P29" i="27" l="1"/>
  <c r="Q29" i="27" l="1"/>
</calcChain>
</file>

<file path=xl/sharedStrings.xml><?xml version="1.0" encoding="utf-8"?>
<sst xmlns="http://schemas.openxmlformats.org/spreadsheetml/2006/main" count="287" uniqueCount="162">
  <si>
    <t>Gestion Exigences Projet</t>
  </si>
  <si>
    <t>Chiffrage Réalisation/Analyse/Test</t>
  </si>
  <si>
    <t>Revue et Vérification Pendant la Conception</t>
  </si>
  <si>
    <t>BU</t>
  </si>
  <si>
    <t xml:space="preserve">SF </t>
  </si>
  <si>
    <t>Client</t>
  </si>
  <si>
    <t>BK FOOD</t>
  </si>
  <si>
    <t>Projet</t>
  </si>
  <si>
    <t>Suivi performance opération de parage</t>
  </si>
  <si>
    <t>Confidentiel | Usage Client Limité</t>
  </si>
  <si>
    <t>Réf BPA du Devis</t>
  </si>
  <si>
    <t>TBC</t>
  </si>
  <si>
    <t>Réf BPA du Projet</t>
  </si>
  <si>
    <t>MD203:V1.1</t>
  </si>
  <si>
    <t>Id exigence</t>
  </si>
  <si>
    <t>Objectif client</t>
  </si>
  <si>
    <t>Intitulé Exigence</t>
  </si>
  <si>
    <t>Nature</t>
  </si>
  <si>
    <t>Catégorie</t>
  </si>
  <si>
    <t>Exigence idenfiée pendant la phase</t>
  </si>
  <si>
    <t>Description de l'exigence</t>
  </si>
  <si>
    <t>Source</t>
  </si>
  <si>
    <t>Desciption de la solution MOMSOFT</t>
  </si>
  <si>
    <t>Ecart entre exigence client et la solution proposée - préciser aussi les limites et hypothèses si applicable</t>
  </si>
  <si>
    <t>Validation Interne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</si>
  <si>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</si>
  <si>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</si>
  <si>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</si>
  <si>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</si>
  <si>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</si>
  <si>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</si>
  <si>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</si>
  <si>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</si>
  <si>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</si>
  <si>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</si>
  <si>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</si>
  <si>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E001</t>
  </si>
  <si>
    <t>Configuration des données</t>
  </si>
  <si>
    <t>SF-Fonctionnelle</t>
  </si>
  <si>
    <t>Commerciale</t>
  </si>
  <si>
    <t>Workshop/réunion client</t>
  </si>
  <si>
    <t>Configuration complète et gestion d'usine</t>
  </si>
  <si>
    <t>Standard</t>
  </si>
  <si>
    <t>La solution propose un module "Configuration" permettant la modélisation, la gestion et la planification d'une usine connectée :
*Modélisation hiérarchique de l'usine : sites, ateliers, lignes, postes, machines
*Gestion des produits
*Gestion des lignes et des postes de travails
*Gestion des utilisateurs et des autorisations : rôles et accès contrôlés
*Gestion des équipes
*Planification des lignes et des équipes</t>
  </si>
  <si>
    <t>RAS</t>
  </si>
  <si>
    <t>Validée</t>
  </si>
  <si>
    <t>Mahdi B.</t>
  </si>
  <si>
    <t>Validée par le client</t>
  </si>
  <si>
    <t>E002</t>
  </si>
  <si>
    <t>Chargement des données à partir des fichiers CSV</t>
  </si>
  <si>
    <t>Chargement automatisé des données dans la solution</t>
  </si>
  <si>
    <t>La solution comprend un module « Intégration » pour l'intégration automatisée des données : importation automatique des données à partir de fichiers CSV . Elle prend en charge les entités utilisateur, produit, gammes de contrôle, gammes opératoire, nomrnclature et outillage, avec une gestion détaillée des erreurs pour l'intégration.</t>
  </si>
  <si>
    <t>E003</t>
  </si>
  <si>
    <t>Encodage des RFID pour les utilisateurs</t>
  </si>
  <si>
    <t>Affecter des identifiants RFID aux utilisateurs et les encoder sur des badges NFC / HF.</t>
  </si>
  <si>
    <t>Adaptation</t>
  </si>
  <si>
    <t>Adaptation au niveau de la gestion des utilisateurs : Permettre d'affecter un code RFID à chaque opérateur et à l'encoder sur son badge.</t>
  </si>
  <si>
    <t>E004</t>
  </si>
  <si>
    <t>Gestion des grilles et des bacs</t>
  </si>
  <si>
    <t>Identifier et configurer les grilles inox et des bacs en plastique au niveau de l'application</t>
  </si>
  <si>
    <t>La solution propose une interface permettant :
- la configuration des grilles inox et des bacs en plastique
- La définition d'un QR Code à chaque grille et bac
- La définition d'un code RFID UHF à chaque grille et bac
- L'encodage du code RFID UHF à chaque grille et bac
-L'impression d'une étiquette QR Code pour chaque grille et bac</t>
  </si>
  <si>
    <t>E005</t>
  </si>
  <si>
    <t>Interface Déclaration des Grilles Inox</t>
  </si>
  <si>
    <t>Permettre de déclarer les Grilles Inox au début de la ligne de production</t>
  </si>
  <si>
    <t>L'interface ' Déclaration des grilles Inox' permet :
- Le scan de l'étiquette de la grille (étiquette existante). Ce scan permet de définir le produit et l'OF.
- Le scan de l'étiquette de la grille Inox.
- Le pesage de la grille inox en appuyant sur un bouton au niveau de l'interface.
- L'affichage des messages de feedback par rapport à la déclaration de la grille.
- L'affichage de l'historique de déclaration des grilles inox dans un deuxième onglet.</t>
  </si>
  <si>
    <t>E006</t>
  </si>
  <si>
    <t>Récupération du poids depuis le balance</t>
  </si>
  <si>
    <t>SF-Connectivité Machine</t>
  </si>
  <si>
    <t>Permettre la récupération du poids grille en inox dans Smart Factory depuis la balance.</t>
  </si>
  <si>
    <t>Mise en place d'un protocole de connectivité assurant la récupération du poids grille en inox dans Smart Factory depuis la balance à l'appuie sur le bouton 'Obtenir Poids'.</t>
  </si>
  <si>
    <t>E007</t>
  </si>
  <si>
    <t>Suivi de l'opération de parage</t>
  </si>
  <si>
    <t>Au niveau des postes de parage, permettre la détection et l'association des opérateurs au grilles inox et au bacs en plastique</t>
  </si>
  <si>
    <r>
      <rPr>
        <sz val="10"/>
        <color rgb="FF000000"/>
        <rFont val="Calibri Light"/>
        <scheme val="major"/>
      </rPr>
      <t xml:space="preserve">Le module de suivi de l'opération de parage gère les fonctionnalités suivantes :
- L'opérateur scanne son badge pour s'identifer au niveau du poste en utilisant le lecteur RFID NFC.
- L'antenne RFID UFH détecte les grilles en inox
- L'antenne RFID UFH détecte les bacs en plastique.
- Envoyer les informations vers l'application (Couche Edge E010)
- Afficher un tableau d'historisation des grilles et des bacs.
</t>
    </r>
    <r>
      <rPr>
        <b/>
        <sz val="10"/>
        <color rgb="FF000000"/>
        <rFont val="Calibri Light"/>
        <scheme val="major"/>
      </rPr>
      <t xml:space="preserve">Traitement des informations issues du Edge :
</t>
    </r>
    <r>
      <rPr>
        <sz val="10"/>
        <color rgb="FF000000"/>
        <rFont val="Calibri Light"/>
        <scheme val="major"/>
      </rPr>
      <t xml:space="preserve">
- Si le Edge envoie un code utilisateur, affecter l'utilisateur au poste.
- L'utilisateur est toujours affecté à ce poste jusqu'à affectation d'un autre opérateur ou passage d'une durée X paramètrable sans production.
- Si le Edge envoie un code grille, l'affecter au poste et à l'opérateur et l'enregistrer comme grille en cours.
- Si le lecteur RFID envoie un code bac, l'affecter à la grille et au poste et le garder comme bac en cours.
- Si une nouvelle grille est identifiée, l'affecter au bac et au poste.
</t>
    </r>
    <r>
      <rPr>
        <sz val="10"/>
        <color rgb="FFFF0000"/>
        <rFont val="Calibri Light"/>
        <scheme val="major"/>
      </rPr>
      <t>- Si un nouvel opérateur est identifié, initialiser le bac et la grille.</t>
    </r>
  </si>
  <si>
    <t>E008</t>
  </si>
  <si>
    <t>Traitement des informations de parage</t>
  </si>
  <si>
    <t>Au niveau du Smart Edge, lire les données à partir du lecteur RFID et assurer leur traitement.</t>
  </si>
  <si>
    <t>Au niveau du Smart Edge : 
- Détecter les utilisateurs, les affecter aux postes et envoyer l'information : 'User connected : &lt;ID&gt;, &lt;Post_ID&gt;' à Smart Factory
- Assurer la distinction entre les bacs et les grilles : Tester sur la première lettre du code RFID. Un protocole d'encodage doit être défini.
 - Assurer l'association des bacs et des grilles au poste.
- Envoyer les informations 'Grille detected : &lt;ID&gt; , &lt;Post_ID&gt;' et 'Bac detected &lt;ID&gt;, &lt;Post_ID&gt;' à Smart Factory.</t>
  </si>
  <si>
    <t>E009</t>
  </si>
  <si>
    <t>Déclaration de production a la fin de l'opération de parage</t>
  </si>
  <si>
    <t>Permettre de déclarer le poids des bacs plastiques à la fin de la lignes.</t>
  </si>
  <si>
    <t>L'interface ' Déclaration de production en bacs' permet :
- Le scan de l'étiquette du bac.
- Le pesage du bac en appuyant sur un bouton au niveau de l'interface.
- L'affichage des messages de feedback par rapport à la déclaration du bac.
- L'association des informations de déclaration au bac, opérateur, poste, OF et Produit
- L'affichage de l'historique de déclaration des bacs dans un deuxième onglets.</t>
  </si>
  <si>
    <t>E010</t>
  </si>
  <si>
    <t>Permettre la récupération du poids des bacs plastique dans Smart Factory depuis la balance.</t>
  </si>
  <si>
    <t>Mise en place d'un protocole de connectivité assurant la récupération du poids des bacs en plastique dans Smart Factory depuis la balance à l'appuie sur le bouton 'Obtenir Poids'.</t>
  </si>
  <si>
    <t>E011</t>
  </si>
  <si>
    <t>Interface de contrôle et supervision</t>
  </si>
  <si>
    <t>Permettre au responsable la supervision de l'opération de parage des différents postes</t>
  </si>
  <si>
    <t>L’interface Supervision Parage permet de :
- Afficher l’opérateur connecté à chaque poste
- Indiquer lorsqu’aucun opérateur n’est connecté sur un poste
- Signaler l’absence d’opérateur alors que des bacs sont déclarés
- Signaler un arrêt de production avec opérateur connecté
(arrêt défini par l’absence de production pendant un temps paramétrable)
- Signaler un arrêt de production sans opérateur connecté
- Signaler des bacs plastiques déclarés sans grilles inox
- Signaler les erreurs de connectivité
- Afficher les postes libres
- Afficher les indicateurs de chaque poste : Qté produite par Shift, Rendement..
- Initialiser les postes de travail
(réinitialisation des bacs, grilles et opérateurs)
- Accéder rapidement à l’historique de production par Shift</t>
  </si>
  <si>
    <t>E012</t>
  </si>
  <si>
    <t>Historique production par shift</t>
  </si>
  <si>
    <t>Historiser le rendement et la quantité produite par opératrice et par shift.</t>
  </si>
  <si>
    <t>Adaptation : 
- Ajouter l’historisation du rendement et de la quantité produite par opératrice.
- Ajouter l’option de calcul du rendement et de la quantité produite par opérateur et par shift.
- Ajouter la fonctionnalité d’export des historiques de production par opérateur et par shift.</t>
  </si>
  <si>
    <t>E013</t>
  </si>
  <si>
    <t>Suivi en temps réel</t>
  </si>
  <si>
    <t>La solution offre une supervision de production en temps réel avec le module "Vue 360°" permettant de  : 
-Visualiser l'état des lignes en temps réel avec codification couleur paramétrable.
-Suivre des indicateurs clés de performance (KPI): TRS équipe et OF ,Taux de performance, disponibilité et qualité , PPM (pièces par million)
-Suivre de la progression des OF.
-Analyser des arrêts: Durées, causes et nombre d'occurrences.
-Visualiser la production et non-conformité en temps réel: Production totale et horaire par équipe , Non-conformité totale et horaire par équipe avec catégorisation par défaut qualité.</t>
  </si>
  <si>
    <t>E014</t>
  </si>
  <si>
    <t>Tableau de bord production</t>
  </si>
  <si>
    <t>Visualisation de l'historique de production</t>
  </si>
  <si>
    <t xml:space="preserve">la solution offre un tableau de bord fournissant une vue multi-niveaux de la production en utilisant des indicateurs comme TRS, Quantité produite vs Quantité planifiée, Temps d'arrêt vs temps de production, etc.
</t>
  </si>
  <si>
    <t>KK1</t>
  </si>
  <si>
    <t>KK2</t>
  </si>
  <si>
    <t>KK3</t>
  </si>
  <si>
    <t>KK4</t>
  </si>
  <si>
    <t>KK5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</si>
  <si>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</si>
  <si>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</si>
  <si>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</si>
  <si>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</si>
  <si>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</si>
  <si>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</si>
  <si>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</si>
  <si>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</si>
  <si>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Initiale</t>
  </si>
  <si>
    <t>Moatez D.</t>
  </si>
  <si>
    <t>Imed A.</t>
  </si>
  <si>
    <t>Overhead Analyse</t>
  </si>
  <si>
    <t>Overhead Test</t>
  </si>
  <si>
    <t>Objectifs client</t>
  </si>
  <si>
    <t>Exigence identifiée pendant la phase</t>
  </si>
  <si>
    <t>Oui/Non</t>
  </si>
  <si>
    <t>Statut Interne</t>
  </si>
  <si>
    <t>A liste dans params</t>
  </si>
  <si>
    <t>Fonctionnelle</t>
  </si>
  <si>
    <t>CdC client</t>
  </si>
  <si>
    <t>Oui</t>
  </si>
  <si>
    <t>*** SF</t>
  </si>
  <si>
    <t>gestion des opérateurs et de plannification</t>
  </si>
  <si>
    <t>Services</t>
  </si>
  <si>
    <t>Performance</t>
  </si>
  <si>
    <t>Conception</t>
  </si>
  <si>
    <t>Non</t>
  </si>
  <si>
    <t>Non validée par client</t>
  </si>
  <si>
    <t>Non validée</t>
  </si>
  <si>
    <t>SF-Processus</t>
  </si>
  <si>
    <t>Détection automatique de la production</t>
  </si>
  <si>
    <t>A définir</t>
  </si>
  <si>
    <t>Reglementaire</t>
  </si>
  <si>
    <t>Réalisation</t>
  </si>
  <si>
    <t>Workshop/réunion Interne</t>
  </si>
  <si>
    <t>N/A</t>
  </si>
  <si>
    <t>Exportation des données de production</t>
  </si>
  <si>
    <t>Sécurité</t>
  </si>
  <si>
    <t>Mise en œuvre</t>
  </si>
  <si>
    <t>Standards client</t>
  </si>
  <si>
    <t>Suivi de rendement en temps réel</t>
  </si>
  <si>
    <t>Standard Client</t>
  </si>
  <si>
    <t>Support et maintenance</t>
  </si>
  <si>
    <t>Standards MOMSOFT</t>
  </si>
  <si>
    <t>SF-Intégration SI</t>
  </si>
  <si>
    <t xml:space="preserve">Chargement des OF planifiés à partir de l'ERP </t>
  </si>
  <si>
    <t>Standard MOMSOFT</t>
  </si>
  <si>
    <t>Reglementation</t>
  </si>
  <si>
    <t>SF-Software</t>
  </si>
  <si>
    <t>Gestion et suivi  des ordres de fabrications</t>
  </si>
  <si>
    <t>Demande modification</t>
  </si>
  <si>
    <t>SF-Infra IT</t>
  </si>
  <si>
    <t>Gestion et suivi de la production</t>
  </si>
  <si>
    <t>Gestion de la consommation des ordres de fabrications</t>
  </si>
  <si>
    <t>*** Services</t>
  </si>
  <si>
    <t>Suivi  de la consommation des ordres de fabrications</t>
  </si>
  <si>
    <t>Prestations sur site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</si>
</sst>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sz val="4"/>
      <name val="Calibri Light"/>
      <family val="2"/>
      <scheme val="major"/>
    </font>
    <font>
      <sz val="10"/>
      <color theme="0"/>
      <name val="Calibri Light"/>
      <family val="2"/>
      <scheme val="major"/>
    </font>
    <font>
      <b/>
      <sz val="12"/>
      <color theme="0"/>
      <name val="Calibri Light"/>
      <family val="2"/>
    </font>
    <font>
      <b/>
      <sz val="11"/>
      <color theme="0"/>
      <name val="Calibri Light"/>
      <family val="2"/>
    </font>
    <font>
      <b/>
      <sz val="10"/>
      <color theme="0"/>
      <name val="Calibri Light"/>
      <family val="2"/>
      <scheme val="major"/>
    </font>
    <font>
      <sz val="10"/>
      <name val="Calibri Light"/>
      <family val="2"/>
    </font>
    <font>
      <sz val="3"/>
      <name val="Calibri Light"/>
      <family val="2"/>
    </font>
    <font>
      <sz val="8"/>
      <name val="Arial"/>
    </font>
    <font>
      <sz val="10"/>
      <color rgb="FF000000"/>
      <name val="Calibri Light"/>
      <scheme val="major"/>
    </font>
    <font>
      <sz val="10"/>
      <color rgb="FFFF0000"/>
      <name val="Calibri Light"/>
      <scheme val="major"/>
    </font>
    <font>
      <sz val="10"/>
      <name val="Calibri Light"/>
      <scheme val="major"/>
    </font>
    <font>
      <b/>
      <sz val="10"/>
      <color rgb="FF000000"/>
      <name val="Calibri Light"/>
      <scheme val="major"/>
    </font>
    <font>
      <sz val="12"/>
      <name val="Calibri Light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E0B1"/>
        <bgColor indexed="64"/>
      </patternFill>
    </fill>
    <fill>
      <patternFill patternType="solid">
        <fgColor rgb="FF00425A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rgb="FFFF7F0B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425A"/>
      </left>
      <right/>
      <top style="medium">
        <color rgb="FF00425A"/>
      </top>
      <bottom style="medium">
        <color indexed="64"/>
      </bottom>
      <diagonal/>
    </border>
    <border>
      <left/>
      <right/>
      <top style="medium">
        <color rgb="FF00425A"/>
      </top>
      <bottom style="medium">
        <color indexed="64"/>
      </bottom>
      <diagonal/>
    </border>
    <border>
      <left/>
      <right style="medium">
        <color rgb="FF00425A"/>
      </right>
      <top style="medium">
        <color rgb="FF00425A"/>
      </top>
      <bottom style="medium">
        <color indexed="64"/>
      </bottom>
      <diagonal/>
    </border>
    <border>
      <left style="medium">
        <color rgb="FF00425A"/>
      </left>
      <right/>
      <top/>
      <bottom/>
      <diagonal/>
    </border>
    <border>
      <left/>
      <right style="medium">
        <color rgb="FF00425A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vertical="center" wrapText="1"/>
    </xf>
    <xf numFmtId="0" fontId="14" fillId="2" borderId="2" xfId="0" applyFont="1" applyFill="1" applyBorder="1" applyAlignment="1">
      <alignment vertical="center" wrapText="1"/>
    </xf>
    <xf numFmtId="0" fontId="14" fillId="2" borderId="3" xfId="0" applyFont="1" applyFill="1" applyBorder="1" applyAlignment="1">
      <alignment vertical="center" wrapText="1"/>
    </xf>
    <xf numFmtId="0" fontId="16" fillId="2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14" fontId="18" fillId="0" borderId="0" xfId="0" applyNumberFormat="1" applyFont="1" applyAlignment="1">
      <alignment vertical="center" wrapText="1"/>
    </xf>
    <xf numFmtId="14" fontId="1" fillId="0" borderId="0" xfId="0" applyNumberFormat="1" applyFont="1" applyAlignment="1">
      <alignment wrapText="1"/>
    </xf>
    <xf numFmtId="0" fontId="17" fillId="2" borderId="0" xfId="0" applyFont="1" applyFill="1" applyAlignment="1">
      <alignment vertical="center" wrapText="1"/>
    </xf>
    <xf numFmtId="0" fontId="14" fillId="2" borderId="1" xfId="0" applyFont="1" applyFill="1" applyBorder="1" applyAlignment="1">
      <alignment vertical="center"/>
    </xf>
    <xf numFmtId="0" fontId="14" fillId="2" borderId="2" xfId="0" applyFont="1" applyFill="1" applyBorder="1" applyAlignment="1">
      <alignment vertical="center"/>
    </xf>
    <xf numFmtId="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14" fillId="4" borderId="4" xfId="0" applyFont="1" applyFill="1" applyBorder="1" applyAlignment="1">
      <alignment vertical="center" wrapText="1"/>
    </xf>
    <xf numFmtId="0" fontId="14" fillId="5" borderId="5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5" borderId="7" xfId="0" applyFont="1" applyFill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23" fillId="0" borderId="9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Light"/>
        <family val="2"/>
        <scheme val="none"/>
      </font>
      <fill>
        <patternFill patternType="solid">
          <fgColor indexed="64"/>
          <bgColor rgb="FF00E0B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00425A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  <border diagonalUp="0" diagonalDown="0">
        <left style="medium">
          <color rgb="FF00425A"/>
        </left>
        <right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 style="medium">
          <color rgb="FF00425A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  <border diagonalUp="0" diagonalDown="0">
        <left style="medium">
          <color rgb="FF00425A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Calibri Light"/>
        <family val="2"/>
        <scheme val="major"/>
      </font>
      <fill>
        <patternFill>
          <fgColor indexed="64"/>
          <bgColor rgb="FF00E0B1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425A"/>
      <color rgb="FF00E0B1"/>
      <color rgb="FFFF7F0B"/>
      <color rgb="FF00B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62754</xdr:colOff>
      <xdr:row>2</xdr:row>
      <xdr:rowOff>188259</xdr:rowOff>
    </xdr:from>
    <xdr:to>
      <xdr:col>3</xdr:col>
      <xdr:colOff>236251</xdr:colOff>
      <xdr:row>2</xdr:row>
      <xdr:rowOff>810503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796DF62-C2DE-4317-5F4D-42BBC1577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8" y="645459"/>
          <a:ext cx="1712258" cy="62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4:W29" totalsRowCount="1" headerRowDxfId="54" dataDxfId="53" totalsRowDxfId="52">
  <tableColumns count="22">
    <tableColumn id="1" xr3:uid="{E467E0EE-CDAA-4FF5-85A8-CDC0B23A5AD9}" name="Id exigence" dataDxfId="50" totalsRowDxfId="51"/>
    <tableColumn id="23" xr3:uid="{DB65C818-8EF5-4DCC-9DA7-4CD05A291796}" name="Objectif client" dataDxfId="48" totalsRowDxfId="49"/>
    <tableColumn id="2" xr3:uid="{E53952AC-4972-47BD-8B1D-C7EF23088D0D}" name="Intitulé Exigence" dataDxfId="46" totalsRowDxfId="47"/>
    <tableColumn id="8" xr3:uid="{B2D0BC2C-C803-4015-8FA6-70F84517BDB2}" name="Nature" dataDxfId="44" totalsRowDxfId="45"/>
    <tableColumn id="7" xr3:uid="{24F2F0ED-022E-4EC1-91D8-BFE0E4F2FD36}" name="Catégorie" dataDxfId="42" totalsRowDxfId="43"/>
    <tableColumn id="10" xr3:uid="{1FF81CF1-6D35-421C-8767-9E7FA06FEE6A}" name="Exigence idenfiée pendant la phase" dataDxfId="40" totalsRowDxfId="41"/>
    <tableColumn id="3" xr3:uid="{E7621A68-9552-4853-96A5-92A226EA42DD}" name="Description de l'exigence" dataDxfId="38" totalsRowDxfId="39"/>
    <tableColumn id="9" xr3:uid="{E6EEEC82-3576-4980-94B3-1423906CE531}" name="Source" dataDxfId="36" totalsRowDxfId="37"/>
    <tableColumn id="16" xr3:uid="{1441554A-79F9-4040-9CF5-AEBFF7ADF7D1}" name="Desciption de la solution MOMSOFT" dataDxfId="34" totalsRowDxfId="35"/>
    <tableColumn id="17" xr3:uid="{D1BC9C86-C3CE-417F-AC83-FC4786A7656D}" name="Ecart entre exigence client et la solution proposée - préciser aussi les limites et hypothèses si applicable" dataDxfId="32" totalsRowDxfId="33"/>
    <tableColumn id="5" xr3:uid="{2649C3B7-E8B9-44F9-8883-E5BB6F91B4B1}" name="Validation Interne" dataDxfId="30" totalsRowDxfId="31"/>
    <tableColumn id="6" xr3:uid="{8CC493F8-0886-498D-AB98-B77300CC6510}" name="Validation Interne par:" dataDxfId="28" totalsRowDxfId="29"/>
    <tableColumn id="15" xr3:uid="{78231C60-0932-4386-925D-4C689A91C0E3}" name="Statut Client" dataDxfId="26" totalsRowDxfId="27"/>
    <tableColumn id="22" xr3:uid="{D944A0FD-E468-407F-91A6-BD8A29086A7B}" name="HJ Dev" totalsRowFunction="sum" dataDxfId="24" totalsRowDxfId="25"/>
    <tableColumn id="21" xr3:uid="{818C68C5-1CC3-4DC9-9BB8-2CB7816ABE9F}" name="HJ Analyse et Test" totalsRowFunction="sum" dataDxfId="22" totalsRowDxfId="23">
      <calculatedColumnFormula>Tableau3[[#This Row],[HJ Dev]]*(25%+25%)</calculatedColumnFormula>
    </tableColumn>
    <tableColumn id="20" xr3:uid="{81CB5860-4285-4425-ABF9-C91F3323BF25}" name="Total HJ" totalsRowFunction="sum" dataDxfId="20" totalsRowDxfId="21">
      <calculatedColumnFormula>Tableau3[[#This Row],[HJ Analyse et Test]]+Tableau3[[#This Row],[HJ Dev]]</calculatedColumnFormula>
    </tableColumn>
    <tableColumn id="11" xr3:uid="{20685332-73A9-4B9D-874E-F1C9F770405F}" name="Description comment la conception de la solution prend en compte l'exigence client" dataDxfId="18" totalsRowDxfId="19"/>
    <tableColumn id="12" xr3:uid="{36B390F4-625A-46E1-864B-7108903FFD96}" name="Conception réalisée par:" dataDxfId="16" totalsRowDxfId="17"/>
    <tableColumn id="13" xr3:uid="{9016419E-83A5-4950-AB28-EA27A0D72FAD}" name="Revue conception réalisée par" dataDxfId="14" totalsRowDxfId="15"/>
    <tableColumn id="14" xr3:uid="{B5F29B7E-09EB-43EF-BD3D-9ADF38F7CC12}" name="Vérification de la conception réalisée par" dataDxfId="12" totalsRowDxfId="13"/>
    <tableColumn id="18" xr3:uid="{0CA25C90-64D6-43D5-90C8-CE6D70CCA638}" name="Preuve de vérification " dataDxfId="10" totalsRowDxfId="11"/>
    <tableColumn id="4" xr3:uid="{B7406A3A-A365-4F76-9A20-372573D19BC9}" name="Notes" dataDxfId="8" totalsRowDxfId="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7" totalsRowShown="0" headerRowDxfId="7" dataDxfId="6">
  <autoFilter ref="B13:G17" xr:uid="{96AD1385-A1F5-4391-ABC2-C9F250557626}"/>
  <tableColumns count="6">
    <tableColumn id="1" xr3:uid="{56DA355E-F205-482A-9CF1-CA3361A1D801}" name="Version" dataDxfId="5"/>
    <tableColumn id="2" xr3:uid="{C9D8A0D7-1D6E-479B-AF74-6D39D19E4653}" name="Date" dataDxfId="4"/>
    <tableColumn id="3" xr3:uid="{79109713-8A38-4162-A269-136157905B75}" name="Modifications" dataDxfId="3"/>
    <tableColumn id="4" xr3:uid="{AC928B3E-399C-4A3D-9FB5-9CD96F5D4745}" name="Auteur(s)" dataDxfId="2"/>
    <tableColumn id="5" xr3:uid="{0D0A428D-4F18-4D4E-A0CB-4D1A5057B6E9}" name="Vérificateur(s)" dataDxfId="1"/>
    <tableColumn id="6" xr3:uid="{D81EAB57-FBCA-44D9-8F45-58AF13AA08B6}" name="Approbateu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W71"/>
  <sheetViews>
    <sheetView tabSelected="1" zoomScale="53" zoomScaleNormal="53" workbookViewId="0">
      <selection activeCell="J25" sqref="J25"/>
    </sheetView>
  </sheetViews>
  <sheetFormatPr defaultColWidth="11.42578125" defaultRowHeight="12.75" customHeight="1"/>
  <cols>
    <col min="1" max="1" width="11.42578125" style="5" customWidth="1"/>
    <col min="2" max="2" width="22.42578125" style="5" customWidth="1"/>
    <col min="3" max="3" width="37.28515625" style="5" hidden="1" customWidth="1"/>
    <col min="4" max="4" width="39.28515625" style="5" customWidth="1"/>
    <col min="5" max="6" width="18.28515625" style="5" customWidth="1"/>
    <col min="7" max="7" width="22.42578125" style="5" customWidth="1"/>
    <col min="8" max="8" width="56.5703125" style="5" customWidth="1"/>
    <col min="9" max="9" width="18.42578125" style="5" customWidth="1"/>
    <col min="10" max="10" width="56.5703125" style="5" customWidth="1"/>
    <col min="11" max="11" width="33.28515625" style="5" customWidth="1"/>
    <col min="12" max="13" width="13.5703125" style="5" customWidth="1"/>
    <col min="14" max="14" width="15.28515625" style="5" customWidth="1"/>
    <col min="15" max="15" width="11.7109375" style="5" customWidth="1"/>
    <col min="16" max="16" width="15.42578125" style="5" customWidth="1"/>
    <col min="17" max="17" width="13.7109375" style="5" customWidth="1"/>
    <col min="18" max="18" width="39.7109375" style="5" customWidth="1"/>
    <col min="19" max="19" width="15.7109375" style="5" customWidth="1"/>
    <col min="20" max="20" width="20.5703125" style="5" customWidth="1"/>
    <col min="21" max="21" width="20.28515625" style="5" customWidth="1"/>
    <col min="22" max="22" width="15.28515625" style="5" customWidth="1"/>
    <col min="23" max="23" width="30.7109375" style="5" customWidth="1"/>
    <col min="24" max="16384" width="11.42578125" style="5"/>
  </cols>
  <sheetData>
    <row r="1" spans="2:23" ht="13.9"/>
    <row r="2" spans="2:23" ht="33" customHeight="1">
      <c r="B2" s="40" t="s">
        <v>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2"/>
      <c r="O2" s="43" t="s">
        <v>1</v>
      </c>
      <c r="P2" s="44"/>
      <c r="Q2" s="45"/>
      <c r="R2" s="37" t="s">
        <v>2</v>
      </c>
      <c r="S2" s="38"/>
      <c r="T2" s="38"/>
      <c r="U2" s="38"/>
      <c r="V2" s="38"/>
      <c r="W2" s="39"/>
    </row>
    <row r="3" spans="2:23" ht="66" customHeight="1">
      <c r="D3" s="25"/>
      <c r="E3" s="25"/>
      <c r="F3" s="25"/>
      <c r="G3" s="25"/>
      <c r="H3" s="25"/>
      <c r="I3" s="25"/>
      <c r="J3" s="25"/>
    </row>
    <row r="4" spans="2:23" ht="24.75" customHeight="1">
      <c r="D4" s="25"/>
      <c r="E4" s="25"/>
      <c r="F4" s="25"/>
      <c r="G4" s="25"/>
      <c r="H4" s="25"/>
      <c r="I4" s="25"/>
      <c r="J4" s="25"/>
    </row>
    <row r="5" spans="2:23" ht="21" customHeight="1">
      <c r="B5" s="6" t="s">
        <v>3</v>
      </c>
      <c r="C5" s="6"/>
      <c r="D5" s="26" t="s">
        <v>4</v>
      </c>
      <c r="F5" s="25"/>
      <c r="G5" s="25"/>
      <c r="H5" s="25"/>
      <c r="I5" s="25"/>
      <c r="J5" s="25"/>
    </row>
    <row r="6" spans="2:23" ht="21.75" customHeight="1">
      <c r="B6" s="27" t="s">
        <v>5</v>
      </c>
      <c r="C6" s="27"/>
      <c r="D6" s="28" t="s">
        <v>6</v>
      </c>
      <c r="F6" s="28"/>
      <c r="H6" s="28"/>
      <c r="I6" s="28"/>
      <c r="J6" s="28"/>
    </row>
    <row r="7" spans="2:23" ht="21" customHeight="1">
      <c r="B7" s="27" t="s">
        <v>7</v>
      </c>
      <c r="C7" s="27"/>
      <c r="D7" s="28" t="s">
        <v>8</v>
      </c>
      <c r="F7" s="28"/>
      <c r="H7" s="29" t="s">
        <v>9</v>
      </c>
      <c r="I7" s="28"/>
      <c r="J7" s="28"/>
    </row>
    <row r="8" spans="2:23" ht="20.65" customHeight="1">
      <c r="B8" s="27" t="s">
        <v>10</v>
      </c>
      <c r="C8" s="27"/>
      <c r="D8" s="28" t="s">
        <v>11</v>
      </c>
      <c r="F8" s="28"/>
      <c r="G8" s="28"/>
      <c r="H8" s="28"/>
      <c r="I8" s="28"/>
      <c r="J8" s="28"/>
    </row>
    <row r="9" spans="2:23" ht="21.6" customHeight="1">
      <c r="B9" s="27" t="s">
        <v>12</v>
      </c>
      <c r="C9" s="27"/>
      <c r="D9" s="28" t="s">
        <v>11</v>
      </c>
      <c r="F9" s="28"/>
      <c r="G9" s="28"/>
      <c r="H9" s="28"/>
      <c r="I9" s="28"/>
      <c r="J9" s="28"/>
    </row>
    <row r="10" spans="2:23" ht="14.45">
      <c r="D10" s="28"/>
      <c r="E10" s="30"/>
      <c r="F10" s="30"/>
      <c r="G10" s="30"/>
      <c r="H10" s="30"/>
      <c r="I10" s="30"/>
      <c r="J10" s="30"/>
    </row>
    <row r="11" spans="2:23" ht="13.9">
      <c r="B11" s="31" t="s">
        <v>13</v>
      </c>
      <c r="C11" s="31"/>
      <c r="D11" s="19"/>
      <c r="E11" s="31"/>
      <c r="F11" s="32"/>
      <c r="G11" s="32"/>
    </row>
    <row r="12" spans="2:23" ht="13.9">
      <c r="B12" s="31"/>
      <c r="C12" s="31"/>
      <c r="D12" s="19"/>
      <c r="E12" s="31"/>
      <c r="F12" s="32"/>
      <c r="G12" s="32"/>
    </row>
    <row r="13" spans="2:23" ht="14.45" thickBot="1"/>
    <row r="14" spans="2:23" ht="42" customHeight="1" thickBot="1">
      <c r="B14" s="16" t="s">
        <v>14</v>
      </c>
      <c r="C14" s="17" t="s">
        <v>15</v>
      </c>
      <c r="D14" s="9" t="s">
        <v>16</v>
      </c>
      <c r="E14" s="9" t="s">
        <v>17</v>
      </c>
      <c r="F14" s="9" t="s">
        <v>18</v>
      </c>
      <c r="G14" s="9" t="s">
        <v>19</v>
      </c>
      <c r="H14" s="9" t="s">
        <v>20</v>
      </c>
      <c r="I14" s="9" t="s">
        <v>21</v>
      </c>
      <c r="J14" s="9" t="s">
        <v>22</v>
      </c>
      <c r="K14" s="9" t="s">
        <v>23</v>
      </c>
      <c r="L14" s="9" t="s">
        <v>24</v>
      </c>
      <c r="M14" s="9" t="s">
        <v>25</v>
      </c>
      <c r="N14" s="10" t="s">
        <v>26</v>
      </c>
      <c r="O14" s="21" t="s">
        <v>27</v>
      </c>
      <c r="P14" s="21" t="s">
        <v>28</v>
      </c>
      <c r="Q14" s="21" t="s">
        <v>29</v>
      </c>
      <c r="R14" s="22" t="s">
        <v>30</v>
      </c>
      <c r="S14" s="23" t="s">
        <v>31</v>
      </c>
      <c r="T14" s="23" t="s">
        <v>32</v>
      </c>
      <c r="U14" s="23" t="s">
        <v>33</v>
      </c>
      <c r="V14" s="23" t="s">
        <v>34</v>
      </c>
      <c r="W14" s="24" t="s">
        <v>35</v>
      </c>
    </row>
    <row r="15" spans="2:23" ht="181.5" customHeight="1">
      <c r="B15" s="33" t="s">
        <v>36</v>
      </c>
      <c r="C15" s="33" t="s">
        <v>37</v>
      </c>
      <c r="D15" s="33" t="s">
        <v>37</v>
      </c>
      <c r="E15" s="33" t="s">
        <v>38</v>
      </c>
      <c r="F15" s="33" t="s">
        <v>39</v>
      </c>
      <c r="G15" s="33" t="s">
        <v>40</v>
      </c>
      <c r="H15" s="33" t="s">
        <v>41</v>
      </c>
      <c r="I15" s="33" t="s">
        <v>42</v>
      </c>
      <c r="J15" s="33" t="s">
        <v>43</v>
      </c>
      <c r="K15" s="33" t="s">
        <v>44</v>
      </c>
      <c r="L15" s="33" t="s">
        <v>45</v>
      </c>
      <c r="M15" s="33" t="s">
        <v>46</v>
      </c>
      <c r="N15" s="33" t="s">
        <v>47</v>
      </c>
      <c r="O15" s="33">
        <v>0</v>
      </c>
      <c r="P15" s="33">
        <f>Tableau3[[#This Row],[HJ Dev]]*(25%+25%)</f>
        <v>0</v>
      </c>
      <c r="Q15" s="33">
        <f>Tableau3[[#This Row],[HJ Analyse et Test]]+Tableau3[[#This Row],[HJ Dev]]</f>
        <v>0</v>
      </c>
      <c r="R15" s="33"/>
      <c r="S15" s="33"/>
      <c r="T15" s="33"/>
      <c r="U15" s="33"/>
      <c r="V15" s="33"/>
      <c r="W15" s="33"/>
    </row>
    <row r="16" spans="2:23" ht="108" customHeight="1">
      <c r="B16" s="33" t="s">
        <v>48</v>
      </c>
      <c r="C16" s="33" t="s">
        <v>49</v>
      </c>
      <c r="D16" s="33" t="s">
        <v>49</v>
      </c>
      <c r="E16" s="33" t="s">
        <v>38</v>
      </c>
      <c r="F16" s="33" t="s">
        <v>39</v>
      </c>
      <c r="G16" s="33" t="s">
        <v>40</v>
      </c>
      <c r="H16" s="33" t="s">
        <v>50</v>
      </c>
      <c r="I16" s="33" t="s">
        <v>42</v>
      </c>
      <c r="J16" s="33" t="s">
        <v>51</v>
      </c>
      <c r="K16" s="33" t="s">
        <v>44</v>
      </c>
      <c r="L16" s="33" t="s">
        <v>45</v>
      </c>
      <c r="M16" s="33" t="s">
        <v>46</v>
      </c>
      <c r="N16" s="33" t="s">
        <v>47</v>
      </c>
      <c r="O16" s="33">
        <v>0</v>
      </c>
      <c r="P16" s="33">
        <f>Tableau3[[#This Row],[HJ Dev]]*(25%+25%)</f>
        <v>0</v>
      </c>
      <c r="Q16" s="33">
        <f>Tableau3[[#This Row],[HJ Analyse et Test]]+Tableau3[[#This Row],[HJ Dev]]</f>
        <v>0</v>
      </c>
      <c r="R16" s="33"/>
      <c r="S16" s="33"/>
      <c r="T16" s="33"/>
      <c r="U16" s="33"/>
      <c r="V16" s="33"/>
      <c r="W16" s="33"/>
    </row>
    <row r="17" spans="2:23" ht="108" customHeight="1">
      <c r="B17" s="33" t="s">
        <v>52</v>
      </c>
      <c r="C17" s="33"/>
      <c r="D17" s="33" t="s">
        <v>53</v>
      </c>
      <c r="E17" s="33" t="s">
        <v>38</v>
      </c>
      <c r="F17" s="33" t="s">
        <v>39</v>
      </c>
      <c r="G17" s="33" t="s">
        <v>40</v>
      </c>
      <c r="H17" s="33" t="s">
        <v>54</v>
      </c>
      <c r="I17" s="33" t="s">
        <v>55</v>
      </c>
      <c r="J17" s="33" t="s">
        <v>56</v>
      </c>
      <c r="K17" s="33" t="s">
        <v>44</v>
      </c>
      <c r="L17" s="33" t="s">
        <v>45</v>
      </c>
      <c r="M17" s="33" t="s">
        <v>46</v>
      </c>
      <c r="N17" s="33" t="s">
        <v>47</v>
      </c>
      <c r="O17" s="33">
        <f>1.5+3</f>
        <v>4.5</v>
      </c>
      <c r="P17" s="33">
        <f>Tableau3[[#This Row],[HJ Dev]]*(25%+25%)</f>
        <v>2.25</v>
      </c>
      <c r="Q17" s="35">
        <f>Tableau3[[#This Row],[HJ Analyse et Test]]+Tableau3[[#This Row],[HJ Dev]]</f>
        <v>6.75</v>
      </c>
      <c r="R17" s="34"/>
      <c r="S17" s="33"/>
      <c r="T17" s="33"/>
      <c r="U17" s="33"/>
      <c r="V17" s="33"/>
      <c r="W17" s="35"/>
    </row>
    <row r="18" spans="2:23" ht="263.25" customHeight="1">
      <c r="B18" s="33" t="s">
        <v>57</v>
      </c>
      <c r="C18" s="33"/>
      <c r="D18" s="33" t="s">
        <v>58</v>
      </c>
      <c r="E18" s="33" t="s">
        <v>38</v>
      </c>
      <c r="F18" s="33" t="s">
        <v>39</v>
      </c>
      <c r="G18" s="33" t="s">
        <v>40</v>
      </c>
      <c r="H18" s="33" t="s">
        <v>59</v>
      </c>
      <c r="I18" s="33" t="s">
        <v>55</v>
      </c>
      <c r="J18" s="33" t="s">
        <v>60</v>
      </c>
      <c r="K18" s="33" t="s">
        <v>44</v>
      </c>
      <c r="L18" s="33" t="s">
        <v>45</v>
      </c>
      <c r="M18" s="33" t="s">
        <v>46</v>
      </c>
      <c r="N18" s="33" t="s">
        <v>47</v>
      </c>
      <c r="O18" s="33">
        <f>2+1+0.5+3</f>
        <v>6.5</v>
      </c>
      <c r="P18" s="33">
        <f>Tableau3[[#This Row],[HJ Dev]]*(25%+25%)</f>
        <v>3.25</v>
      </c>
      <c r="Q18" s="35">
        <f>Tableau3[[#This Row],[HJ Analyse et Test]]+Tableau3[[#This Row],[HJ Dev]]</f>
        <v>9.75</v>
      </c>
      <c r="R18" s="34"/>
      <c r="S18" s="33"/>
      <c r="T18" s="33"/>
      <c r="U18" s="33"/>
      <c r="V18" s="33"/>
      <c r="W18" s="35"/>
    </row>
    <row r="19" spans="2:23" ht="169.5" customHeight="1">
      <c r="B19" s="33" t="s">
        <v>61</v>
      </c>
      <c r="C19" s="33"/>
      <c r="D19" s="33" t="s">
        <v>62</v>
      </c>
      <c r="E19" s="33" t="s">
        <v>38</v>
      </c>
      <c r="F19" s="33" t="s">
        <v>39</v>
      </c>
      <c r="G19" s="33" t="s">
        <v>40</v>
      </c>
      <c r="H19" s="33" t="s">
        <v>63</v>
      </c>
      <c r="I19" s="33" t="s">
        <v>55</v>
      </c>
      <c r="J19" s="33" t="s">
        <v>64</v>
      </c>
      <c r="K19" s="33" t="s">
        <v>44</v>
      </c>
      <c r="L19" s="33" t="s">
        <v>45</v>
      </c>
      <c r="M19" s="33" t="s">
        <v>46</v>
      </c>
      <c r="N19" s="33" t="s">
        <v>47</v>
      </c>
      <c r="O19" s="33">
        <v>2</v>
      </c>
      <c r="P19" s="33">
        <f>Tableau3[[#This Row],[HJ Dev]]*(25%+25%)</f>
        <v>1</v>
      </c>
      <c r="Q19" s="35">
        <f>Tableau3[[#This Row],[HJ Analyse et Test]]+Tableau3[[#This Row],[HJ Dev]]</f>
        <v>3</v>
      </c>
      <c r="R19" s="34"/>
      <c r="S19" s="33"/>
      <c r="T19" s="33"/>
      <c r="U19" s="33"/>
      <c r="V19" s="33"/>
      <c r="W19" s="35"/>
    </row>
    <row r="20" spans="2:23" ht="109.5" customHeight="1">
      <c r="B20" s="33" t="s">
        <v>65</v>
      </c>
      <c r="C20" s="33"/>
      <c r="D20" s="33" t="s">
        <v>66</v>
      </c>
      <c r="E20" s="33" t="s">
        <v>67</v>
      </c>
      <c r="F20" s="33" t="s">
        <v>39</v>
      </c>
      <c r="G20" s="33" t="s">
        <v>40</v>
      </c>
      <c r="H20" s="33" t="s">
        <v>68</v>
      </c>
      <c r="I20" s="33" t="s">
        <v>55</v>
      </c>
      <c r="J20" s="33" t="s">
        <v>69</v>
      </c>
      <c r="K20" s="33" t="s">
        <v>44</v>
      </c>
      <c r="L20" s="33" t="s">
        <v>45</v>
      </c>
      <c r="M20" s="33" t="s">
        <v>46</v>
      </c>
      <c r="N20" s="33" t="s">
        <v>47</v>
      </c>
      <c r="O20" s="33">
        <v>1</v>
      </c>
      <c r="P20" s="33">
        <f>Tableau3[[#This Row],[HJ Dev]]*(25%+25%)</f>
        <v>0.5</v>
      </c>
      <c r="Q20" s="35">
        <f>Tableau3[[#This Row],[HJ Analyse et Test]]+Tableau3[[#This Row],[HJ Dev]]</f>
        <v>1.5</v>
      </c>
      <c r="R20" s="34"/>
      <c r="S20" s="33"/>
      <c r="T20" s="33"/>
      <c r="U20" s="33"/>
      <c r="V20" s="33"/>
      <c r="W20" s="35"/>
    </row>
    <row r="21" spans="2:23" ht="337.5" customHeight="1">
      <c r="B21" s="33" t="s">
        <v>70</v>
      </c>
      <c r="C21" s="33"/>
      <c r="D21" s="33" t="s">
        <v>71</v>
      </c>
      <c r="E21" s="33" t="s">
        <v>38</v>
      </c>
      <c r="F21" s="33" t="s">
        <v>39</v>
      </c>
      <c r="G21" s="33" t="s">
        <v>40</v>
      </c>
      <c r="H21" s="33" t="s">
        <v>72</v>
      </c>
      <c r="I21" s="33" t="s">
        <v>55</v>
      </c>
      <c r="J21" s="33" t="s">
        <v>73</v>
      </c>
      <c r="K21" s="33" t="s">
        <v>44</v>
      </c>
      <c r="L21" s="33" t="s">
        <v>45</v>
      </c>
      <c r="M21" s="33" t="s">
        <v>46</v>
      </c>
      <c r="N21" s="33" t="s">
        <v>47</v>
      </c>
      <c r="O21" s="33">
        <f>1.5+0.5+1</f>
        <v>3</v>
      </c>
      <c r="P21" s="33">
        <f>Tableau3[[#This Row],[HJ Dev]]*(25%+25%)</f>
        <v>1.5</v>
      </c>
      <c r="Q21" s="35">
        <f>Tableau3[[#This Row],[HJ Analyse et Test]]+Tableau3[[#This Row],[HJ Dev]]</f>
        <v>4.5</v>
      </c>
      <c r="R21" s="34"/>
      <c r="S21" s="33"/>
      <c r="T21" s="33"/>
      <c r="U21" s="33"/>
      <c r="V21" s="33"/>
      <c r="W21" s="35"/>
    </row>
    <row r="22" spans="2:23" ht="289.89999999999998" customHeight="1">
      <c r="B22" s="33" t="s">
        <v>74</v>
      </c>
      <c r="C22" s="33"/>
      <c r="D22" s="33" t="s">
        <v>75</v>
      </c>
      <c r="E22" s="33" t="s">
        <v>67</v>
      </c>
      <c r="F22" s="33" t="s">
        <v>39</v>
      </c>
      <c r="G22" s="33" t="s">
        <v>40</v>
      </c>
      <c r="H22" s="33" t="s">
        <v>76</v>
      </c>
      <c r="I22" s="33" t="s">
        <v>55</v>
      </c>
      <c r="J22" s="33" t="s">
        <v>77</v>
      </c>
      <c r="K22" s="33" t="s">
        <v>44</v>
      </c>
      <c r="L22" s="33" t="s">
        <v>45</v>
      </c>
      <c r="M22" s="33" t="s">
        <v>46</v>
      </c>
      <c r="N22" s="33" t="s">
        <v>47</v>
      </c>
      <c r="O22" s="33">
        <v>3</v>
      </c>
      <c r="P22" s="33">
        <f>Tableau3[[#This Row],[HJ Dev]]*(25%+25%)</f>
        <v>1.5</v>
      </c>
      <c r="Q22" s="35">
        <f>Tableau3[[#This Row],[HJ Analyse et Test]]+Tableau3[[#This Row],[HJ Dev]]</f>
        <v>4.5</v>
      </c>
      <c r="R22" s="34"/>
      <c r="S22" s="33"/>
      <c r="T22" s="33"/>
      <c r="U22" s="33"/>
      <c r="V22" s="33"/>
      <c r="W22" s="35"/>
    </row>
    <row r="23" spans="2:23" ht="289.89999999999998" customHeight="1">
      <c r="B23" s="33" t="s">
        <v>78</v>
      </c>
      <c r="C23" s="33"/>
      <c r="D23" s="33" t="s">
        <v>79</v>
      </c>
      <c r="E23" s="33" t="s">
        <v>38</v>
      </c>
      <c r="F23" s="33" t="s">
        <v>39</v>
      </c>
      <c r="G23" s="33" t="s">
        <v>40</v>
      </c>
      <c r="H23" s="33" t="s">
        <v>80</v>
      </c>
      <c r="I23" s="33" t="s">
        <v>55</v>
      </c>
      <c r="J23" s="33" t="s">
        <v>81</v>
      </c>
      <c r="K23" s="33" t="s">
        <v>44</v>
      </c>
      <c r="L23" s="33" t="s">
        <v>45</v>
      </c>
      <c r="M23" s="33" t="s">
        <v>46</v>
      </c>
      <c r="N23" s="33" t="s">
        <v>47</v>
      </c>
      <c r="O23" s="33">
        <v>1.5</v>
      </c>
      <c r="P23" s="33">
        <f>Tableau3[[#This Row],[HJ Dev]]*(25%+25%)</f>
        <v>0.75</v>
      </c>
      <c r="Q23" s="35">
        <f>Tableau3[[#This Row],[HJ Analyse et Test]]+Tableau3[[#This Row],[HJ Dev]]</f>
        <v>2.25</v>
      </c>
      <c r="R23" s="34"/>
      <c r="S23" s="33"/>
      <c r="T23" s="33"/>
      <c r="U23" s="33"/>
      <c r="V23" s="33"/>
      <c r="W23" s="35"/>
    </row>
    <row r="24" spans="2:23" ht="342.75" customHeight="1">
      <c r="B24" s="33" t="s">
        <v>82</v>
      </c>
      <c r="C24" s="33"/>
      <c r="D24" s="33" t="s">
        <v>66</v>
      </c>
      <c r="E24" s="33" t="s">
        <v>67</v>
      </c>
      <c r="F24" s="33" t="s">
        <v>39</v>
      </c>
      <c r="G24" s="33" t="s">
        <v>40</v>
      </c>
      <c r="H24" s="33" t="s">
        <v>83</v>
      </c>
      <c r="I24" s="33" t="s">
        <v>55</v>
      </c>
      <c r="J24" s="33" t="s">
        <v>84</v>
      </c>
      <c r="K24" s="33" t="s">
        <v>44</v>
      </c>
      <c r="L24" s="33" t="s">
        <v>45</v>
      </c>
      <c r="M24" s="33" t="s">
        <v>46</v>
      </c>
      <c r="N24" s="33" t="s">
        <v>47</v>
      </c>
      <c r="O24" s="33">
        <v>1</v>
      </c>
      <c r="P24" s="33">
        <f>Tableau3[[#This Row],[HJ Dev]]*(25%+25%)</f>
        <v>0.5</v>
      </c>
      <c r="Q24" s="35">
        <f>Tableau3[[#This Row],[HJ Analyse et Test]]+Tableau3[[#This Row],[HJ Dev]]</f>
        <v>1.5</v>
      </c>
      <c r="R24" s="34"/>
      <c r="S24" s="33"/>
      <c r="T24" s="33"/>
      <c r="U24" s="33"/>
      <c r="V24" s="33"/>
      <c r="W24" s="35"/>
    </row>
    <row r="25" spans="2:23" ht="342.75" customHeight="1">
      <c r="B25" s="33" t="s">
        <v>85</v>
      </c>
      <c r="C25" s="33"/>
      <c r="D25" s="33" t="s">
        <v>86</v>
      </c>
      <c r="E25" s="33" t="s">
        <v>38</v>
      </c>
      <c r="F25" s="33" t="s">
        <v>39</v>
      </c>
      <c r="G25" s="33" t="s">
        <v>40</v>
      </c>
      <c r="H25" s="33" t="s">
        <v>87</v>
      </c>
      <c r="I25" s="33" t="s">
        <v>55</v>
      </c>
      <c r="J25" s="33" t="s">
        <v>88</v>
      </c>
      <c r="K25" s="33" t="s">
        <v>44</v>
      </c>
      <c r="L25" s="33" t="s">
        <v>45</v>
      </c>
      <c r="M25" s="33" t="s">
        <v>46</v>
      </c>
      <c r="N25" s="33" t="s">
        <v>47</v>
      </c>
      <c r="O25" s="33">
        <v>4</v>
      </c>
      <c r="P25" s="33">
        <f>Tableau3[[#This Row],[HJ Dev]]*(25%+25%)</f>
        <v>2</v>
      </c>
      <c r="Q25" s="35">
        <f>Tableau3[[#This Row],[HJ Analyse et Test]]+Tableau3[[#This Row],[HJ Dev]]</f>
        <v>6</v>
      </c>
      <c r="R25" s="34"/>
      <c r="S25" s="33"/>
      <c r="T25" s="33"/>
      <c r="U25" s="33"/>
      <c r="V25" s="33"/>
      <c r="W25" s="35"/>
    </row>
    <row r="26" spans="2:23" ht="342.75" customHeight="1">
      <c r="B26" s="33" t="s">
        <v>89</v>
      </c>
      <c r="C26" s="33"/>
      <c r="D26" s="33" t="s">
        <v>90</v>
      </c>
      <c r="E26" s="33" t="s">
        <v>38</v>
      </c>
      <c r="F26" s="33" t="s">
        <v>39</v>
      </c>
      <c r="G26" s="33" t="s">
        <v>40</v>
      </c>
      <c r="H26" s="33" t="s">
        <v>91</v>
      </c>
      <c r="I26" s="33" t="s">
        <v>55</v>
      </c>
      <c r="J26" s="33" t="s">
        <v>92</v>
      </c>
      <c r="K26" s="33" t="s">
        <v>44</v>
      </c>
      <c r="L26" s="33" t="s">
        <v>45</v>
      </c>
      <c r="M26" s="33" t="s">
        <v>46</v>
      </c>
      <c r="N26" s="33" t="s">
        <v>47</v>
      </c>
      <c r="O26" s="33">
        <v>2</v>
      </c>
      <c r="P26" s="33">
        <f>Tableau3[[#This Row],[HJ Dev]]*(25%+25%)</f>
        <v>1</v>
      </c>
      <c r="Q26" s="35">
        <f>Tableau3[[#This Row],[HJ Analyse et Test]]+Tableau3[[#This Row],[HJ Dev]]</f>
        <v>3</v>
      </c>
      <c r="R26" s="34"/>
      <c r="S26" s="33"/>
      <c r="T26" s="33"/>
      <c r="U26" s="33"/>
      <c r="V26" s="33"/>
      <c r="W26" s="35"/>
    </row>
    <row r="27" spans="2:23" ht="220.15" customHeight="1">
      <c r="B27" s="33" t="s">
        <v>93</v>
      </c>
      <c r="C27" s="36" t="s">
        <v>94</v>
      </c>
      <c r="D27" s="36" t="s">
        <v>94</v>
      </c>
      <c r="E27" s="33" t="s">
        <v>38</v>
      </c>
      <c r="F27" s="33" t="s">
        <v>39</v>
      </c>
      <c r="G27" s="33" t="s">
        <v>40</v>
      </c>
      <c r="H27" s="33" t="s">
        <v>94</v>
      </c>
      <c r="I27" s="33" t="s">
        <v>42</v>
      </c>
      <c r="J27" s="33" t="s">
        <v>95</v>
      </c>
      <c r="K27" s="33" t="s">
        <v>44</v>
      </c>
      <c r="L27" s="33" t="s">
        <v>45</v>
      </c>
      <c r="M27" s="33" t="s">
        <v>46</v>
      </c>
      <c r="N27" s="33" t="s">
        <v>47</v>
      </c>
      <c r="O27" s="33">
        <v>2</v>
      </c>
      <c r="P27" s="33">
        <f>Tableau3[[#This Row],[HJ Dev]]*(25%+25%)</f>
        <v>1</v>
      </c>
      <c r="Q27" s="35">
        <f>Tableau3[[#This Row],[HJ Analyse et Test]]+Tableau3[[#This Row],[HJ Dev]]</f>
        <v>3</v>
      </c>
      <c r="R27" s="34"/>
      <c r="S27" s="33"/>
      <c r="T27" s="33"/>
      <c r="U27" s="33"/>
      <c r="V27" s="33"/>
      <c r="W27" s="35"/>
    </row>
    <row r="28" spans="2:23" ht="285" customHeight="1">
      <c r="B28" s="33" t="s">
        <v>96</v>
      </c>
      <c r="C28" s="36" t="s">
        <v>97</v>
      </c>
      <c r="D28" s="33" t="s">
        <v>97</v>
      </c>
      <c r="E28" s="33" t="s">
        <v>38</v>
      </c>
      <c r="F28" s="33" t="s">
        <v>39</v>
      </c>
      <c r="G28" s="33" t="s">
        <v>40</v>
      </c>
      <c r="H28" s="33" t="s">
        <v>98</v>
      </c>
      <c r="I28" s="33" t="s">
        <v>42</v>
      </c>
      <c r="J28" s="33" t="s">
        <v>99</v>
      </c>
      <c r="K28" s="33" t="s">
        <v>44</v>
      </c>
      <c r="L28" s="33" t="s">
        <v>45</v>
      </c>
      <c r="M28" s="33" t="s">
        <v>46</v>
      </c>
      <c r="N28" s="33" t="s">
        <v>47</v>
      </c>
      <c r="O28" s="33">
        <v>0</v>
      </c>
      <c r="P28" s="33">
        <f>Tableau3[[#This Row],[HJ Dev]]*(25%+25%)</f>
        <v>0</v>
      </c>
      <c r="Q28" s="35">
        <f>Tableau3[[#This Row],[HJ Analyse et Test]]+Tableau3[[#This Row],[HJ Dev]]</f>
        <v>0</v>
      </c>
      <c r="R28" s="34"/>
      <c r="S28" s="33"/>
      <c r="T28" s="33"/>
      <c r="U28" s="33"/>
      <c r="V28" s="33"/>
      <c r="W28" s="35"/>
    </row>
    <row r="29" spans="2:23" ht="103.15" customHeight="1">
      <c r="O29" s="5">
        <f>SUBTOTAL(109,Tableau3[HJ Dev])</f>
        <v>30.5</v>
      </c>
      <c r="P29" s="5">
        <f>SUBTOTAL(109,Tableau3[HJ Analyse et Test])</f>
        <v>15.25</v>
      </c>
      <c r="Q29" s="5">
        <f>SUBTOTAL(109,Tableau3[Total HJ])</f>
        <v>45.75</v>
      </c>
    </row>
    <row r="30" spans="2:23" ht="198.6" customHeight="1"/>
    <row r="31" spans="2:23" ht="362.65" customHeight="1"/>
    <row r="32" spans="2:23" ht="273.60000000000002" customHeight="1"/>
    <row r="33" ht="189.6" customHeight="1"/>
    <row r="34" ht="223.15" customHeight="1"/>
    <row r="35" ht="183.6" customHeight="1"/>
    <row r="36" ht="150" customHeight="1"/>
    <row r="37" ht="231" customHeight="1"/>
    <row r="38" ht="275.10000000000002" customHeight="1"/>
    <row r="39" ht="219.6" customHeight="1"/>
    <row r="40" ht="27.6" customHeight="1"/>
    <row r="67" spans="2:2" ht="12.75" customHeight="1">
      <c r="B67" s="5" t="s">
        <v>100</v>
      </c>
    </row>
    <row r="68" spans="2:2" ht="12.75" customHeight="1">
      <c r="B68" s="5" t="s">
        <v>101</v>
      </c>
    </row>
    <row r="69" spans="2:2" ht="12.75" customHeight="1">
      <c r="B69" s="5" t="s">
        <v>102</v>
      </c>
    </row>
    <row r="70" spans="2:2" ht="12.75" customHeight="1">
      <c r="B70" s="5" t="s">
        <v>103</v>
      </c>
    </row>
    <row r="71" spans="2:2" ht="12.75" customHeight="1">
      <c r="B71" s="5" t="s">
        <v>104</v>
      </c>
    </row>
  </sheetData>
  <mergeCells count="3">
    <mergeCell ref="R2:W2"/>
    <mergeCell ref="B2:N2"/>
    <mergeCell ref="O2:Q2"/>
  </mergeCells>
  <phoneticPr fontId="2" type="noConversion"/>
  <dataValidations count="2">
    <dataValidation type="whole" operator="greaterThanOrEqual" allowBlank="1" showInputMessage="1" showErrorMessage="1" sqref="P15:Q28" xr:uid="{10E2E794-3894-4CC1-AB1A-9BB5BF41EABB}">
      <formula1>0</formula1>
    </dataValidation>
    <dataValidation operator="greaterThanOrEqual" allowBlank="1" showInputMessage="1" showErrorMessage="1" sqref="O15:O28" xr:uid="{78C9A465-7D26-41E1-A883-8F918B966889}"/>
  </dataValidations>
  <pageMargins left="0.7" right="0.7" top="0.75" bottom="0.75" header="0.3" footer="0.3"/>
  <pageSetup paperSize="9" scale="7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253E9F-6967-4CE3-BEC2-E6EF086F8550}">
          <x14:formula1>
            <xm:f>Params!$C$6:$C$13</xm:f>
          </x14:formula1>
          <xm:sqref>D5</xm:sqref>
        </x14:dataValidation>
        <x14:dataValidation type="list" allowBlank="1" showInputMessage="1" showErrorMessage="1" xr:uid="{06B2A4DB-2A94-4B0B-971B-CDFF438E23BA}">
          <x14:formula1>
            <xm:f>Params!$H$6:$H$12</xm:f>
          </x14:formula1>
          <xm:sqref>N15:N28</xm:sqref>
        </x14:dataValidation>
        <x14:dataValidation type="list" allowBlank="1" showInputMessage="1" showErrorMessage="1" xr:uid="{1F2CF1C1-BE35-4DC9-A975-F49F788F3D6A}">
          <x14:formula1>
            <xm:f>Params!$I$6:$I$9</xm:f>
          </x14:formula1>
          <xm:sqref>L15:L28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8"/>
  <sheetViews>
    <sheetView zoomScale="80" zoomScaleNormal="80" workbookViewId="0">
      <selection activeCell="C14" sqref="C14"/>
    </sheetView>
  </sheetViews>
  <sheetFormatPr defaultColWidth="11.42578125" defaultRowHeight="14.45"/>
  <cols>
    <col min="1" max="1" width="12" style="2" customWidth="1"/>
    <col min="2" max="2" width="10.28515625" style="2" customWidth="1"/>
    <col min="3" max="3" width="11.42578125" style="2"/>
    <col min="4" max="4" width="58.28515625" style="2" customWidth="1"/>
    <col min="5" max="5" width="15.7109375" style="2" customWidth="1"/>
    <col min="6" max="6" width="22.28515625" style="2" customWidth="1"/>
    <col min="7" max="7" width="16.5703125" style="2" customWidth="1"/>
    <col min="8" max="16384" width="11.42578125" style="2"/>
  </cols>
  <sheetData>
    <row r="2" spans="1:7" ht="15" thickBot="1"/>
    <row r="3" spans="1:7" ht="24" customHeight="1" thickBot="1">
      <c r="A3" s="2" t="s">
        <v>105</v>
      </c>
      <c r="B3" s="46" t="s">
        <v>0</v>
      </c>
      <c r="C3" s="47"/>
      <c r="D3" s="47"/>
      <c r="E3" s="47"/>
      <c r="F3" s="47"/>
      <c r="G3" s="48"/>
    </row>
    <row r="4" spans="1:7">
      <c r="B4" s="3"/>
      <c r="C4" s="4"/>
      <c r="D4" s="4"/>
      <c r="E4" s="4"/>
      <c r="F4" s="4"/>
      <c r="G4" s="4"/>
    </row>
    <row r="5" spans="1:7">
      <c r="B5" s="7" t="str">
        <f>'Gestion Exigences'!B5</f>
        <v>BU</v>
      </c>
      <c r="C5" s="7"/>
      <c r="D5" s="7" t="str">
        <f>'Gestion Exigences'!D5</f>
        <v xml:space="preserve">SF </v>
      </c>
      <c r="E5" s="4"/>
      <c r="F5" s="4"/>
      <c r="G5" s="4"/>
    </row>
    <row r="6" spans="1:7">
      <c r="B6" s="7" t="str">
        <f>'Gestion Exigences'!B6</f>
        <v>Client</v>
      </c>
      <c r="C6" s="7"/>
      <c r="D6" s="7" t="str">
        <f>'Gestion Exigences'!D6</f>
        <v>BK FOOD</v>
      </c>
      <c r="E6" s="4"/>
      <c r="F6" s="4"/>
      <c r="G6" s="4"/>
    </row>
    <row r="7" spans="1:7">
      <c r="B7" s="7" t="str">
        <f>'Gestion Exigences'!B7</f>
        <v>Projet</v>
      </c>
      <c r="C7" s="7"/>
      <c r="D7" s="7" t="str">
        <f>'Gestion Exigences'!D7</f>
        <v>Suivi performance opération de parage</v>
      </c>
      <c r="E7" s="4"/>
      <c r="F7" s="4"/>
      <c r="G7" s="4"/>
    </row>
    <row r="8" spans="1:7">
      <c r="B8" s="7" t="str">
        <f>'Gestion Exigences'!B8</f>
        <v>Réf BPA du Devis</v>
      </c>
      <c r="C8" s="7"/>
      <c r="D8" s="7" t="str">
        <f>'Gestion Exigences'!D8</f>
        <v>TBC</v>
      </c>
      <c r="E8" s="4"/>
      <c r="F8" s="4"/>
      <c r="G8" s="4"/>
    </row>
    <row r="9" spans="1:7">
      <c r="B9" s="7" t="str">
        <f>'Gestion Exigences'!B9</f>
        <v>Réf BPA du Projet</v>
      </c>
      <c r="C9" s="7"/>
      <c r="D9" s="7" t="str">
        <f>'Gestion Exigences'!D9</f>
        <v>TBC</v>
      </c>
      <c r="E9" s="4"/>
      <c r="F9" s="4"/>
      <c r="G9" s="4"/>
    </row>
    <row r="10" spans="1:7">
      <c r="B10" s="7"/>
      <c r="C10" s="7"/>
      <c r="D10" s="7"/>
      <c r="E10" s="4"/>
      <c r="F10" s="4"/>
      <c r="G10" s="4"/>
    </row>
    <row r="11" spans="1:7">
      <c r="B11" s="20" t="str">
        <f>'Gestion Exigences'!B11</f>
        <v>MD203:V1.1</v>
      </c>
      <c r="C11" s="20"/>
      <c r="D11" s="7"/>
      <c r="E11" s="4"/>
      <c r="F11" s="4"/>
      <c r="G11" s="4"/>
    </row>
    <row r="12" spans="1:7">
      <c r="B12" s="3"/>
      <c r="C12" s="4"/>
      <c r="D12" s="4"/>
      <c r="E12" s="4"/>
      <c r="F12" s="4"/>
      <c r="G12" s="4"/>
    </row>
    <row r="13" spans="1:7">
      <c r="B13" s="11" t="s">
        <v>106</v>
      </c>
      <c r="C13" s="11" t="s">
        <v>107</v>
      </c>
      <c r="D13" s="11" t="s">
        <v>108</v>
      </c>
      <c r="E13" s="11" t="s">
        <v>109</v>
      </c>
      <c r="F13" s="11" t="s">
        <v>110</v>
      </c>
      <c r="G13" s="11" t="s">
        <v>111</v>
      </c>
    </row>
    <row r="14" spans="1:7" ht="29.65" customHeight="1">
      <c r="B14" s="12" t="s">
        <v>112</v>
      </c>
      <c r="C14" s="13">
        <v>46017</v>
      </c>
      <c r="D14" s="8" t="s">
        <v>113</v>
      </c>
      <c r="E14" s="12" t="s">
        <v>114</v>
      </c>
      <c r="F14" s="8" t="s">
        <v>46</v>
      </c>
      <c r="G14" s="8" t="s">
        <v>115</v>
      </c>
    </row>
    <row r="15" spans="1:7">
      <c r="B15" s="1"/>
      <c r="C15" s="14"/>
      <c r="D15" s="1"/>
      <c r="E15" s="1"/>
      <c r="F15" s="1"/>
      <c r="G15" s="1"/>
    </row>
    <row r="16" spans="1:7">
      <c r="B16" s="1"/>
      <c r="C16" s="1"/>
      <c r="D16" s="1"/>
      <c r="E16" s="1"/>
      <c r="F16" s="1"/>
      <c r="G16" s="1"/>
    </row>
    <row r="17" spans="2:7">
      <c r="B17" s="1"/>
      <c r="C17" s="1"/>
      <c r="D17" s="1"/>
      <c r="E17" s="1"/>
      <c r="F17" s="1"/>
      <c r="G17" s="1"/>
    </row>
    <row r="18" spans="2:7" ht="15"/>
  </sheetData>
  <mergeCells count="1">
    <mergeCell ref="B3:G3"/>
  </mergeCells>
  <phoneticPr fontId="20" type="noConversion"/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J15"/>
  <sheetViews>
    <sheetView topLeftCell="A5" workbookViewId="0">
      <selection activeCell="J9" sqref="J9"/>
    </sheetView>
  </sheetViews>
  <sheetFormatPr defaultColWidth="11.42578125" defaultRowHeight="13.9"/>
  <cols>
    <col min="1" max="3" width="11.42578125" style="5"/>
    <col min="4" max="5" width="19.7109375" style="5" customWidth="1"/>
    <col min="6" max="6" width="23.7109375" style="5" customWidth="1"/>
    <col min="7" max="7" width="14.42578125" style="5" customWidth="1"/>
    <col min="8" max="8" width="23.7109375" style="5" customWidth="1"/>
    <col min="9" max="9" width="25.28515625" style="5" customWidth="1"/>
    <col min="10" max="10" width="20.42578125" style="5" customWidth="1"/>
    <col min="11" max="16384" width="11.42578125" style="5"/>
  </cols>
  <sheetData>
    <row r="2" spans="2:10">
      <c r="B2" s="19" t="s">
        <v>116</v>
      </c>
      <c r="C2" s="19"/>
      <c r="D2" s="18">
        <v>0.25</v>
      </c>
    </row>
    <row r="3" spans="2:10">
      <c r="B3" s="19" t="s">
        <v>117</v>
      </c>
      <c r="C3" s="19"/>
      <c r="D3" s="18">
        <v>0.25</v>
      </c>
    </row>
    <row r="5" spans="2:10" ht="27.6">
      <c r="B5" s="15" t="s">
        <v>118</v>
      </c>
      <c r="C5" s="15" t="s">
        <v>3</v>
      </c>
      <c r="D5" s="15" t="s">
        <v>17</v>
      </c>
      <c r="E5" s="15" t="s">
        <v>119</v>
      </c>
      <c r="F5" s="15" t="s">
        <v>21</v>
      </c>
      <c r="G5" s="15" t="s">
        <v>120</v>
      </c>
      <c r="H5" s="15" t="s">
        <v>26</v>
      </c>
      <c r="I5" s="15" t="s">
        <v>121</v>
      </c>
      <c r="J5" s="15" t="s">
        <v>18</v>
      </c>
    </row>
    <row r="6" spans="2:10" ht="27.6">
      <c r="B6" s="5" t="s">
        <v>122</v>
      </c>
      <c r="C6" s="5" t="s">
        <v>4</v>
      </c>
      <c r="D6" s="5" t="s">
        <v>123</v>
      </c>
      <c r="E6" s="5" t="s">
        <v>39</v>
      </c>
      <c r="F6" s="5" t="s">
        <v>124</v>
      </c>
      <c r="G6" s="5" t="s">
        <v>125</v>
      </c>
      <c r="H6" s="5" t="s">
        <v>47</v>
      </c>
      <c r="I6" s="5" t="s">
        <v>45</v>
      </c>
      <c r="J6" s="5" t="s">
        <v>126</v>
      </c>
    </row>
    <row r="7" spans="2:10" ht="69">
      <c r="B7" s="5" t="s">
        <v>127</v>
      </c>
      <c r="C7" s="5" t="s">
        <v>128</v>
      </c>
      <c r="D7" s="5" t="s">
        <v>129</v>
      </c>
      <c r="E7" s="5" t="s">
        <v>130</v>
      </c>
      <c r="F7" s="5" t="s">
        <v>40</v>
      </c>
      <c r="G7" s="5" t="s">
        <v>131</v>
      </c>
      <c r="H7" s="5" t="s">
        <v>132</v>
      </c>
      <c r="I7" s="5" t="s">
        <v>133</v>
      </c>
      <c r="J7" s="5" t="s">
        <v>134</v>
      </c>
    </row>
    <row r="8" spans="2:10" ht="55.15">
      <c r="B8" s="5" t="s">
        <v>135</v>
      </c>
      <c r="C8" s="5" t="s">
        <v>136</v>
      </c>
      <c r="D8" s="5" t="s">
        <v>137</v>
      </c>
      <c r="E8" s="5" t="s">
        <v>138</v>
      </c>
      <c r="F8" s="5" t="s">
        <v>139</v>
      </c>
      <c r="G8" s="5" t="s">
        <v>140</v>
      </c>
      <c r="H8" s="5" t="s">
        <v>140</v>
      </c>
      <c r="I8" s="5" t="s">
        <v>140</v>
      </c>
      <c r="J8" s="5" t="s">
        <v>38</v>
      </c>
    </row>
    <row r="9" spans="2:10" ht="55.15">
      <c r="B9" s="5" t="s">
        <v>141</v>
      </c>
      <c r="D9" s="5" t="s">
        <v>142</v>
      </c>
      <c r="E9" s="5" t="s">
        <v>143</v>
      </c>
      <c r="F9" s="5" t="s">
        <v>144</v>
      </c>
      <c r="J9" s="5" t="s">
        <v>67</v>
      </c>
    </row>
    <row r="10" spans="2:10" ht="41.45">
      <c r="B10" s="5" t="s">
        <v>145</v>
      </c>
      <c r="D10" s="5" t="s">
        <v>146</v>
      </c>
      <c r="E10" s="5" t="s">
        <v>147</v>
      </c>
      <c r="F10" s="5" t="s">
        <v>148</v>
      </c>
      <c r="J10" s="5" t="s">
        <v>149</v>
      </c>
    </row>
    <row r="11" spans="2:10" ht="69">
      <c r="B11" s="5" t="s">
        <v>150</v>
      </c>
      <c r="D11" s="5" t="s">
        <v>151</v>
      </c>
      <c r="F11" s="5" t="s">
        <v>152</v>
      </c>
      <c r="J11" s="5" t="s">
        <v>153</v>
      </c>
    </row>
    <row r="12" spans="2:10" ht="55.15">
      <c r="B12" s="5" t="s">
        <v>154</v>
      </c>
      <c r="F12" s="5" t="s">
        <v>155</v>
      </c>
      <c r="J12" s="5" t="s">
        <v>156</v>
      </c>
    </row>
    <row r="13" spans="2:10" ht="41.45">
      <c r="B13" s="5" t="s">
        <v>157</v>
      </c>
    </row>
    <row r="14" spans="2:10" ht="69">
      <c r="B14" s="5" t="s">
        <v>158</v>
      </c>
      <c r="J14" s="5" t="s">
        <v>159</v>
      </c>
    </row>
    <row r="15" spans="2:10" ht="69">
      <c r="B15" s="5" t="s">
        <v>160</v>
      </c>
      <c r="J15" s="5" t="s">
        <v>161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2f9e80-f74a-40c7-b145-b94d8e4966f0">
      <Terms xmlns="http://schemas.microsoft.com/office/infopath/2007/PartnerControls"/>
    </lcf76f155ced4ddcb4097134ff3c332f>
    <TaxCatchAll xmlns="43b908ec-9e92-424c-a4ad-3174bac6e888" xsi:nil="true"/>
  </documentManagement>
</p:properties>
</file>

<file path=customXml/itemProps1.xml><?xml version="1.0" encoding="utf-8"?>
<ds:datastoreItem xmlns:ds="http://schemas.openxmlformats.org/officeDocument/2006/customXml" ds:itemID="{083A7824-92A0-4F18-BC02-11E637C933C7}"/>
</file>

<file path=customXml/itemProps2.xml><?xml version="1.0" encoding="utf-8"?>
<ds:datastoreItem xmlns:ds="http://schemas.openxmlformats.org/officeDocument/2006/customXml" ds:itemID="{431C8B5B-7A06-4686-9F8A-E8F24EECD8B3}"/>
</file>

<file path=customXml/itemProps3.xml><?xml version="1.0" encoding="utf-8"?>
<ds:datastoreItem xmlns:ds="http://schemas.openxmlformats.org/officeDocument/2006/customXml" ds:itemID="{85503822-DF13-4051-A489-72B75648E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DACTEM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Mahdi Besbes</cp:lastModifiedBy>
  <cp:revision/>
  <dcterms:created xsi:type="dcterms:W3CDTF">2000-07-05T17:03:55Z</dcterms:created>
  <dcterms:modified xsi:type="dcterms:W3CDTF">2025-12-29T14:53:47Z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  <property fmtid="{D5CDD505-2E9C-101B-9397-08002B2CF9AE}" pid="11" name="Order">
    <vt:r8>12812100</vt:r8>
  </property>
  <property fmtid="{D5CDD505-2E9C-101B-9397-08002B2CF9AE}" pid="12" name="_ColorHex">
    <vt:lpwstr/>
  </property>
  <property fmtid="{D5CDD505-2E9C-101B-9397-08002B2CF9AE}" pid="13" name="_ColorTag">
    <vt:lpwstr/>
  </property>
  <property fmtid="{D5CDD505-2E9C-101B-9397-08002B2CF9AE}" pid="14" name="_Emoji">
    <vt:lpwstr/>
  </property>
</Properties>
</file>