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mc:AlternateContent xmlns:mc="http://schemas.openxmlformats.org/markup-compatibility/2006">
    <mc:Choice Requires="x15">
      <x15ac:absPath xmlns:x15ac="http://schemas.microsoft.com/office/spreadsheetml/2010/11/ac" url="https://momsoftware.sharepoint.com/sites/Commercial/Documents partages/04 Clients/017 APEM/20 Digitalisation Processus Qualité/2 Préparation Offre/"/>
    </mc:Choice>
  </mc:AlternateContent>
  <xr:revisionPtr revIDLastSave="41" documentId="8_{F5A01DBD-BC5A-4D0E-9267-A478C8E10C8B}" xr6:coauthVersionLast="47" xr6:coauthVersionMax="47" xr10:uidLastSave="{299D107A-232D-4D1A-9023-8F9688210236}"/>
  <bookViews>
    <workbookView xWindow="28680" yWindow="-120" windowWidth="29040" windowHeight="15720" tabRatio="620" firstSheet="1" activeTab="1" xr2:uid="{00000000-000D-0000-FFFF-FFFF00000000}"/>
  </bookViews>
  <sheets>
    <sheet name="Fiche Client" sheetId="31" r:id="rId1"/>
    <sheet name="Gestion Exigences" sheetId="27" r:id="rId2"/>
    <sheet name="Modifs Doc" sheetId="29" r:id="rId3"/>
    <sheet name="Params" sheetId="30" r:id="rId4"/>
  </sheets>
  <definedNames>
    <definedName name="_xlnm.Print_Area" localSheetId="1">'Gestion Exigences'!$C$2:$I$21</definedName>
    <definedName name="_xlnm.Print_Area" localSheetId="2">'Modifs Doc'!$B$2:$G$18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29" l="1"/>
  <c r="D6" i="29"/>
  <c r="D7" i="29"/>
  <c r="D8" i="29"/>
  <c r="C10" i="29"/>
  <c r="C11" i="29"/>
  <c r="B6" i="29"/>
  <c r="B7" i="29"/>
  <c r="B8" i="29"/>
  <c r="B10" i="29"/>
  <c r="B11" i="29"/>
  <c r="B5" i="29"/>
</calcChain>
</file>

<file path=xl/sharedStrings.xml><?xml version="1.0" encoding="utf-8"?>
<sst xmlns="http://schemas.openxmlformats.org/spreadsheetml/2006/main" count="337" uniqueCount="181">
  <si>
    <t>Client</t>
  </si>
  <si>
    <t>APEM</t>
  </si>
  <si>
    <t>Secteur</t>
  </si>
  <si>
    <t>Nombre de ligne de production</t>
  </si>
  <si>
    <t>Nombre de machine</t>
  </si>
  <si>
    <t>Nombre de poste manuel</t>
  </si>
  <si>
    <t>Gestion Exigences Projet</t>
  </si>
  <si>
    <t>BU</t>
  </si>
  <si>
    <t>SF</t>
  </si>
  <si>
    <t>Projet</t>
  </si>
  <si>
    <t>Digitalisation du processus Qualité</t>
  </si>
  <si>
    <t>Réf BPA du Devis</t>
  </si>
  <si>
    <t>S0-00xyz</t>
  </si>
  <si>
    <t>Zone de saisie</t>
  </si>
  <si>
    <t>Réf BPA du Projet</t>
  </si>
  <si>
    <t>PR-22-0xyz</t>
  </si>
  <si>
    <t>Réf Modèle Document</t>
  </si>
  <si>
    <t>MD203</t>
  </si>
  <si>
    <t>Confidentiel | Usage Client Limité</t>
  </si>
  <si>
    <t>Version Modèle Document</t>
  </si>
  <si>
    <t>V1.5</t>
  </si>
  <si>
    <t>ID</t>
  </si>
  <si>
    <t>Intitulé de l'exigence</t>
  </si>
  <si>
    <t>Nature</t>
  </si>
  <si>
    <t>Catégorie</t>
  </si>
  <si>
    <t>Exigence identifiée pendant la phase</t>
  </si>
  <si>
    <t>Description de l'exigence</t>
  </si>
  <si>
    <t>Source</t>
  </si>
  <si>
    <t>Description de la solution MOMSOFT</t>
  </si>
  <si>
    <t>Solution Proposée</t>
  </si>
  <si>
    <t>Validation Interne</t>
  </si>
  <si>
    <t>Validation Interne par:</t>
  </si>
  <si>
    <t>Statut Client</t>
  </si>
  <si>
    <t>Notes</t>
  </si>
  <si>
    <t>E001</t>
  </si>
  <si>
    <t>Configuration des données</t>
  </si>
  <si>
    <t>Fonctionnelle</t>
  </si>
  <si>
    <t>SF-Fonctionnelle</t>
  </si>
  <si>
    <t>Commerciale</t>
  </si>
  <si>
    <t>Configuration complète et gestion d'usine</t>
  </si>
  <si>
    <t>Workshop/réunion client</t>
  </si>
  <si>
    <t>Standard</t>
  </si>
  <si>
    <t>La solution propose un module "Configuration" permettant la modélisation, la gestion et la planification d'une usine connectée :
• Modélisation hiérarchique de l'usine : sites, ateliers, lignes, postes, machines
• Gestion des produits
• Gestion des incidents et des défauts
• Gestion des utilisateurs et des autorisations : rôles et accès contrôlés
• Gestion des équipes
• Planification des lignes et des équipes</t>
  </si>
  <si>
    <t>Validée</t>
  </si>
  <si>
    <t>Mahdi B.</t>
  </si>
  <si>
    <t>E002</t>
  </si>
  <si>
    <t>Chargement des données à partir des fichiers CSV</t>
  </si>
  <si>
    <t>Chargement automatisé des données dans la solution</t>
  </si>
  <si>
    <t>La solution comprend un module « Intégration » pour l'intégration automatisée des données : importation automatique des données à partir de fichiers CSV . Elle prend en charge les entités produit, utilisateur et outillage, avec une gestion détaillée des erreurs pour l'intégration.</t>
  </si>
  <si>
    <t>E003</t>
  </si>
  <si>
    <t>Intégration des produits à partir de l'ERP</t>
  </si>
  <si>
    <t>Chargement automatisé des produits depuis D365 dans la solution</t>
  </si>
  <si>
    <t>Adaptation</t>
  </si>
  <si>
    <t>La solution comprend un module « Intégration SI » pour l'intégration automatisée des données : importation automatique des produits à partir de D365 .</t>
  </si>
  <si>
    <t>E004</t>
  </si>
  <si>
    <t>Intégration des gammes de contrôle</t>
  </si>
  <si>
    <t>Conception</t>
  </si>
  <si>
    <t>Chargement automatisé des gammes de contrôle</t>
  </si>
  <si>
    <t>Adapter le module "Intégration" pour automatiser le chargement des gammes de contrôles des produits via des fichier csv.</t>
  </si>
  <si>
    <t>E005</t>
  </si>
  <si>
    <t>Gestion des critères fonvtionels</t>
  </si>
  <si>
    <t xml:space="preserve">Gestion centralisé des gammes de contrôle </t>
  </si>
  <si>
    <t>La solution offre une module "Gestion des critères" permettant de centraliser les critères chargés à partir des fichiers excel ,   où il est possible de les affecter à une famille / sous-famille de produit</t>
  </si>
  <si>
    <t>E006</t>
  </si>
  <si>
    <t>Taille d'échantillonnage</t>
  </si>
  <si>
    <t>Appliquer les normes APEM pour la gestion des prélèvements.</t>
  </si>
  <si>
    <t>La solution propose d'ajouter une interface de gestion des plans d'échantillonnage par critères et selon la taille de lot ( quantité à contrôler) permettant de :
- Configurer le niveau de contôle d'une série de produit ( réduit (I) , normale (II) ou renforcé (III) ).
- Définir, pour chaque critère et chaque niveau de contrôle, le plan d’échantillonnage en précisant la taille de l’échantillon et les règles d’acceptation/rejet.
Le système détermine automatiquement l'issue du contrôle (Accepté/Refusé) en comparant le nombre de défauts constatés (d) aux seuils configurés :
  &gt; Si d ≤ Ac → Lot Accepté avec Ac (Acceptance Number) : Nombre maximum de défauts autorisés pour accepter le lot.
  &gt; Si d ≥ Re → Lot Refusé avec Re (Rejection Number) : Nombre minimum de défauts entraînant le rejet systématique du lot.
- Forcer le contrôle de l'intégralité de la quantité définie "Contrôle a 100%" :
  &gt; Si coché : La taille de l'échantillon est égale à la quantité totale à contrôler.
  &gt; Si décoché : Le système calcule automatiquement la taille de l'échantillon en appliquant les règles d'échantillonnage statistique configurées</t>
  </si>
  <si>
    <t>E008</t>
  </si>
  <si>
    <t>Intégration des OF à partir de l'ERP</t>
  </si>
  <si>
    <t>Intégration automatisé des OF depuis D365 dans la solution</t>
  </si>
  <si>
    <t>La solution comprend un module « Intégration SI » pour l'intégration automatisée des données : Les OF seront intégrés instantanément, l’intégration étant déclenchée par l’utilisateur via le bouton « Confirmer ». Les OF ayant le statut Commencé dans D365 seront intégrés avec leur quantité objective.</t>
  </si>
  <si>
    <t>déclaration prod</t>
  </si>
  <si>
    <t>E009</t>
  </si>
  <si>
    <t xml:space="preserve">Gestion des ordres de fabrication </t>
  </si>
  <si>
    <t>Gestion et suivi des ordres de fabrication</t>
  </si>
  <si>
    <t>La solution fournit un Module "OF" pour la gestion simplifiée des ordres de fabrication dans le module qualité, permettant :
• L'ajout manuel des ordres de fabrication avec les informations associées nécessaires : atelier, ligne, commande, produit, quantité cible, durée du changement de série, matériau
• La gestion centralisée des ordres de fabrication : suivi et gestion des différents statuts des ordres de fabrication (planifié, lancé, suspendu, changement de série, etc.)
• Mises à jour en temps réel des statuts pour les processus de validation des ordres de fabrication (suivi du processus validé/non validé)
• Accès rapide au dossier de fabrication du produit associé à l'ordre de fabrication</t>
  </si>
  <si>
    <t>E010</t>
  </si>
  <si>
    <t>Entré OF</t>
  </si>
  <si>
    <t>Scanner l'OF et la quantité à contrôler</t>
  </si>
  <si>
    <t>La solution propose l’ajout d’une interface permettant de :
- Transférer l’OF du processus de production vers le contrôle final en scannant son numéro, ce qui permet de récupérer automatiquement les informations associées (produit, ligne, quantité objective) et de saisir la quantité à contrôler, limitée à la quantité produite.
- Disposer d’un historique traçant le passage des quantités produites par OF, du processus de production vers l le contrôle finale.</t>
  </si>
  <si>
    <t>E011</t>
  </si>
  <si>
    <t xml:space="preserve">Contrôle Finale </t>
  </si>
  <si>
    <t>Contrôler les critères de la quantité scannée et déclaration des refus</t>
  </si>
  <si>
    <t>La solution propose l’ajout d’une interface Contrôle Final permettant de :
- Scanner le numéro d’OF avec récupération automatique des informations associées (référence produit, désignation, quantité à contrôler).
- Afficher automatiquement la gamme de contrôle spécifique au produit et intégrer un lien direct vers la documentation technique sur APEM Share.
- Calculer automatiquement la taille d’échantillon selon les règles paramétrées.
- Saisir les résultats de contrôle par critère (pièce par pièce).
- Déclarer la non-conformitée  détectée pour les piéces rejetées pendant le processus de production, en suivant les étapes suivantes :
- Envoi automatique de notifications détaillées
- Déterminer automatiquement la décision d’acceptation/rejet selon les règles configurées.
- Notifier le responsable qualité du rejet du lot contrôlé, via email ou notification dans le navigateur.
- Capturer des photos pour assurer la traçabilité.
- Clôturer le contrôle, déclenchant ainsi le retour automatique vers l’ERP.</t>
  </si>
  <si>
    <t>E012</t>
  </si>
  <si>
    <t>Historique des rapports de contôle Finale</t>
  </si>
  <si>
    <t>Centralisation de l'historique des fiches de contrôle</t>
  </si>
  <si>
    <t>la solution propose une interface "Rapport de contrôle finale" contenant l'hitorique des contrôles avec les informations accociés ( OF , Matricule Contrôleur , date de contrôle ..) ces fiches peuvent être imprimé et inclut dans le dossier de l'OF</t>
  </si>
  <si>
    <t>E013</t>
  </si>
  <si>
    <t>Retour vers ERP</t>
  </si>
  <si>
    <t>Transmettre au D365 les quantités conformes et non conformes après validation.</t>
  </si>
  <si>
    <t>La solution permet la déclaration partielle de la production après le contrôle de chaque quantité. À chaque validation, renvoyer à l’ERP D365 via un webservice  la quantité contrôlée OK et NOK correspondant à ce lot ou à cette tranche de production. changer le status de l'OF dans D365 lors de son clotûre dans SF.</t>
  </si>
  <si>
    <t>E014</t>
  </si>
  <si>
    <t>E015</t>
  </si>
  <si>
    <t>Instructions de travail</t>
  </si>
  <si>
    <t>Centralisation et distribution des documents techniques liés aux processus de production et de qualité</t>
  </si>
  <si>
    <t>La solution comprend un module « Instructions de travail » qui permet :
• Importation de fichiers : téléchargement de fichiers d'instructions
• Catégorisation : classification par qualité, maintenance et production
• Attribution : attribution des instructions par ligne et par produit
• Contrôle des versions : gestion centralisée et suivi des versions des documents</t>
  </si>
  <si>
    <t>E017</t>
  </si>
  <si>
    <t>Fiche Non-conformité</t>
  </si>
  <si>
    <t>Déclaration des non-conformités détectées par l'opérateur/l'inspecteur qualité et validation par le responsable qualité</t>
  </si>
  <si>
    <t xml:space="preserve">La solution fournit une interface « Fiche de non-conformité » permettant d'identifier, de documenter, d'analyser et de résoudre les incidents liés à la qualité dans la production, avec les fonctionnalités suivantes :
• Identification du problème : définir l'emplacement de détection, le type de défaut et la quantité affectée ; analyser les causes profondes (5W1H) ; indiquer le statut du produit (isolé, livré, bloqué).
•Mesures immédiates : définir les mesures correctives, décider si le produit sera livré après correction ou s'il nécessite un traitement supplémentaire, fournir une description complète de la non-conformité.
•Analyse des causes profondes : utiliser les méthodologies 5M (Ishikawa) .
•Mesures définitives : élaborer un plan pour traiter les causes profondes et prévenir la récurrence. Attribuer les responsabilités, informer les parties concernées et fixer les dates d'exécution.
•Historique et consultation : tenir à jour un référentiel centralisé des rapports de non-conformité.
</t>
  </si>
  <si>
    <t>E018</t>
  </si>
  <si>
    <t>Analyse des causes profondes des non-conformités à l'aide de l'outil QRQC</t>
  </si>
  <si>
    <t>Suivi et analyse des causes des non-conformités à l'aide de l'outil QRQC</t>
  </si>
  <si>
    <t>La solution fournit un outil QRQC qui permet de résoudre les non-conformités en déclenchant la création de rapports basés sur des seuils de qualité configurables, ce qui permet :
•Identification des problèmes et analyse du contexte des incidents
•La classification des incidents en fonction de leur gravité
•La définition d'actions immédiates, y compris le blocage de la production si nécessaire
•L'identification des causes profondes à l'aide des méthodes 5M et 5 Whys
•La définition et le suivi des plans d'actions correctives, l'attribution des responsabilités, la fixation de délais et le suivi jusqu'à la réalisation</t>
  </si>
  <si>
    <t>E019</t>
  </si>
  <si>
    <t>Historique des déclarations de non-conformité</t>
  </si>
  <si>
    <t>Fournir un historique détaillé des déclarations de non-conformité</t>
  </si>
  <si>
    <t xml:space="preserve"> La solution comprend une interface « Détails qualité » qui enregistre toutes les déclarations de non-conformité par atelier, ligne, bon de travail, produit et client, avec une ventilation détaillée des défauts pour chaque déclaration.</t>
  </si>
  <si>
    <t>E020</t>
  </si>
  <si>
    <t>Gestion des outils de mesure</t>
  </si>
  <si>
    <t>Gestion des outils de mesure de la qualité des produits</t>
  </si>
  <si>
    <t>La solution propose un module de gestion des outils de mesure de qualité qui permet de suivre et de gérer les outils de mesure, de mettre en œuvre des études R&amp;R pour évaluer la fiabilité des outils et de surveiller l'état de l'échantillonnage.</t>
  </si>
  <si>
    <t>E021</t>
  </si>
  <si>
    <t>Fiches Qualité</t>
  </si>
  <si>
    <t>Gérer les procédures de contrôle et générer des rapports qualité selon des fréquences configurables.</t>
  </si>
  <si>
    <t>La solution fournit un module de gestion des contrôles qualité les fonctionnalités suivantes :
• Définition des gammes de contrôle : configuration détaillée des critères de contrôle (visuels, dimensionnels), des paramètres de régalages, des tolérances et de la fréquence de génération des fiches.
• Génération automatisée des fiches de contrôle: création automatique de rapports de démarrage, de fin de série et de suivi en fonction des événements de production (lancement, suspension, clôture d'un ordre de fabrication) et des fréquences prédéfinies.
• Workflow de validation et suivi : mise en place d'un workflow de validation à plusieurs niveaux ( inspecteur qualité ) et sauvegarde de l'historique complet des fiches pour une traçabilité optimale.</t>
  </si>
  <si>
    <t>E022</t>
  </si>
  <si>
    <t>Paramétrage de l’affichage des limites et accès aux instructions de contrôle</t>
  </si>
  <si>
    <t>Afficher ou masquer les limites de contrôle et accéder aux instructions de contrôle produit.</t>
  </si>
  <si>
    <t>Ajouter un paramètre permettant d’afficher ou de masquer les limites de contrôle (min et max) pour les mesures des critères dimensionnels.
Inclure également un lien vers les instructions de contrôle associées au produit, soit vers le module « Instructions de travail », soit vers la plateforme dédiée (APEM Share) permettant de visualisé les limites de contrôle mises à jour.</t>
  </si>
  <si>
    <t>lire depuis doc Word ou PDF</t>
  </si>
  <si>
    <t>E023</t>
  </si>
  <si>
    <t>Suivi MSP</t>
  </si>
  <si>
    <t>Analyse des capacités et anticipation des écarts de processus à l'aide de graphiques de contrôle MSP</t>
  </si>
  <si>
    <t>La solution fournit un module « MSP» qui permet :
• La spécification des caractéristiques clés à surveiller, des tolérances associées et de la fréquence de collecte des données
• L'évaluation de la stabilité du processus de production par le calcul des indices de capacité (Cp, Cpk)
• Le contrôle statistique en temps réel du processus (moyenne, écart type) et la mise à jour des limites de contrôle
• La surveillance et l'anticipation des variations de qualité à l'aide de graphiques de contrôle, en identifiant les tendances et les écarts significatifs
• La configuration automatique d'alertes en cas de dépassement des limites de contrôle ou de variations inattendues</t>
  </si>
  <si>
    <t>E024</t>
  </si>
  <si>
    <t xml:space="preserve">Audits 6S </t>
  </si>
  <si>
    <t>Gestion des actions 6S, des audits et  suivi du l'historique</t>
  </si>
  <si>
    <t xml:space="preserve">La solution fournit un module « 6S » permettant :
• La gestion des actions 6S et leur attribution aux lignes et aux ateliers, avec des responsabilités désignées
• La génération de formulaires d'audit à remplir et à valider par le personnel concerné, avec une visualisation graphique des tendances des résultats d'audit
• Le suivi de l'historique des audits et des résultats </t>
  </si>
  <si>
    <t>E025</t>
  </si>
  <si>
    <t>Tableau de bord qualité</t>
  </si>
  <si>
    <t>Suivi historique et visualisation des indicateurs de performance qualité</t>
  </si>
  <si>
    <t>La solution fournit un tableau de bord flexible permettant de visualiser les performances en matière de qualité sur des intervalles flexibles (années, mois, semaines, jours, équipes), ce qui permet :
• De surveiller la qualité et les taux de rebut par atelier et par ligne
• De suivre les quantités et les coûts des non-conformités
• D'analyser les quantités de non-conformités par type de défaut
• De présenter des diagrammes de Pareto des défauts</t>
  </si>
  <si>
    <t xml:space="preserve"> </t>
  </si>
  <si>
    <t>Version</t>
  </si>
  <si>
    <t>Date</t>
  </si>
  <si>
    <t>Modifications</t>
  </si>
  <si>
    <t>Auteur(s)</t>
  </si>
  <si>
    <t>Vérificateur(s)</t>
  </si>
  <si>
    <t>Approbateur</t>
  </si>
  <si>
    <t>V1.0</t>
  </si>
  <si>
    <t xml:space="preserve">Version initiale </t>
  </si>
  <si>
    <t>Nihel K.</t>
  </si>
  <si>
    <t xml:space="preserve">Mahdi B. + Ferjania BA </t>
  </si>
  <si>
    <t>Imed A.</t>
  </si>
  <si>
    <t>V1.1</t>
  </si>
  <si>
    <t xml:space="preserve"> Adaptation des paramètres et du logo</t>
  </si>
  <si>
    <t>Moatez D.</t>
  </si>
  <si>
    <t>Oui/Non</t>
  </si>
  <si>
    <t>Statut Interne</t>
  </si>
  <si>
    <t>CdC client</t>
  </si>
  <si>
    <t>Oui</t>
  </si>
  <si>
    <t>Validée par le client</t>
  </si>
  <si>
    <t>*** SF</t>
  </si>
  <si>
    <t>R&amp;D</t>
  </si>
  <si>
    <t>Performance</t>
  </si>
  <si>
    <t>Non</t>
  </si>
  <si>
    <t>Non validée par client</t>
  </si>
  <si>
    <t>Non validée</t>
  </si>
  <si>
    <t>SF-Processus</t>
  </si>
  <si>
    <t>A définir</t>
  </si>
  <si>
    <t>Reglementaire</t>
  </si>
  <si>
    <t>Réalisation</t>
  </si>
  <si>
    <t>Workshop/réunion Interne</t>
  </si>
  <si>
    <t>N/A</t>
  </si>
  <si>
    <t>Sécurité</t>
  </si>
  <si>
    <t>Mise en œuvre</t>
  </si>
  <si>
    <t>Standards client</t>
  </si>
  <si>
    <t>SF-Connectivité Machine</t>
  </si>
  <si>
    <t>Standard Client</t>
  </si>
  <si>
    <t>Support et maintenance</t>
  </si>
  <si>
    <t>Standards MOMSOFT</t>
  </si>
  <si>
    <t>SF-Intégration SI</t>
  </si>
  <si>
    <t>Standard MOMSOFT</t>
  </si>
  <si>
    <t>Reglementation</t>
  </si>
  <si>
    <t>SF-Software</t>
  </si>
  <si>
    <t>Demande modification</t>
  </si>
  <si>
    <t>SF-Infra IT</t>
  </si>
  <si>
    <t>*** TC</t>
  </si>
  <si>
    <t>TC-Prestations sur site client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</si>
</sst>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b/>
      <sz val="11"/>
      <color theme="2" tint="-0.89999084444715716"/>
      <name val="Calibri Light"/>
      <family val="2"/>
    </font>
    <font>
      <b/>
      <sz val="10"/>
      <color rgb="FFFF0000"/>
      <name val="Calibri Light"/>
      <family val="2"/>
      <scheme val="major"/>
    </font>
    <font>
      <sz val="4"/>
      <name val="Calibri Light"/>
      <family val="2"/>
    </font>
    <font>
      <sz val="4"/>
      <name val="Calibri Light"/>
      <family val="2"/>
      <scheme val="major"/>
    </font>
    <font>
      <sz val="8"/>
      <name val="Arial"/>
    </font>
    <font>
      <sz val="10"/>
      <color rgb="FF000000"/>
      <name val="Calibri Light"/>
      <family val="2"/>
      <scheme val="major"/>
    </font>
    <font>
      <sz val="10"/>
      <name val="Calibri Light"/>
      <scheme val="major"/>
    </font>
  </fonts>
  <fills count="6">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9" tint="0.59999389629810485"/>
        <bgColor indexed="64"/>
      </patternFill>
    </fill>
  </fills>
  <borders count="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43">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3"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6" fillId="0" borderId="0" xfId="0" applyFont="1" applyAlignment="1">
      <alignment horizontal="left" vertical="center"/>
    </xf>
    <xf numFmtId="0" fontId="14" fillId="3" borderId="0" xfId="0" applyFont="1" applyFill="1" applyAlignment="1">
      <alignment horizontal="center" vertical="center" wrapText="1"/>
    </xf>
    <xf numFmtId="0" fontId="15" fillId="0" borderId="0" xfId="0" applyFont="1" applyAlignment="1">
      <alignment wrapText="1"/>
    </xf>
    <xf numFmtId="0" fontId="10" fillId="0" borderId="0" xfId="0" applyFont="1" applyAlignment="1">
      <alignment wrapText="1"/>
    </xf>
    <xf numFmtId="0" fontId="10" fillId="0" borderId="0" xfId="0" applyFont="1" applyAlignment="1">
      <alignment vertical="center" wrapText="1"/>
    </xf>
    <xf numFmtId="0" fontId="5" fillId="0" borderId="0" xfId="0" applyFont="1" applyAlignment="1">
      <alignment horizontal="left" wrapText="1"/>
    </xf>
    <xf numFmtId="0" fontId="16" fillId="0" borderId="0" xfId="0" applyFont="1" applyAlignment="1">
      <alignment horizontal="left" vertical="center" wrapText="1"/>
    </xf>
    <xf numFmtId="0" fontId="16" fillId="0" borderId="0" xfId="0" applyFont="1" applyAlignment="1">
      <alignment horizontal="left" vertical="center"/>
    </xf>
    <xf numFmtId="0" fontId="5" fillId="0" borderId="0" xfId="0" applyFont="1"/>
    <xf numFmtId="0" fontId="17" fillId="0" borderId="0" xfId="0" applyFont="1"/>
    <xf numFmtId="0" fontId="1" fillId="0" borderId="0" xfId="0" applyFont="1"/>
    <xf numFmtId="0" fontId="11" fillId="0" borderId="0" xfId="0" applyFont="1" applyAlignment="1">
      <alignment wrapText="1"/>
    </xf>
    <xf numFmtId="0" fontId="5" fillId="4" borderId="4" xfId="0" applyFont="1" applyFill="1" applyBorder="1" applyAlignment="1">
      <alignment wrapText="1"/>
    </xf>
    <xf numFmtId="0" fontId="11" fillId="0" borderId="0" xfId="0" applyFont="1" applyAlignment="1">
      <alignment horizontal="left" wrapText="1"/>
    </xf>
    <xf numFmtId="14" fontId="3" fillId="0" borderId="0" xfId="0" applyNumberFormat="1" applyFont="1" applyAlignment="1">
      <alignment wrapText="1"/>
    </xf>
    <xf numFmtId="0" fontId="19" fillId="0" borderId="0" xfId="0" applyFont="1" applyAlignment="1">
      <alignment vertical="center" wrapText="1"/>
    </xf>
    <xf numFmtId="0" fontId="10" fillId="4" borderId="1" xfId="0" applyFont="1" applyFill="1" applyBorder="1" applyAlignment="1">
      <alignment vertical="center" wrapText="1"/>
    </xf>
    <xf numFmtId="0" fontId="10" fillId="4" borderId="2" xfId="0" applyFont="1" applyFill="1" applyBorder="1" applyAlignment="1">
      <alignment vertical="center" wrapText="1"/>
    </xf>
    <xf numFmtId="0" fontId="10" fillId="4" borderId="3" xfId="0" applyFont="1" applyFill="1" applyBorder="1" applyAlignment="1">
      <alignment vertical="center" wrapText="1"/>
    </xf>
    <xf numFmtId="0" fontId="1" fillId="4" borderId="3" xfId="0" applyFont="1" applyFill="1" applyBorder="1" applyAlignment="1">
      <alignment vertical="center" wrapText="1"/>
    </xf>
    <xf numFmtId="0" fontId="12" fillId="2" borderId="3" xfId="0" applyFont="1" applyFill="1" applyBorder="1" applyAlignment="1">
      <alignment horizontal="center" wrapText="1"/>
    </xf>
    <xf numFmtId="0" fontId="1" fillId="5" borderId="0" xfId="0" applyFont="1" applyFill="1" applyAlignment="1">
      <alignment vertical="center" wrapText="1"/>
    </xf>
    <xf numFmtId="0" fontId="19" fillId="5" borderId="0" xfId="0" applyFont="1" applyFill="1" applyAlignment="1">
      <alignment vertical="center" wrapText="1"/>
    </xf>
    <xf numFmtId="0" fontId="20" fillId="5" borderId="0" xfId="0" applyFont="1" applyFill="1" applyAlignment="1">
      <alignment vertical="center" wrapText="1"/>
    </xf>
    <xf numFmtId="0" fontId="1" fillId="5" borderId="0" xfId="0" applyFont="1" applyFill="1" applyAlignment="1">
      <alignment wrapText="1"/>
    </xf>
    <xf numFmtId="0" fontId="4" fillId="4" borderId="1" xfId="0" applyFont="1" applyFill="1" applyBorder="1" applyAlignment="1">
      <alignment horizontal="center" wrapText="1"/>
    </xf>
    <xf numFmtId="0" fontId="4" fillId="4" borderId="2" xfId="0" applyFont="1" applyFill="1" applyBorder="1" applyAlignment="1">
      <alignment horizontal="center" wrapText="1"/>
    </xf>
    <xf numFmtId="0" fontId="4" fillId="4" borderId="3" xfId="0" applyFont="1" applyFill="1" applyBorder="1" applyAlignment="1">
      <alignment horizont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cellXfs>
  <cellStyles count="1">
    <cellStyle name="Normal" xfId="0" builtinId="0"/>
  </cellStyles>
  <dxfs count="36">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fill>
        <patternFill patternType="solid">
          <fgColor indexed="64"/>
          <bgColor theme="4" tint="0.79998168889431442"/>
        </patternFill>
      </fill>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2</xdr:col>
      <xdr:colOff>732518</xdr:colOff>
      <xdr:row>2</xdr:row>
      <xdr:rowOff>664574</xdr:rowOff>
    </xdr:to>
    <xdr:pic>
      <xdr:nvPicPr>
        <xdr:cNvPr id="2" name="Picture 1">
          <a:extLst>
            <a:ext uri="{FF2B5EF4-FFF2-40B4-BE49-F238E27FC236}">
              <a16:creationId xmlns:a16="http://schemas.microsoft.com/office/drawing/2014/main" id="{E00959DE-CFF6-4E57-8A23-D0A0F74943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457200"/>
          <a:ext cx="1148443" cy="6645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3:N37" totalsRowCount="1" headerRowDxfId="35" dataDxfId="34">
  <autoFilter ref="B13:N36" xr:uid="{DDEA2C8B-EE0D-4C55-9256-CCC64E002CE6}"/>
  <tableColumns count="13">
    <tableColumn id="1" xr3:uid="{E467E0EE-CDAA-4FF5-85A8-CDC0B23A5AD9}" name="ID" dataDxfId="32" totalsRowDxfId="33"/>
    <tableColumn id="2" xr3:uid="{E53952AC-4972-47BD-8B1D-C7EF23088D0D}" name="Intitulé de l'exigence" dataDxfId="30" totalsRowDxfId="31"/>
    <tableColumn id="8" xr3:uid="{B2D0BC2C-C803-4015-8FA6-70F84517BDB2}" name="Nature" dataDxfId="28" totalsRowDxfId="29"/>
    <tableColumn id="7" xr3:uid="{24F2F0ED-022E-4EC1-91D8-BFE0E4F2FD36}" name="Catégorie" dataDxfId="26" totalsRowDxfId="27"/>
    <tableColumn id="10" xr3:uid="{1FF81CF1-6D35-421C-8767-9E7FA06FEE6A}" name="Exigence identifiée pendant la phase" dataDxfId="24" totalsRowDxfId="25"/>
    <tableColumn id="3" xr3:uid="{E7621A68-9552-4853-96A5-92A226EA42DD}" name="Description de l'exigence" dataDxfId="22" totalsRowDxfId="23"/>
    <tableColumn id="9" xr3:uid="{E6EEEC82-3576-4980-94B3-1423906CE531}" name="Source" dataDxfId="20" totalsRowDxfId="21"/>
    <tableColumn id="16" xr3:uid="{1441554A-79F9-4040-9CF5-AEBFF7ADF7D1}" name="Description de la solution MOMSOFT" dataDxfId="18" totalsRowDxfId="19"/>
    <tableColumn id="17" xr3:uid="{D1BC9C86-C3CE-417F-AC83-FC4786A7656D}" name="Solution Proposée" dataDxfId="16" totalsRowDxfId="17"/>
    <tableColumn id="5" xr3:uid="{2649C3B7-E8B9-44F9-8883-E5BB6F91B4B1}" name="Validation Interne" dataDxfId="14" totalsRowDxfId="15"/>
    <tableColumn id="6" xr3:uid="{8CC493F8-0886-498D-AB98-B77300CC6510}" name="Validation Interne par:" dataDxfId="12" totalsRowDxfId="13"/>
    <tableColumn id="15" xr3:uid="{78231C60-0932-4386-925D-4C689A91C0E3}" name="Statut Client" dataDxfId="10" totalsRowDxfId="11"/>
    <tableColumn id="4" xr3:uid="{B7406A3A-A365-4F76-9A20-372573D19BC9}" name="Notes" dataDxfId="8" totalsRowDxfId="9"/>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7" dataDxfId="6">
  <autoFilter ref="B13:G18" xr:uid="{96AD1385-A1F5-4391-ABC2-C9F250557626}"/>
  <tableColumns count="6">
    <tableColumn id="1" xr3:uid="{56DA355E-F205-482A-9CF1-CA3361A1D801}" name="Version" dataDxfId="5"/>
    <tableColumn id="2" xr3:uid="{C9D8A0D7-1D6E-479B-AF74-6D39D19E4653}" name="Date" dataDxfId="4"/>
    <tableColumn id="3" xr3:uid="{79109713-8A38-4162-A269-136157905B75}" name="Modifications" dataDxfId="3"/>
    <tableColumn id="4" xr3:uid="{AC928B3E-399C-4A3D-9FB5-9CD96F5D4745}" name="Auteur(s)" dataDxfId="2"/>
    <tableColumn id="5" xr3:uid="{0D0A428D-4F18-4D4E-A0CB-4D1A5057B6E9}" name="Vérificateur(s)" dataDxfId="1"/>
    <tableColumn id="6" xr3:uid="{D81EAB57-FBCA-44D9-8F45-58AF13AA08B6}" name="Approbateur" dataDxfId="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3D2C8-04DA-4F1F-ACD1-FC1ABC271A02}">
  <dimension ref="B6:C10"/>
  <sheetViews>
    <sheetView workbookViewId="0">
      <selection activeCell="E10" sqref="E10"/>
    </sheetView>
  </sheetViews>
  <sheetFormatPr defaultColWidth="11.42578125" defaultRowHeight="12.6"/>
  <sheetData>
    <row r="6" spans="2:3">
      <c r="B6" t="s">
        <v>0</v>
      </c>
      <c r="C6" t="s">
        <v>1</v>
      </c>
    </row>
    <row r="7" spans="2:3">
      <c r="B7" t="s">
        <v>2</v>
      </c>
    </row>
    <row r="8" spans="2:3">
      <c r="B8" t="s">
        <v>3</v>
      </c>
    </row>
    <row r="9" spans="2:3">
      <c r="B9" t="s">
        <v>4</v>
      </c>
    </row>
    <row r="10" spans="2:3">
      <c r="B10"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N47"/>
  <sheetViews>
    <sheetView tabSelected="1" topLeftCell="I22" zoomScale="70" zoomScaleNormal="70" workbookViewId="0">
      <selection activeCell="J24" sqref="J24"/>
    </sheetView>
  </sheetViews>
  <sheetFormatPr defaultColWidth="11.42578125" defaultRowHeight="12.75" customHeight="1"/>
  <cols>
    <col min="1" max="1" width="11.42578125" style="1"/>
    <col min="2" max="2" width="6.28515625" style="1" customWidth="1"/>
    <col min="3" max="3" width="29.28515625" style="1" customWidth="1"/>
    <col min="4" max="4" width="23.5703125" style="1" customWidth="1"/>
    <col min="5" max="5" width="18.28515625" style="1" customWidth="1"/>
    <col min="6" max="6" width="19.42578125" style="1" customWidth="1"/>
    <col min="7" max="7" width="25.42578125" style="1" customWidth="1"/>
    <col min="8" max="8" width="18.42578125" style="1" customWidth="1"/>
    <col min="9" max="9" width="56.5703125" style="1" customWidth="1"/>
    <col min="10" max="10" width="142.7109375" style="1" customWidth="1"/>
    <col min="11" max="12" width="13.5703125" style="1" customWidth="1"/>
    <col min="13" max="13" width="15.28515625" style="1" customWidth="1"/>
    <col min="14" max="14" width="29.42578125" style="1" customWidth="1"/>
    <col min="15" max="16384" width="11.42578125" style="1"/>
  </cols>
  <sheetData>
    <row r="1" spans="2:14" ht="12.95"/>
    <row r="2" spans="2:14" ht="21.75" customHeight="1">
      <c r="B2" s="37" t="s">
        <v>6</v>
      </c>
      <c r="C2" s="38"/>
      <c r="D2" s="38"/>
      <c r="E2" s="38"/>
      <c r="F2" s="38"/>
      <c r="G2" s="38"/>
      <c r="H2" s="38"/>
      <c r="I2" s="38"/>
      <c r="J2" s="38"/>
      <c r="K2" s="38"/>
      <c r="L2" s="38"/>
      <c r="M2" s="39"/>
      <c r="N2" s="32"/>
    </row>
    <row r="3" spans="2:14" ht="53.25" customHeight="1">
      <c r="C3" s="8"/>
      <c r="D3" s="8"/>
      <c r="E3" s="8"/>
      <c r="F3" s="8"/>
      <c r="G3" s="8"/>
      <c r="H3" s="8"/>
      <c r="I3" s="8"/>
    </row>
    <row r="4" spans="2:14" ht="21" customHeight="1">
      <c r="B4" s="23" t="s">
        <v>7</v>
      </c>
      <c r="C4" s="8"/>
      <c r="D4" s="25" t="s">
        <v>8</v>
      </c>
      <c r="E4" s="8"/>
      <c r="F4" s="8"/>
      <c r="G4" s="8"/>
      <c r="H4" s="8"/>
      <c r="I4" s="8"/>
    </row>
    <row r="5" spans="2:14" ht="21.75" customHeight="1">
      <c r="B5" s="20" t="s">
        <v>0</v>
      </c>
      <c r="D5" s="3" t="s">
        <v>1</v>
      </c>
      <c r="E5" s="3"/>
      <c r="F5" s="3"/>
      <c r="G5" s="3"/>
      <c r="H5" s="3"/>
      <c r="I5" s="3"/>
    </row>
    <row r="6" spans="2:14" ht="33" customHeight="1">
      <c r="B6" s="20" t="s">
        <v>9</v>
      </c>
      <c r="D6" s="3" t="s">
        <v>10</v>
      </c>
      <c r="E6" s="3"/>
      <c r="F6" s="3"/>
      <c r="G6" s="3"/>
      <c r="H6" s="3"/>
      <c r="I6" s="3"/>
    </row>
    <row r="7" spans="2:14" ht="20.65" customHeight="1">
      <c r="B7" s="20" t="s">
        <v>11</v>
      </c>
      <c r="D7" s="3" t="s">
        <v>12</v>
      </c>
      <c r="E7" s="3"/>
      <c r="F7" s="3"/>
      <c r="G7" s="24" t="s">
        <v>13</v>
      </c>
      <c r="H7" s="3"/>
      <c r="I7" s="3"/>
    </row>
    <row r="8" spans="2:14" ht="21.6" customHeight="1">
      <c r="B8" s="20" t="s">
        <v>14</v>
      </c>
      <c r="D8" s="3" t="s">
        <v>15</v>
      </c>
      <c r="E8" s="3"/>
      <c r="F8" s="3"/>
      <c r="G8" s="3"/>
      <c r="H8" s="3"/>
      <c r="I8" s="3"/>
    </row>
    <row r="9" spans="2:14" ht="14.45">
      <c r="C9" s="3"/>
      <c r="D9" s="17"/>
      <c r="E9" s="17"/>
      <c r="F9" s="17"/>
      <c r="G9" s="17"/>
      <c r="H9" s="17"/>
      <c r="I9" s="17"/>
    </row>
    <row r="10" spans="2:14" ht="12.95">
      <c r="B10" s="21" t="s">
        <v>16</v>
      </c>
      <c r="C10" s="22"/>
      <c r="D10" s="21" t="s">
        <v>17</v>
      </c>
      <c r="E10" s="9"/>
      <c r="F10" s="9"/>
      <c r="I10" s="14" t="s">
        <v>18</v>
      </c>
    </row>
    <row r="11" spans="2:14" ht="12.95">
      <c r="B11" s="21" t="s">
        <v>19</v>
      </c>
      <c r="C11" s="22"/>
      <c r="D11" s="21" t="s">
        <v>20</v>
      </c>
      <c r="E11" s="9"/>
      <c r="F11" s="9"/>
    </row>
    <row r="12" spans="2:14" ht="12.95"/>
    <row r="13" spans="2:14" s="10" customFormat="1" ht="26.1">
      <c r="B13" s="28" t="s">
        <v>21</v>
      </c>
      <c r="C13" s="29" t="s">
        <v>22</v>
      </c>
      <c r="D13" s="29" t="s">
        <v>23</v>
      </c>
      <c r="E13" s="29" t="s">
        <v>24</v>
      </c>
      <c r="F13" s="29" t="s">
        <v>25</v>
      </c>
      <c r="G13" s="29" t="s">
        <v>26</v>
      </c>
      <c r="H13" s="29" t="s">
        <v>27</v>
      </c>
      <c r="I13" s="29" t="s">
        <v>28</v>
      </c>
      <c r="J13" s="29" t="s">
        <v>29</v>
      </c>
      <c r="K13" s="29" t="s">
        <v>30</v>
      </c>
      <c r="L13" s="29" t="s">
        <v>31</v>
      </c>
      <c r="M13" s="30" t="s">
        <v>32</v>
      </c>
      <c r="N13" s="31" t="s">
        <v>33</v>
      </c>
    </row>
    <row r="14" spans="2:14" s="10" customFormat="1" ht="103.9" customHeight="1">
      <c r="B14" s="10" t="s">
        <v>34</v>
      </c>
      <c r="C14" s="10" t="s">
        <v>35</v>
      </c>
      <c r="D14" s="10" t="s">
        <v>36</v>
      </c>
      <c r="E14" s="10" t="s">
        <v>37</v>
      </c>
      <c r="F14" s="10" t="s">
        <v>38</v>
      </c>
      <c r="G14" s="10" t="s">
        <v>39</v>
      </c>
      <c r="H14" s="10" t="s">
        <v>40</v>
      </c>
      <c r="I14" s="10" t="s">
        <v>41</v>
      </c>
      <c r="J14" s="10" t="s">
        <v>42</v>
      </c>
      <c r="K14" s="10" t="s">
        <v>43</v>
      </c>
      <c r="L14" s="10" t="s">
        <v>44</v>
      </c>
    </row>
    <row r="15" spans="2:14" s="10" customFormat="1" ht="40.15" customHeight="1">
      <c r="B15" s="10" t="s">
        <v>45</v>
      </c>
      <c r="C15" s="10" t="s">
        <v>46</v>
      </c>
      <c r="D15" s="10" t="s">
        <v>36</v>
      </c>
      <c r="E15" s="10" t="s">
        <v>37</v>
      </c>
      <c r="F15" s="10" t="s">
        <v>38</v>
      </c>
      <c r="G15" s="10" t="s">
        <v>47</v>
      </c>
      <c r="H15" s="10" t="s">
        <v>40</v>
      </c>
      <c r="I15" s="10" t="s">
        <v>41</v>
      </c>
      <c r="J15" s="10" t="s">
        <v>48</v>
      </c>
      <c r="K15" s="10" t="s">
        <v>43</v>
      </c>
      <c r="L15" s="10" t="s">
        <v>44</v>
      </c>
    </row>
    <row r="16" spans="2:14" s="10" customFormat="1" ht="40.15" customHeight="1">
      <c r="B16" s="10" t="s">
        <v>49</v>
      </c>
      <c r="C16" s="10" t="s">
        <v>50</v>
      </c>
      <c r="D16" s="10" t="s">
        <v>36</v>
      </c>
      <c r="E16" s="10" t="s">
        <v>37</v>
      </c>
      <c r="F16" s="10" t="s">
        <v>38</v>
      </c>
      <c r="G16" s="10" t="s">
        <v>51</v>
      </c>
      <c r="H16" s="10" t="s">
        <v>40</v>
      </c>
      <c r="I16" s="10" t="s">
        <v>52</v>
      </c>
      <c r="J16" s="10" t="s">
        <v>53</v>
      </c>
      <c r="K16" s="10" t="s">
        <v>43</v>
      </c>
      <c r="L16" s="10" t="s">
        <v>44</v>
      </c>
    </row>
    <row r="17" spans="2:14" s="33" customFormat="1" ht="40.15" customHeight="1">
      <c r="B17" s="10" t="s">
        <v>54</v>
      </c>
      <c r="C17" s="33" t="s">
        <v>55</v>
      </c>
      <c r="D17" s="33" t="s">
        <v>36</v>
      </c>
      <c r="E17" s="33" t="s">
        <v>37</v>
      </c>
      <c r="F17" s="33" t="s">
        <v>56</v>
      </c>
      <c r="G17" s="33" t="s">
        <v>57</v>
      </c>
      <c r="H17" s="33" t="s">
        <v>40</v>
      </c>
      <c r="I17" s="33" t="s">
        <v>52</v>
      </c>
      <c r="J17" s="33" t="s">
        <v>58</v>
      </c>
    </row>
    <row r="18" spans="2:14" s="33" customFormat="1" ht="40.15" customHeight="1">
      <c r="B18" s="10" t="s">
        <v>59</v>
      </c>
      <c r="C18" s="33" t="s">
        <v>60</v>
      </c>
      <c r="D18" s="33" t="s">
        <v>36</v>
      </c>
      <c r="E18" s="33" t="s">
        <v>37</v>
      </c>
      <c r="F18" s="33" t="s">
        <v>56</v>
      </c>
      <c r="G18" s="33" t="s">
        <v>61</v>
      </c>
      <c r="H18" s="33" t="s">
        <v>40</v>
      </c>
      <c r="I18" s="33" t="s">
        <v>41</v>
      </c>
      <c r="J18" s="33" t="s">
        <v>62</v>
      </c>
    </row>
    <row r="19" spans="2:14" s="33" customFormat="1" ht="139.5" customHeight="1">
      <c r="B19" s="10" t="s">
        <v>63</v>
      </c>
      <c r="C19" s="33" t="s">
        <v>64</v>
      </c>
      <c r="D19" s="33" t="s">
        <v>36</v>
      </c>
      <c r="E19" s="33" t="s">
        <v>37</v>
      </c>
      <c r="F19" s="33" t="s">
        <v>56</v>
      </c>
      <c r="G19" s="33" t="s">
        <v>65</v>
      </c>
      <c r="H19" s="33" t="s">
        <v>40</v>
      </c>
      <c r="I19" s="33" t="s">
        <v>52</v>
      </c>
      <c r="J19" s="33" t="s">
        <v>66</v>
      </c>
    </row>
    <row r="20" spans="2:14" s="33" customFormat="1" ht="40.15" customHeight="1">
      <c r="B20" s="10" t="s">
        <v>67</v>
      </c>
      <c r="C20" s="33" t="s">
        <v>68</v>
      </c>
      <c r="D20" s="33" t="s">
        <v>36</v>
      </c>
      <c r="E20" s="33" t="s">
        <v>37</v>
      </c>
      <c r="F20" s="33" t="s">
        <v>56</v>
      </c>
      <c r="G20" s="33" t="s">
        <v>69</v>
      </c>
      <c r="H20" s="33" t="s">
        <v>40</v>
      </c>
      <c r="I20" s="33" t="s">
        <v>52</v>
      </c>
      <c r="J20" s="33" t="s">
        <v>70</v>
      </c>
      <c r="K20" s="33" t="s">
        <v>43</v>
      </c>
      <c r="L20" s="33" t="s">
        <v>44</v>
      </c>
      <c r="N20" s="33" t="s">
        <v>71</v>
      </c>
    </row>
    <row r="21" spans="2:14" s="33" customFormat="1" ht="134.25" customHeight="1">
      <c r="B21" s="10" t="s">
        <v>72</v>
      </c>
      <c r="C21" s="33" t="s">
        <v>73</v>
      </c>
      <c r="D21" s="33" t="s">
        <v>36</v>
      </c>
      <c r="E21" s="33" t="s">
        <v>37</v>
      </c>
      <c r="F21" s="33" t="s">
        <v>56</v>
      </c>
      <c r="G21" s="33" t="s">
        <v>74</v>
      </c>
      <c r="H21" s="33" t="s">
        <v>40</v>
      </c>
      <c r="I21" s="33" t="s">
        <v>41</v>
      </c>
      <c r="J21" s="34" t="s">
        <v>75</v>
      </c>
      <c r="K21" s="33" t="s">
        <v>43</v>
      </c>
      <c r="L21" s="33" t="s">
        <v>44</v>
      </c>
    </row>
    <row r="22" spans="2:14" s="33" customFormat="1" ht="105" customHeight="1">
      <c r="B22" s="10" t="s">
        <v>76</v>
      </c>
      <c r="C22" s="33" t="s">
        <v>77</v>
      </c>
      <c r="D22" s="33" t="s">
        <v>36</v>
      </c>
      <c r="E22" s="33" t="s">
        <v>37</v>
      </c>
      <c r="F22" s="33" t="s">
        <v>56</v>
      </c>
      <c r="G22" s="33" t="s">
        <v>78</v>
      </c>
      <c r="H22" s="33" t="s">
        <v>40</v>
      </c>
      <c r="I22" s="33" t="s">
        <v>52</v>
      </c>
      <c r="J22" s="33" t="s">
        <v>79</v>
      </c>
    </row>
    <row r="23" spans="2:14" s="33" customFormat="1" ht="189" customHeight="1">
      <c r="B23" s="10" t="s">
        <v>80</v>
      </c>
      <c r="C23" s="33" t="s">
        <v>81</v>
      </c>
      <c r="D23" s="33" t="s">
        <v>36</v>
      </c>
      <c r="E23" s="33" t="s">
        <v>37</v>
      </c>
      <c r="F23" s="33" t="s">
        <v>56</v>
      </c>
      <c r="G23" s="33" t="s">
        <v>82</v>
      </c>
      <c r="H23" s="33" t="s">
        <v>40</v>
      </c>
      <c r="I23" s="33" t="s">
        <v>52</v>
      </c>
      <c r="J23" s="33" t="s">
        <v>83</v>
      </c>
    </row>
    <row r="24" spans="2:14" s="33" customFormat="1" ht="189" customHeight="1">
      <c r="B24" s="10" t="s">
        <v>84</v>
      </c>
      <c r="C24" s="33" t="s">
        <v>85</v>
      </c>
      <c r="D24" s="33" t="s">
        <v>36</v>
      </c>
      <c r="E24" s="33" t="s">
        <v>37</v>
      </c>
      <c r="F24" s="33" t="s">
        <v>56</v>
      </c>
      <c r="G24" s="33" t="s">
        <v>86</v>
      </c>
      <c r="H24" s="33" t="s">
        <v>40</v>
      </c>
      <c r="I24" s="33" t="s">
        <v>52</v>
      </c>
      <c r="J24" s="33" t="s">
        <v>87</v>
      </c>
    </row>
    <row r="25" spans="2:14" s="33" customFormat="1" ht="189" customHeight="1">
      <c r="B25" s="10" t="s">
        <v>88</v>
      </c>
      <c r="C25" s="33" t="s">
        <v>89</v>
      </c>
      <c r="D25" s="33" t="s">
        <v>36</v>
      </c>
      <c r="E25" s="33" t="s">
        <v>37</v>
      </c>
      <c r="F25" s="33" t="s">
        <v>56</v>
      </c>
      <c r="G25" s="33" t="s">
        <v>90</v>
      </c>
      <c r="H25" s="33" t="s">
        <v>40</v>
      </c>
      <c r="I25" s="33" t="s">
        <v>52</v>
      </c>
      <c r="J25" s="35" t="s">
        <v>91</v>
      </c>
      <c r="K25" s="33" t="s">
        <v>43</v>
      </c>
      <c r="L25" s="33" t="s">
        <v>44</v>
      </c>
    </row>
    <row r="26" spans="2:14" s="36" customFormat="1" ht="76.900000000000006" customHeight="1">
      <c r="B26" s="10" t="s">
        <v>92</v>
      </c>
      <c r="C26" s="33"/>
      <c r="D26" s="33"/>
      <c r="E26" s="33"/>
      <c r="F26" s="33"/>
      <c r="G26" s="33"/>
      <c r="H26" s="33"/>
      <c r="I26" s="33"/>
      <c r="J26" s="33"/>
      <c r="K26" s="33" t="s">
        <v>43</v>
      </c>
      <c r="L26" s="33" t="s">
        <v>44</v>
      </c>
      <c r="M26" s="33"/>
      <c r="N26" s="33"/>
    </row>
    <row r="27" spans="2:14" s="33" customFormat="1" ht="105" customHeight="1">
      <c r="B27" s="10" t="s">
        <v>93</v>
      </c>
      <c r="C27" s="10" t="s">
        <v>94</v>
      </c>
      <c r="D27" s="10" t="s">
        <v>36</v>
      </c>
      <c r="E27" s="10" t="s">
        <v>37</v>
      </c>
      <c r="F27" s="10" t="s">
        <v>38</v>
      </c>
      <c r="G27" s="10" t="s">
        <v>95</v>
      </c>
      <c r="H27" s="10" t="s">
        <v>40</v>
      </c>
      <c r="I27" s="10" t="s">
        <v>41</v>
      </c>
      <c r="J27" s="10" t="s">
        <v>96</v>
      </c>
      <c r="K27" s="10" t="s">
        <v>43</v>
      </c>
      <c r="L27" s="10" t="s">
        <v>44</v>
      </c>
      <c r="M27" s="10"/>
      <c r="N27" s="10"/>
    </row>
    <row r="28" spans="2:14" ht="143.1">
      <c r="B28" s="10" t="s">
        <v>97</v>
      </c>
      <c r="C28" s="10" t="s">
        <v>98</v>
      </c>
      <c r="D28" s="10" t="s">
        <v>36</v>
      </c>
      <c r="E28" s="10" t="s">
        <v>37</v>
      </c>
      <c r="F28" s="10" t="s">
        <v>38</v>
      </c>
      <c r="G28" s="10" t="s">
        <v>99</v>
      </c>
      <c r="H28" s="10" t="s">
        <v>40</v>
      </c>
      <c r="I28" s="10" t="s">
        <v>41</v>
      </c>
      <c r="J28" s="10" t="s">
        <v>100</v>
      </c>
      <c r="K28" s="10" t="s">
        <v>43</v>
      </c>
      <c r="L28" s="10" t="s">
        <v>44</v>
      </c>
      <c r="M28" s="10"/>
      <c r="N28" s="10"/>
    </row>
    <row r="29" spans="2:14" s="10" customFormat="1" ht="114" customHeight="1">
      <c r="B29" s="10" t="s">
        <v>101</v>
      </c>
      <c r="C29" s="10" t="s">
        <v>102</v>
      </c>
      <c r="D29" s="10" t="s">
        <v>36</v>
      </c>
      <c r="E29" s="10" t="s">
        <v>37</v>
      </c>
      <c r="F29" s="10" t="s">
        <v>38</v>
      </c>
      <c r="G29" s="10" t="s">
        <v>103</v>
      </c>
      <c r="H29" s="10" t="s">
        <v>40</v>
      </c>
      <c r="I29" s="10" t="s">
        <v>41</v>
      </c>
      <c r="J29" s="10" t="s">
        <v>104</v>
      </c>
      <c r="K29" s="10" t="s">
        <v>43</v>
      </c>
      <c r="L29" s="10" t="s">
        <v>44</v>
      </c>
    </row>
    <row r="30" spans="2:14" ht="106.15" customHeight="1">
      <c r="B30" s="10" t="s">
        <v>105</v>
      </c>
      <c r="C30" s="10" t="s">
        <v>106</v>
      </c>
      <c r="D30" s="10" t="s">
        <v>36</v>
      </c>
      <c r="E30" s="10" t="s">
        <v>37</v>
      </c>
      <c r="F30" s="10" t="s">
        <v>38</v>
      </c>
      <c r="G30" s="10" t="s">
        <v>107</v>
      </c>
      <c r="H30" s="10" t="s">
        <v>40</v>
      </c>
      <c r="I30" s="10" t="s">
        <v>41</v>
      </c>
      <c r="J30" s="10" t="s">
        <v>108</v>
      </c>
      <c r="K30" s="10" t="s">
        <v>43</v>
      </c>
      <c r="L30" s="10" t="s">
        <v>44</v>
      </c>
      <c r="M30" s="10"/>
      <c r="N30" s="10"/>
    </row>
    <row r="31" spans="2:14" ht="51.6" customHeight="1">
      <c r="B31" s="10" t="s">
        <v>109</v>
      </c>
      <c r="C31" s="10" t="s">
        <v>110</v>
      </c>
      <c r="D31" s="10" t="s">
        <v>36</v>
      </c>
      <c r="E31" s="10" t="s">
        <v>37</v>
      </c>
      <c r="F31" s="10" t="s">
        <v>38</v>
      </c>
      <c r="G31" s="10" t="s">
        <v>111</v>
      </c>
      <c r="H31" s="10" t="s">
        <v>40</v>
      </c>
      <c r="I31" s="10" t="s">
        <v>41</v>
      </c>
      <c r="J31" s="10" t="s">
        <v>112</v>
      </c>
      <c r="K31" s="10" t="s">
        <v>43</v>
      </c>
      <c r="L31" s="10" t="s">
        <v>44</v>
      </c>
      <c r="M31" s="10"/>
      <c r="N31" s="10"/>
    </row>
    <row r="32" spans="2:14" ht="90.95">
      <c r="B32" s="10" t="s">
        <v>113</v>
      </c>
      <c r="C32" s="10" t="s">
        <v>114</v>
      </c>
      <c r="D32" s="10" t="s">
        <v>36</v>
      </c>
      <c r="E32" s="10" t="s">
        <v>37</v>
      </c>
      <c r="F32" s="10" t="s">
        <v>38</v>
      </c>
      <c r="G32" s="10" t="s">
        <v>115</v>
      </c>
      <c r="H32" s="10" t="s">
        <v>40</v>
      </c>
      <c r="I32" s="10" t="s">
        <v>41</v>
      </c>
      <c r="J32" s="27" t="s">
        <v>116</v>
      </c>
      <c r="K32" s="10" t="s">
        <v>43</v>
      </c>
      <c r="L32" s="10" t="s">
        <v>44</v>
      </c>
      <c r="M32" s="10"/>
      <c r="N32" s="10"/>
    </row>
    <row r="33" spans="2:14" ht="76.900000000000006" customHeight="1">
      <c r="B33" s="10" t="s">
        <v>117</v>
      </c>
      <c r="C33" s="10" t="s">
        <v>118</v>
      </c>
      <c r="D33" s="10" t="s">
        <v>36</v>
      </c>
      <c r="E33" s="10" t="s">
        <v>37</v>
      </c>
      <c r="F33" s="10" t="s">
        <v>38</v>
      </c>
      <c r="G33" s="10" t="s">
        <v>119</v>
      </c>
      <c r="H33" s="10" t="s">
        <v>40</v>
      </c>
      <c r="I33" s="10" t="s">
        <v>52</v>
      </c>
      <c r="J33" s="10" t="s">
        <v>120</v>
      </c>
      <c r="K33" s="10" t="s">
        <v>43</v>
      </c>
      <c r="L33" s="10" t="s">
        <v>44</v>
      </c>
      <c r="M33" s="10"/>
      <c r="N33" s="10" t="s">
        <v>121</v>
      </c>
    </row>
    <row r="34" spans="2:14" ht="78">
      <c r="B34" s="10" t="s">
        <v>122</v>
      </c>
      <c r="C34" s="10" t="s">
        <v>123</v>
      </c>
      <c r="D34" s="10" t="s">
        <v>36</v>
      </c>
      <c r="E34" s="10" t="s">
        <v>37</v>
      </c>
      <c r="F34" s="10" t="s">
        <v>38</v>
      </c>
      <c r="G34" s="10" t="s">
        <v>124</v>
      </c>
      <c r="H34" s="10" t="s">
        <v>40</v>
      </c>
      <c r="I34" s="10" t="s">
        <v>41</v>
      </c>
      <c r="J34" s="10" t="s">
        <v>125</v>
      </c>
      <c r="K34" s="10" t="s">
        <v>43</v>
      </c>
      <c r="L34" s="10" t="s">
        <v>44</v>
      </c>
      <c r="M34" s="10"/>
      <c r="N34" s="10"/>
    </row>
    <row r="35" spans="2:14" ht="91.15" customHeight="1">
      <c r="B35" s="10" t="s">
        <v>126</v>
      </c>
      <c r="C35" s="10" t="s">
        <v>127</v>
      </c>
      <c r="D35" s="10" t="s">
        <v>36</v>
      </c>
      <c r="E35" s="10" t="s">
        <v>37</v>
      </c>
      <c r="F35" s="10" t="s">
        <v>38</v>
      </c>
      <c r="G35" s="10" t="s">
        <v>128</v>
      </c>
      <c r="H35" s="10" t="s">
        <v>40</v>
      </c>
      <c r="I35" s="10" t="s">
        <v>41</v>
      </c>
      <c r="J35" s="10" t="s">
        <v>129</v>
      </c>
      <c r="K35" s="10" t="s">
        <v>43</v>
      </c>
      <c r="L35" s="10" t="s">
        <v>44</v>
      </c>
      <c r="M35" s="10"/>
      <c r="N35" s="10"/>
    </row>
    <row r="36" spans="2:14" ht="78">
      <c r="B36" s="10" t="s">
        <v>130</v>
      </c>
      <c r="C36" s="10" t="s">
        <v>131</v>
      </c>
      <c r="D36" s="10" t="s">
        <v>36</v>
      </c>
      <c r="E36" s="10" t="s">
        <v>37</v>
      </c>
      <c r="F36" s="10" t="s">
        <v>38</v>
      </c>
      <c r="G36" s="10" t="s">
        <v>132</v>
      </c>
      <c r="H36" s="10" t="s">
        <v>40</v>
      </c>
      <c r="I36" s="10" t="s">
        <v>41</v>
      </c>
      <c r="J36" s="10" t="s">
        <v>133</v>
      </c>
      <c r="K36" s="10" t="s">
        <v>43</v>
      </c>
      <c r="L36" s="10" t="s">
        <v>44</v>
      </c>
      <c r="M36" s="10"/>
      <c r="N36" s="10"/>
    </row>
    <row r="37" spans="2:14">
      <c r="B37" s="10"/>
      <c r="C37" s="10"/>
      <c r="D37" s="10"/>
      <c r="E37" s="10"/>
      <c r="F37" s="10"/>
      <c r="G37" s="10"/>
      <c r="H37" s="10"/>
      <c r="I37" s="10"/>
      <c r="J37" s="10"/>
      <c r="K37" s="10"/>
      <c r="L37" s="10"/>
      <c r="M37" s="10"/>
      <c r="N37" s="10"/>
    </row>
    <row r="38" spans="2:14" ht="12.95"/>
    <row r="39" spans="2:14" ht="12.95"/>
    <row r="40" spans="2:14" ht="12.95"/>
    <row r="41" spans="2:14" ht="12.95"/>
    <row r="42" spans="2:14" ht="12.95"/>
    <row r="43" spans="2:14" ht="12.95"/>
    <row r="44" spans="2:14" ht="12.95"/>
    <row r="45" spans="2:14" ht="12.95"/>
    <row r="46" spans="2:14" ht="12.95"/>
    <row r="47" spans="2:14" ht="12.95"/>
  </sheetData>
  <mergeCells count="1">
    <mergeCell ref="B2:M2"/>
  </mergeCells>
  <phoneticPr fontId="2" type="noConversion"/>
  <pageMargins left="0.7" right="0.7" top="0.75" bottom="0.75" header="0.3" footer="0.3"/>
  <pageSetup paperSize="9" scale="74"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count="4">
        <x14:dataValidation type="list" allowBlank="1" showInputMessage="1" showErrorMessage="1" xr:uid="{9E253E9F-6967-4CE3-BEC2-E6EF086F8550}">
          <x14:formula1>
            <xm:f>Params!$B$3:$B$5</xm:f>
          </x14:formula1>
          <xm:sqref>D4</xm:sqref>
        </x14:dataValidation>
        <x14:dataValidation type="list" allowBlank="1" showInputMessage="1" showErrorMessage="1" xr:uid="{06B2A4DB-2A94-4B0B-971B-CDFF438E23BA}">
          <x14:formula1>
            <xm:f>Params!$G$3:$G$9</xm:f>
          </x14:formula1>
          <xm:sqref>M14:M36</xm:sqref>
        </x14:dataValidation>
        <x14:dataValidation type="list" allowBlank="1" showInputMessage="1" showErrorMessage="1" xr:uid="{1F2CF1C1-BE35-4DC9-A975-F49F788F3D6A}">
          <x14:formula1>
            <xm:f>Params!$H$3:$H$6</xm:f>
          </x14:formula1>
          <xm:sqref>K14:K36</xm:sqref>
        </x14:dataValidation>
        <x14:dataValidation type="list" allowBlank="1" showInputMessage="1" showErrorMessage="1" xr:uid="{B0CA02FC-44A8-42DD-A90B-87EDE5B3BF25}">
          <x14:formula1>
            <xm:f>Params!$D$3:$D$7</xm:f>
          </x14:formula1>
          <xm:sqref>F17:F25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6"/>
  <sheetViews>
    <sheetView zoomScale="80" zoomScaleNormal="80" workbookViewId="0">
      <selection activeCell="J16" sqref="J16"/>
    </sheetView>
  </sheetViews>
  <sheetFormatPr defaultColWidth="11.42578125" defaultRowHeight="14.45"/>
  <cols>
    <col min="1" max="1" width="12" style="2" customWidth="1"/>
    <col min="2" max="2" width="10.28515625" style="2" customWidth="1"/>
    <col min="3" max="3" width="11.42578125" style="2"/>
    <col min="4" max="4" width="58.28515625" style="2" customWidth="1"/>
    <col min="5" max="5" width="15.7109375" style="2" customWidth="1"/>
    <col min="6" max="6" width="22.28515625" style="2" customWidth="1"/>
    <col min="7" max="7" width="16.5703125" style="2" customWidth="1"/>
    <col min="8" max="16384" width="11.42578125" style="2"/>
  </cols>
  <sheetData>
    <row r="2" spans="1:7" ht="15" thickBot="1"/>
    <row r="3" spans="1:7" ht="24" customHeight="1" thickBot="1">
      <c r="A3" s="2" t="s">
        <v>134</v>
      </c>
      <c r="B3" s="40" t="s">
        <v>6</v>
      </c>
      <c r="C3" s="41"/>
      <c r="D3" s="41"/>
      <c r="E3" s="41"/>
      <c r="F3" s="41"/>
      <c r="G3" s="42"/>
    </row>
    <row r="4" spans="1:7">
      <c r="B4" s="4"/>
      <c r="C4" s="5"/>
      <c r="D4" s="5"/>
      <c r="E4" s="5"/>
      <c r="F4" s="5"/>
      <c r="G4" s="5"/>
    </row>
    <row r="5" spans="1:7">
      <c r="B5" s="12" t="str">
        <f>'Gestion Exigences'!B5</f>
        <v>Client</v>
      </c>
      <c r="D5" s="12" t="str">
        <f>'Gestion Exigences'!D5</f>
        <v>APEM</v>
      </c>
      <c r="E5" s="5"/>
      <c r="F5" s="5"/>
      <c r="G5" s="5"/>
    </row>
    <row r="6" spans="1:7">
      <c r="B6" s="12" t="str">
        <f>'Gestion Exigences'!B6</f>
        <v>Projet</v>
      </c>
      <c r="D6" s="12" t="str">
        <f>'Gestion Exigences'!D6</f>
        <v>Digitalisation du processus Qualité</v>
      </c>
      <c r="E6" s="5"/>
      <c r="F6" s="5"/>
      <c r="G6" s="5"/>
    </row>
    <row r="7" spans="1:7">
      <c r="B7" s="12" t="str">
        <f>'Gestion Exigences'!B7</f>
        <v>Réf BPA du Devis</v>
      </c>
      <c r="D7" s="12" t="str">
        <f>'Gestion Exigences'!D7</f>
        <v>S0-00xyz</v>
      </c>
      <c r="E7" s="5"/>
      <c r="F7" s="5"/>
      <c r="G7" s="5"/>
    </row>
    <row r="8" spans="1:7">
      <c r="B8" s="12" t="str">
        <f>'Gestion Exigences'!B8</f>
        <v>Réf BPA du Projet</v>
      </c>
      <c r="D8" s="12" t="str">
        <f>'Gestion Exigences'!D8</f>
        <v>PR-22-0xyz</v>
      </c>
      <c r="E8" s="5"/>
      <c r="F8" s="5"/>
      <c r="G8" s="5"/>
    </row>
    <row r="9" spans="1:7">
      <c r="B9" s="4"/>
      <c r="C9" s="12"/>
      <c r="D9" s="5"/>
      <c r="E9" s="5"/>
      <c r="F9" s="5"/>
      <c r="G9" s="5"/>
    </row>
    <row r="10" spans="1:7">
      <c r="B10" s="18" t="str">
        <f>'Gestion Exigences'!B10</f>
        <v>Réf Modèle Document</v>
      </c>
      <c r="C10" s="19" t="str">
        <f>'Gestion Exigences'!D10</f>
        <v>MD203</v>
      </c>
      <c r="D10" s="5"/>
      <c r="E10" s="5"/>
      <c r="F10" s="5"/>
      <c r="G10" s="5"/>
    </row>
    <row r="11" spans="1:7">
      <c r="B11" s="18" t="str">
        <f>'Gestion Exigences'!B11</f>
        <v>Version Modèle Document</v>
      </c>
      <c r="C11" s="19" t="str">
        <f>'Gestion Exigences'!D11</f>
        <v>V1.5</v>
      </c>
      <c r="D11" s="5"/>
      <c r="E11" s="5"/>
      <c r="F11" s="5"/>
      <c r="G11" s="5"/>
    </row>
    <row r="12" spans="1:7">
      <c r="B12" s="4"/>
      <c r="C12" s="5"/>
      <c r="D12" s="5"/>
      <c r="E12" s="5"/>
      <c r="F12" s="5"/>
      <c r="G12" s="5"/>
    </row>
    <row r="13" spans="1:7">
      <c r="B13" s="13" t="s">
        <v>135</v>
      </c>
      <c r="C13" s="13" t="s">
        <v>136</v>
      </c>
      <c r="D13" s="13" t="s">
        <v>137</v>
      </c>
      <c r="E13" s="13" t="s">
        <v>138</v>
      </c>
      <c r="F13" s="13" t="s">
        <v>139</v>
      </c>
      <c r="G13" s="13" t="s">
        <v>140</v>
      </c>
    </row>
    <row r="14" spans="1:7" ht="29.65" customHeight="1">
      <c r="B14" s="6" t="s">
        <v>141</v>
      </c>
      <c r="C14" s="7">
        <v>45342</v>
      </c>
      <c r="D14" s="16" t="s">
        <v>142</v>
      </c>
      <c r="E14" s="6" t="s">
        <v>143</v>
      </c>
      <c r="F14" s="15" t="s">
        <v>144</v>
      </c>
      <c r="G14" s="6" t="s">
        <v>145</v>
      </c>
    </row>
    <row r="15" spans="1:7">
      <c r="B15" s="6" t="s">
        <v>146</v>
      </c>
      <c r="C15" s="26">
        <v>45701</v>
      </c>
      <c r="D15" s="2" t="s">
        <v>147</v>
      </c>
      <c r="E15" s="2" t="s">
        <v>148</v>
      </c>
      <c r="F15" s="15" t="s">
        <v>44</v>
      </c>
      <c r="G15" s="6" t="s">
        <v>145</v>
      </c>
    </row>
    <row r="16" spans="1:7">
      <c r="C16" s="26"/>
    </row>
  </sheetData>
  <mergeCells count="1">
    <mergeCell ref="B3:G3"/>
  </mergeCells>
  <phoneticPr fontId="18" type="noConversion"/>
  <pageMargins left="0.7" right="0.7" top="0.75" bottom="0.75" header="0.3" footer="0.3"/>
  <pageSetup paperSize="9" scale="95"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I12"/>
  <sheetViews>
    <sheetView topLeftCell="C2" workbookViewId="0">
      <selection activeCell="D12" sqref="D12"/>
    </sheetView>
  </sheetViews>
  <sheetFormatPr defaultColWidth="11.42578125" defaultRowHeight="12.95"/>
  <cols>
    <col min="1" max="2" width="11.42578125" style="10"/>
    <col min="3" max="4" width="19.7109375" style="10" customWidth="1"/>
    <col min="5" max="5" width="23.7109375" style="10" customWidth="1"/>
    <col min="6" max="6" width="14.42578125" style="10" customWidth="1"/>
    <col min="7" max="7" width="23.7109375" style="10" customWidth="1"/>
    <col min="8" max="8" width="25.28515625" style="10" customWidth="1"/>
    <col min="9" max="9" width="20.42578125" style="10" customWidth="1"/>
    <col min="10" max="16384" width="11.42578125" style="10"/>
  </cols>
  <sheetData>
    <row r="2" spans="2:9" ht="26.1">
      <c r="B2" s="11" t="s">
        <v>7</v>
      </c>
      <c r="C2" s="11" t="s">
        <v>23</v>
      </c>
      <c r="D2" s="11" t="s">
        <v>25</v>
      </c>
      <c r="E2" s="11" t="s">
        <v>27</v>
      </c>
      <c r="F2" s="11" t="s">
        <v>149</v>
      </c>
      <c r="G2" s="11" t="s">
        <v>32</v>
      </c>
      <c r="H2" s="11" t="s">
        <v>150</v>
      </c>
      <c r="I2" s="11" t="s">
        <v>24</v>
      </c>
    </row>
    <row r="3" spans="2:9">
      <c r="B3" s="10" t="s">
        <v>8</v>
      </c>
      <c r="C3" s="10" t="s">
        <v>36</v>
      </c>
      <c r="D3" s="10" t="s">
        <v>38</v>
      </c>
      <c r="E3" s="10" t="s">
        <v>151</v>
      </c>
      <c r="F3" s="10" t="s">
        <v>152</v>
      </c>
      <c r="G3" s="10" t="s">
        <v>153</v>
      </c>
      <c r="H3" s="10" t="s">
        <v>43</v>
      </c>
      <c r="I3" s="10" t="s">
        <v>154</v>
      </c>
    </row>
    <row r="4" spans="2:9">
      <c r="B4" s="10" t="s">
        <v>155</v>
      </c>
      <c r="C4" s="10" t="s">
        <v>156</v>
      </c>
      <c r="D4" s="10" t="s">
        <v>56</v>
      </c>
      <c r="E4" s="10" t="s">
        <v>40</v>
      </c>
      <c r="F4" s="10" t="s">
        <v>157</v>
      </c>
      <c r="G4" s="10" t="s">
        <v>158</v>
      </c>
      <c r="H4" s="10" t="s">
        <v>159</v>
      </c>
      <c r="I4" s="10" t="s">
        <v>160</v>
      </c>
    </row>
    <row r="5" spans="2:9">
      <c r="B5" s="10" t="s">
        <v>161</v>
      </c>
      <c r="C5" s="10" t="s">
        <v>162</v>
      </c>
      <c r="D5" s="10" t="s">
        <v>163</v>
      </c>
      <c r="E5" s="10" t="s">
        <v>164</v>
      </c>
      <c r="F5" s="10" t="s">
        <v>165</v>
      </c>
      <c r="G5" s="10" t="s">
        <v>165</v>
      </c>
      <c r="H5" s="10" t="s">
        <v>165</v>
      </c>
      <c r="I5" s="10" t="s">
        <v>37</v>
      </c>
    </row>
    <row r="6" spans="2:9">
      <c r="B6" s="10" t="s">
        <v>161</v>
      </c>
      <c r="C6" s="10" t="s">
        <v>166</v>
      </c>
      <c r="D6" s="10" t="s">
        <v>167</v>
      </c>
      <c r="E6" s="10" t="s">
        <v>168</v>
      </c>
      <c r="I6" s="10" t="s">
        <v>169</v>
      </c>
    </row>
    <row r="7" spans="2:9">
      <c r="C7" s="10" t="s">
        <v>170</v>
      </c>
      <c r="D7" s="10" t="s">
        <v>171</v>
      </c>
      <c r="E7" s="10" t="s">
        <v>172</v>
      </c>
      <c r="I7" s="10" t="s">
        <v>173</v>
      </c>
    </row>
    <row r="8" spans="2:9">
      <c r="C8" s="10" t="s">
        <v>174</v>
      </c>
      <c r="E8" s="10" t="s">
        <v>175</v>
      </c>
      <c r="I8" s="10" t="s">
        <v>176</v>
      </c>
    </row>
    <row r="9" spans="2:9">
      <c r="E9" s="10" t="s">
        <v>177</v>
      </c>
      <c r="I9" s="10" t="s">
        <v>178</v>
      </c>
    </row>
    <row r="11" spans="2:9">
      <c r="I11" s="10" t="s">
        <v>179</v>
      </c>
    </row>
    <row r="12" spans="2:9" ht="26.1">
      <c r="I12" s="10" t="s">
        <v>180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3b908ec-9e92-424c-a4ad-3174bac6e888" xsi:nil="true"/>
    <lcf76f155ced4ddcb4097134ff3c332f xmlns="5f2f9e80-f74a-40c7-b145-b94d8e4966f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5503822-DF13-4051-A489-72B75648E37A}"/>
</file>

<file path=customXml/itemProps2.xml><?xml version="1.0" encoding="utf-8"?>
<ds:datastoreItem xmlns:ds="http://schemas.openxmlformats.org/officeDocument/2006/customXml" ds:itemID="{9F1008C0-C1B4-4AA8-8155-262FAB7FAB46}"/>
</file>

<file path=customXml/itemProps3.xml><?xml version="1.0" encoding="utf-8"?>
<ds:datastoreItem xmlns:ds="http://schemas.openxmlformats.org/officeDocument/2006/customXml" ds:itemID="{431C8B5B-7A06-4686-9F8A-E8F24EECD8B3}"/>
</file>

<file path=docProps/app.xml><?xml version="1.0" encoding="utf-8"?>
<Properties xmlns="http://schemas.openxmlformats.org/officeDocument/2006/extended-properties" xmlns:vt="http://schemas.openxmlformats.org/officeDocument/2006/docPropsVTypes">
  <Application>Microsoft Excel Online</Application>
  <Manager/>
  <Company>DACTEM</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Siwar Abbes</cp:lastModifiedBy>
  <cp:revision/>
  <dcterms:created xsi:type="dcterms:W3CDTF">2000-07-05T17:03:55Z</dcterms:created>
  <dcterms:modified xsi:type="dcterms:W3CDTF">2025-12-24T20:34:54Z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Order">
    <vt:r8>12812100</vt:r8>
  </property>
  <property fmtid="{D5CDD505-2E9C-101B-9397-08002B2CF9AE}" pid="12" name="_ColorHex">
    <vt:lpwstr/>
  </property>
  <property fmtid="{D5CDD505-2E9C-101B-9397-08002B2CF9AE}" pid="13" name="_ColorTag">
    <vt:lpwstr/>
  </property>
  <property fmtid="{D5CDD505-2E9C-101B-9397-08002B2CF9AE}" pid="14" name="_Emoji">
    <vt:lpwstr/>
  </property>
</Properties>
</file>