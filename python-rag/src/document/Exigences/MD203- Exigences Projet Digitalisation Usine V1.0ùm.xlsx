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omsoftware.sharepoint.com/sites/Commercial/Documents partages/04 Clients/016 SIAM/21 Projet SF/2 Préparation Offre/"/>
    </mc:Choice>
  </mc:AlternateContent>
  <xr:revisionPtr revIDLastSave="110" documentId="8_{E9055D70-1EC1-4F95-B6E4-C6B177AE14BE}" xr6:coauthVersionLast="47" xr6:coauthVersionMax="47" xr10:uidLastSave="{5682AEB9-2E14-4FC7-8561-7C32716FAD9A}"/>
  <bookViews>
    <workbookView xWindow="28680" yWindow="-120" windowWidth="29040" windowHeight="15720" tabRatio="620" firstSheet="1" activeTab="1" xr2:uid="{00000000-000D-0000-FFFF-FFFF00000000}"/>
  </bookViews>
  <sheets>
    <sheet name="Fiche Client" sheetId="31" r:id="rId1"/>
    <sheet name="Gestion Exigences" sheetId="27" r:id="rId2"/>
    <sheet name="Params" sheetId="30" r:id="rId3"/>
    <sheet name="Modifs Doc" sheetId="29" r:id="rId4"/>
  </sheets>
  <definedNames>
    <definedName name="_xlnm.Print_Area" localSheetId="1">'Gestion Exigences'!$C$2:$I$26</definedName>
    <definedName name="_xlnm.Print_Area" localSheetId="3">'Modifs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2" i="27" l="1"/>
  <c r="N52" i="27"/>
  <c r="O35" i="27"/>
  <c r="P35" i="27" s="1"/>
  <c r="O36" i="27"/>
  <c r="P36" i="27" s="1"/>
  <c r="O16" i="27"/>
  <c r="P16" i="27" s="1"/>
  <c r="O17" i="27"/>
  <c r="P17" i="27" s="1"/>
  <c r="O18" i="27"/>
  <c r="P18" i="27" s="1"/>
  <c r="O19" i="27"/>
  <c r="P19" i="27" s="1"/>
  <c r="O20" i="27"/>
  <c r="P20" i="27" s="1"/>
  <c r="O37" i="27"/>
  <c r="P37" i="27" s="1"/>
  <c r="O31" i="27" l="1"/>
  <c r="P31" i="27" s="1"/>
  <c r="O29" i="27"/>
  <c r="P29" i="27" s="1"/>
  <c r="O30" i="27" l="1"/>
  <c r="P30" i="27" s="1"/>
  <c r="O32" i="27"/>
  <c r="P32" i="27" s="1"/>
  <c r="O33" i="27"/>
  <c r="P33" i="27" s="1"/>
  <c r="O42" i="27"/>
  <c r="P42" i="27" s="1"/>
  <c r="O43" i="27"/>
  <c r="P43" i="27" s="1"/>
  <c r="O38" i="27"/>
  <c r="P38" i="27" s="1"/>
  <c r="O34" i="27" l="1"/>
  <c r="P34" i="27" s="1"/>
  <c r="O28" i="27"/>
  <c r="P28" i="27" s="1"/>
  <c r="O48" i="27" l="1"/>
  <c r="P48" i="27" s="1"/>
  <c r="O41" i="27"/>
  <c r="P41" i="27" s="1"/>
  <c r="O44" i="27"/>
  <c r="P44" i="27" s="1"/>
  <c r="O45" i="27"/>
  <c r="P45" i="27" s="1"/>
  <c r="O40" i="27"/>
  <c r="P40" i="27" s="1"/>
  <c r="O46" i="27"/>
  <c r="P46" i="27" s="1"/>
  <c r="O47" i="27"/>
  <c r="P47" i="27" s="1"/>
  <c r="O21" i="27"/>
  <c r="P21" i="27" s="1"/>
  <c r="O22" i="27"/>
  <c r="P22" i="27" s="1"/>
  <c r="O23" i="27"/>
  <c r="P23" i="27" s="1"/>
  <c r="O24" i="27"/>
  <c r="P24" i="27" s="1"/>
  <c r="O39" i="27"/>
  <c r="P39" i="27" s="1"/>
  <c r="O27" i="27"/>
  <c r="P27" i="27" s="1"/>
  <c r="O25" i="27"/>
  <c r="P25" i="27" s="1"/>
  <c r="O49" i="27" l="1"/>
  <c r="P49" i="27" s="1"/>
  <c r="O50" i="27"/>
  <c r="P50" i="27" s="1"/>
  <c r="O51" i="27"/>
  <c r="P51" i="27" s="1"/>
  <c r="O14" i="27"/>
  <c r="P14" i="27" s="1"/>
  <c r="O15" i="27"/>
  <c r="P15" i="27" s="1"/>
  <c r="O26" i="27"/>
  <c r="P26" i="27" s="1"/>
  <c r="D5" i="29"/>
  <c r="D6" i="29"/>
  <c r="D7" i="29"/>
  <c r="D8" i="29"/>
  <c r="C10" i="29"/>
  <c r="C11" i="29"/>
  <c r="B6" i="29"/>
  <c r="B7" i="29"/>
  <c r="B8" i="29"/>
  <c r="B10" i="29"/>
  <c r="B11" i="29"/>
  <c r="B5" i="29"/>
  <c r="P52" i="27" l="1"/>
</calcChain>
</file>

<file path=xl/sharedStrings.xml><?xml version="1.0" encoding="utf-8"?>
<sst xmlns="http://schemas.openxmlformats.org/spreadsheetml/2006/main" count="637" uniqueCount="269">
  <si>
    <t>Client</t>
  </si>
  <si>
    <t>Secteur</t>
  </si>
  <si>
    <t>Nombre de ligne de production</t>
  </si>
  <si>
    <t>Nombre de machine</t>
  </si>
  <si>
    <t>Nombre de poste manuel</t>
  </si>
  <si>
    <t>Gestion Exigences Projet</t>
  </si>
  <si>
    <t>Chiffrage Réalisation (SF only)</t>
  </si>
  <si>
    <t>Revue et Vérification Pendant la Conception</t>
  </si>
  <si>
    <t>BU</t>
  </si>
  <si>
    <t>SF</t>
  </si>
  <si>
    <t>SIAM</t>
  </si>
  <si>
    <t>Projet</t>
  </si>
  <si>
    <t>Digitalisation Usine</t>
  </si>
  <si>
    <t>Réf BPA du Devis</t>
  </si>
  <si>
    <t>S0-00xyz</t>
  </si>
  <si>
    <t>Zone de saisie</t>
  </si>
  <si>
    <t>Réf BPA du Projet</t>
  </si>
  <si>
    <t>PR-22-0xyz</t>
  </si>
  <si>
    <t>Réf Modèle Document</t>
  </si>
  <si>
    <t>MD203</t>
  </si>
  <si>
    <t>Confidentiel | Usage Client Limité</t>
  </si>
  <si>
    <t>Version Modèle Document</t>
  </si>
  <si>
    <t>V1.5</t>
  </si>
  <si>
    <t>ID</t>
  </si>
  <si>
    <t>Intitulé Exigence</t>
  </si>
  <si>
    <t>Nature</t>
  </si>
  <si>
    <t>Catégorie</t>
  </si>
  <si>
    <t>Exigence idenfiée pendant la phase</t>
  </si>
  <si>
    <t>Description de l'exigence</t>
  </si>
  <si>
    <t>Source</t>
  </si>
  <si>
    <t>Desciption de la solution MOMSOFT</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</si>
  <si>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</si>
  <si>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</si>
  <si>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</si>
  <si>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</si>
  <si>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</si>
  <si>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</si>
  <si>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</si>
  <si>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</si>
  <si>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</si>
  <si>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</si>
  <si>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</si>
  <si>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</si>
  <si>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</si>
  <si>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</si>
  <si>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 xml:space="preserve">Configuration des données </t>
  </si>
  <si>
    <t>Fonctionnelle</t>
  </si>
  <si>
    <t>SF-Fonctionnelle</t>
  </si>
  <si>
    <t>Commerciale</t>
  </si>
  <si>
    <t>Configuration complète et gestion de l'usine</t>
  </si>
  <si>
    <t>Workshop/réunion client</t>
  </si>
  <si>
    <t xml:space="preserve">Standard </t>
  </si>
  <si>
    <t>La solution offre un Module Core permettant la modélisation, gestion et planification pour une usine connectée:
-Modélisation hiérarchique de l'usine: Sites, ateliers, lignes, postes, machines.
-Gestion des produits.
-Gestion des incidents et défauts: Pannes par machines, défauts par produit.
-Gestion des utilisateurs et des autorisations: Rôles et accès contrôlés.
-Gestion des équipes: Production, qualité, maintenance.
-Planification des lignes et des équipes: Cycles, équipes, calendrier de travail.
-Configuration de l'outillage: Moules, gabarits..</t>
  </si>
  <si>
    <t>RAS</t>
  </si>
  <si>
    <t>Mahdi B.</t>
  </si>
  <si>
    <t>Validée par le client</t>
  </si>
  <si>
    <t>N/A</t>
  </si>
  <si>
    <t>E002</t>
  </si>
  <si>
    <t xml:space="preserve">Chargement des données </t>
  </si>
  <si>
    <t>SF-Intégration SI</t>
  </si>
  <si>
    <t xml:space="preserve"> Automatisation de l'importation de données dans la solution</t>
  </si>
  <si>
    <t xml:space="preserve">La solution comprend un module "Intégartion SI" permettant l'intégration automatisée de données: Chargement automatique de données depuis des fichiers CSV ou des systèmes d'information clients. En supportant les entités produits, utilisateurs et outillages, avec une gestion détaillée des erreurs d'intégration. </t>
  </si>
  <si>
    <t>E003</t>
  </si>
  <si>
    <t>Chargement des produits à partir de l'ERP.</t>
  </si>
  <si>
    <t>Lecture  des produits à partir de l'ERP.</t>
  </si>
  <si>
    <t xml:space="preserve">Adaptation : 
-Créer une méthode de chargement des produits selon un modèle standard de SF 
</t>
  </si>
  <si>
    <t>E004</t>
  </si>
  <si>
    <t>Chargement des pannes à partir de l'ERP.</t>
  </si>
  <si>
    <t>Lecture des pannes depuis l’ERP.</t>
  </si>
  <si>
    <t xml:space="preserve">Adaptation : 
-Créer une méthode de chargement des pannes selon le modèle standard de SF.
</t>
  </si>
  <si>
    <t>E005</t>
  </si>
  <si>
    <t>Chargement des incidents qualité à partir de l'ERP.</t>
  </si>
  <si>
    <t>Chargement des incidents qualité depuis l’ERP.</t>
  </si>
  <si>
    <t>Lecture des incidents qualité depuis l’ERP.</t>
  </si>
  <si>
    <t xml:space="preserve">Adaptation : 
-Créer une méthode de chargement des incidents qualité selon le modèle standard de SF.
</t>
  </si>
  <si>
    <t>E006</t>
  </si>
  <si>
    <t>Chargement des moules à partir de l'ERP.</t>
  </si>
  <si>
    <t>Chargement des moules depuis l’ERP.</t>
  </si>
  <si>
    <t>Lecture des moules depuis l’ERP.</t>
  </si>
  <si>
    <t xml:space="preserve">Adaptation : 
-Créer une méthode de chargement des moules selon le modèle standard de SF.
</t>
  </si>
  <si>
    <t>E007</t>
  </si>
  <si>
    <t>Chargement des utilisateurs à partir de l'ERP.</t>
  </si>
  <si>
    <t>Chargement des utilisateurs depuis l’ERP.</t>
  </si>
  <si>
    <t>Lecture des utilisateurs depuis l’ERP.</t>
  </si>
  <si>
    <t xml:space="preserve">Adaptation : 
-Créer une méthode de chargement des utilisateurs selon le modèle standard de SF.
</t>
  </si>
  <si>
    <t>E008</t>
  </si>
  <si>
    <t>Chargement de la nomenclature à partir de l'ERP .</t>
  </si>
  <si>
    <t>Chargement de la nomenclature de l'ERP .</t>
  </si>
  <si>
    <t>Lecture  de la nomenclature produit à partir de l'ERP.</t>
  </si>
  <si>
    <t xml:space="preserve">Adaptation : 
- Créer une méthode de chargement de la nomenclature selon un modèle standard de SF 
</t>
  </si>
  <si>
    <t>E009</t>
  </si>
  <si>
    <t>Chargement de la gamme opératoire par produit à partir de l'ERP .</t>
  </si>
  <si>
    <t>Chargement  de la gamme par produit apartir de l'ERP .</t>
  </si>
  <si>
    <t>Lecture  de la gamme opératoire par produit  à partir de l'ERP.</t>
  </si>
  <si>
    <t>Adaptation : 
- Créer une méthode de chargement de la  gamme opératoire selon le modéle standard de  SF .</t>
  </si>
  <si>
    <t>E010</t>
  </si>
  <si>
    <t>Gestion de la nomenclature</t>
  </si>
  <si>
    <t xml:space="preserve">Permettre la gestion de la nomenclature </t>
  </si>
  <si>
    <t xml:space="preserve">Ajout d'une interface pour la gestion de la nomenclature  </t>
  </si>
  <si>
    <t xml:space="preserve">Adaptation : 
- Ajout d'une interface qui permet la création, la modification et la suppression  de la nomenclature.
</t>
  </si>
  <si>
    <t>E011</t>
  </si>
  <si>
    <t>Gestion de la gamme opératoire</t>
  </si>
  <si>
    <t>Permettre la gestion de la gamme opératoire</t>
  </si>
  <si>
    <t>Ajout d'une interface pour la gestion de la gamme opératoire</t>
  </si>
  <si>
    <t xml:space="preserve">Adaptation : 
- Ajout d'une interface qui permet la création, la modification et la suppression de la gamme opératoire
- La gamme opératoire est sous forme d'un tableau permettant de définir l'ordre des opérations et de modifier leurs paramétres si besoin </t>
  </si>
  <si>
    <t>E012</t>
  </si>
  <si>
    <t>Chargement des OF planifiés à partir de l'ERP.</t>
  </si>
  <si>
    <t>Chargement des OF planifiés "fermes" à partir de l'ERP  à travers webservices .</t>
  </si>
  <si>
    <t>Lecture des OF planifiés "fermes" à travers webservices.</t>
  </si>
  <si>
    <t xml:space="preserve">Adaptation webservice de chargement des OF planifiés à partir de l'ERP.
Cette exigence nécessite un travail de collaboration entre l'équipe MOMSOFT et l'équipe ERP.
</t>
  </si>
  <si>
    <t>E013</t>
  </si>
  <si>
    <t>Gestion et suivi  des ordres de fabrications</t>
  </si>
  <si>
    <t xml:space="preserve">Gérer et suivre les ordres de fabrications </t>
  </si>
  <si>
    <t>La solution offre une interface "Gestion des OF" sous le module "Production" permettant :
- Ajout manuel des Ordres de fabrication en spécifiant les informations associées nécessaires : Atelier , ligne , commande ,  produit , temps de cycle , quantité objectif , temps de changement de série , matière .
- Gestion centralisée des OF:
Gestion et suivi des différents statuts des OF (planifié, lancé, suspendu, changement de série, etc.)
Mise à jour en temps réel des statuts
Workflow de validation des changements de statut paramétrables
- Gestion des opérations associées à un OF:
Calcul des dates de début et fin prévues pour chaque opération
Suivi d'avancement des opérations
- Planification et ajustement :
Planification initiale des OF en fonction des données saisies 
Ajustement de la planification en cas d'aléas
Consultation en temps réel de l'impact des ajustements sur la planification globale.</t>
  </si>
  <si>
    <t>E014</t>
  </si>
  <si>
    <t xml:space="preserve">Gestion  et suivi des opérations </t>
  </si>
  <si>
    <t>Permettre la gestion  et le suivi des opérations.</t>
  </si>
  <si>
    <t>Ajout d'une interface pour la gestion des opérations.</t>
  </si>
  <si>
    <t xml:space="preserve">Adaptation :
Ajout d'une interface " gestion des opérations " permettant :
-Gestion des opération par OF ( création, modification et suppression )
-Gestion et suivi des statuts des opérations (planifié, lancé, suspendu.)
</t>
  </si>
  <si>
    <t>E015</t>
  </si>
  <si>
    <t>Gestion et suivi de production par opération</t>
  </si>
  <si>
    <t>Permettre la gestion de production des opérations</t>
  </si>
  <si>
    <t>Ajout d'une interface pour la gestion de production des opérations</t>
  </si>
  <si>
    <t>Adaptation :
Ajout d'une interface assurant les fonctionnalités suivantes :
- Déclaration de production par opération et par OF : quantités conformes, non conformes, rebutées et en retouche (rework).
- Suivi des opérations liées à un OF, incluant :
Mise à jour en temps réel des statuts
Le calcul des dates de début et de fin prévues pour chaque opération.
Le suivi de l’avancement des opérations.
-L’opération est représentée sous forme d’un tableau contenant les champs suivants :
Temps opératoire
Temps de réglage
Temps d’attente (avant et après)
Quantité produite
Quantité OK
Quantité NOK
Rework
Quantité rebutée</t>
  </si>
  <si>
    <t>E016</t>
  </si>
  <si>
    <t>Gestion et suivi de la prodution par OF</t>
  </si>
  <si>
    <t>Déclaration manuelle et automatique de la production et des non-conformité et des arrêts en assurant un suivi en temps réel et un historique détaillé.</t>
  </si>
  <si>
    <t>La solution comprend un module de "Gestion de Production" offrant les fonctionnalités suivantes :
-Déclaration manuelle et automatiques de la production : Enregistrement des quantités produites et des non-conformités pour chaque Ordre de Fabrication (OF), ligne, et produit. avec la possibilité de la déclaration par lot.
-Validation des déclarations :Workflow de validation des déclarations de production avec des niveaux de validation paramétrables 
-Rapports détaillés : Accès à des rapports détaillés sur l'historique de production, incluant les quantités produites, les non-conformités, ainsi que les performances des lignes et des opérateurs.
-Filtrage avancé : Possibilité de filtrer les données par OF, équipe, ligne, produit, et période de production.</t>
  </si>
  <si>
    <t>E018</t>
  </si>
  <si>
    <t>Intégration ligne de production</t>
  </si>
  <si>
    <t>SF-Connectivité Machine</t>
  </si>
  <si>
    <t>Récupération des données machine (paramétres machine, quantités produites, alertes et alarmes).</t>
  </si>
  <si>
    <t>Adaptation</t>
  </si>
  <si>
    <t>Récupération des données de production comprenant les paramètres machines, les quantités produites et non conformes, ainsi que les arrêts et alarmes.</t>
  </si>
  <si>
    <t>E019</t>
  </si>
  <si>
    <t>Historique des paramètres machines</t>
  </si>
  <si>
    <t>Suivi et historisation des paramètres machines.</t>
  </si>
  <si>
    <t>Ajouter une interface assurant la surveillance en temps réel des paramètres machines et l’historisation des données.</t>
  </si>
  <si>
    <t>Ajouter une interface assuant :
-Le suivi en temps réel des paramètres machines.
-L’historisation des paramètres machines par produit et par OF.
-L’exportation des historiques.</t>
  </si>
  <si>
    <t>E020</t>
  </si>
  <si>
    <t>Suivi en temps réel</t>
  </si>
  <si>
    <t>Suivi en temps réel des KPIs</t>
  </si>
  <si>
    <t>La solution offre une supervision de production en temps réel avec le module "Vue 360°" permettant de  : 
-Visualiser l'état des lignes en temps réel avec codification couleur paramétrable.-Suivire des indicateurs clés de performance (KPI): TRS équipe et OF ,Taux de performance, disponibilité et qualité , PPM (pièces par million)
-Suivre de la progression des OF.
-Analyser des arrêts: Durées, causes et nombre d'occurrences.
-Visualiser la production et non-conformité en temps réel: Production totale et horaire par équipe , Non-conformité totale et horaire par équipe avec catégorisation par défaut qualité.</t>
  </si>
  <si>
    <t>E021</t>
  </si>
  <si>
    <t>Tableau de bord production</t>
  </si>
  <si>
    <t>Analyser la performance historique des lignes de production
Analyser l'évolution des indicateurs clés au cours du temps pour chaque ligne de production.</t>
  </si>
  <si>
    <t xml:space="preserve">la solution offre un tableau de bord fournissant une vue multi-niveaux de la production en utilisant des indicateurs comme TRS, Quantité produite vs Quantité planifiée, Temps d'arrêt vs temps de production, etc.
</t>
  </si>
  <si>
    <t>E022</t>
  </si>
  <si>
    <t>Gestion des reworks</t>
  </si>
  <si>
    <t>Permettre la gestion des quantités à traiter et à rebuter</t>
  </si>
  <si>
    <t>Ajouter une interface pour la gestion des reworks et des rebuts</t>
  </si>
  <si>
    <t>E023</t>
  </si>
  <si>
    <t>Validation process</t>
  </si>
  <si>
    <t>Veiller au remplissage des fiches de démarrage, qualité, suivi, ainsi que des fiches BT moule et BT matière pour garantir le bon déroulement de la production.</t>
  </si>
  <si>
    <t>Rendre l'obligation de remplissage des fiches de production ( fiches de démarrage, qualité, suivi, ainsi que des fiches BT moule et BT matière ) selon le shift.</t>
  </si>
  <si>
    <t>E024</t>
  </si>
  <si>
    <t>Fiche de passation</t>
  </si>
  <si>
    <t>Permettre la gestion de passation entre les postes de production</t>
  </si>
  <si>
    <t>Ajouter une interface permettant :
-La gestion et l’historisation des fiches de passation.
-La création automatique d'une fiche de passation pour chaque shift.
-La transmition des opérations d’un poste à un autre aprés remplissage et validation.</t>
  </si>
  <si>
    <t>E025</t>
  </si>
  <si>
    <t>Fiche alerte</t>
  </si>
  <si>
    <t>Déclaration des non-conformités identifiées par le responsable de transfert dans la zone de passage vers le stock PF.</t>
  </si>
  <si>
    <t>E026</t>
  </si>
  <si>
    <t>Fiche non conformité</t>
  </si>
  <si>
    <t>Déclaration des non-conformités détectées par l'opérateur/ contrôleur qualité et leur validation par le responsable qualité.</t>
  </si>
  <si>
    <t>Standard</t>
  </si>
  <si>
    <t>La solution propose une interface "Fiche Non-Conformité" pour identifier, documenter, analyser et résoudre les incidents de qualité en production, avec les fonctionnalités suivantes :
-Identification du problème : Tracer la pièce concernée, ajouter une photo et l’associer à la fiche.
Définir le lieu de détection, le type de défaut, et la quantité affectée,Analyser les causes racines (QQCQ), Indiquer le statut du produit (isolé, livré, bloqué).
-Actions immédiates :Définir les actions correctives, Décider si le produit sera livré après correction ou nécessite un traitement supplémentaire, Fournir une description complète de la non-conformité.
-Analyse des causes :Utiliser les méthodologies 5M (Ishikawa) et 5 Pourquoi.
-Actions définitives :Élaborer un plan pour traiter les causes profondes et prévenir la récurrence.
Attribuer les responsabilités, informer les parties concernées, et planifier les dates d'exécution.
-Historique et consultation :Maintenir un référentiel centralisé des fiches de non-conformité</t>
  </si>
  <si>
    <t>E027</t>
  </si>
  <si>
    <t>Analyse des causes des non-conformités avec l'outil QRQC</t>
  </si>
  <si>
    <t>Suivi et analyses des causes des non-conformités avec l'outil QRQC</t>
  </si>
  <si>
    <t xml:space="preserve">la solution offre un QRQC qui permet de rédoudre les non conformité en déclenchant la création des fiches  en s'appuyant sur des seuils de qualité paramètrable , permettant ainsi: 
-D'idententifier le problème et le contexte de l'incident
-De mettre en place un tri pour catégoriser les incidents en fonction de leur gravité
-De définir les actions immédiates et bloquer la production si nécéssaire
-De définir les causes racines avec les méthodes 5M et 5 pourquoi 
-Définition et suivi des actions définitives en élaborant un plan d'action correctif détaillé, en assignant des responsabilités aux personnes concernées et en définissant des échéances . Le système assure un suivi de l'avancement des actions et permet une validation une fois les actions terminées. </t>
  </si>
  <si>
    <t>E028</t>
  </si>
  <si>
    <t>Historisation des déclarations de non conformités</t>
  </si>
  <si>
    <t xml:space="preserve">Fournir un historique détaillé des déclarations de non-conformité </t>
  </si>
  <si>
    <t xml:space="preserve">La solution offre une interface "Détail Qualité" permettant d'historiser tous les déclaration des non-conformité par Atelier , Ligne , OF , produits , client avec une décortication des défauts de chaque déclaration </t>
  </si>
  <si>
    <t>E029</t>
  </si>
  <si>
    <t xml:space="preserve">Gestion des outils de mesures </t>
  </si>
  <si>
    <t>Gérer les outils de mesures de qualité des produits</t>
  </si>
  <si>
    <r>
      <rPr>
        <sz val="12"/>
        <color rgb="FF000000"/>
        <rFont val="Calibri Light"/>
        <family val="2"/>
        <scheme val="major"/>
      </rPr>
      <t>la solution offre un module de gestion des outils de mesure de qualité permet de suivre et gérer les outils de mesures de la qualité des prodduits en  mettant en place des études R&amp;R pour évaluer la fiabilité des outils avec un suivi de statut de échantillonnage</t>
    </r>
    <r>
      <rPr>
        <sz val="12"/>
        <color rgb="FFFF0000"/>
        <rFont val="Calibri Light"/>
        <family val="2"/>
        <scheme val="major"/>
      </rPr>
      <t xml:space="preserve"> </t>
    </r>
    <r>
      <rPr>
        <sz val="12"/>
        <color rgb="FF000000"/>
        <rFont val="Calibri Light"/>
        <family val="2"/>
        <scheme val="major"/>
      </rPr>
      <t>.</t>
    </r>
  </si>
  <si>
    <t>E030</t>
  </si>
  <si>
    <t>Fiches Qualité</t>
  </si>
  <si>
    <t>Gérer les gammes de contrôles et générer des fiches de qualité selon des fréquences paramétrables et des événements</t>
  </si>
  <si>
    <t>E031</t>
  </si>
  <si>
    <t>Alarme d'inspection qualité par fréquence par événement</t>
  </si>
  <si>
    <t>Configuration d'alertes automatiques pour planifier et exécuter les inspections qualité selon des fréquences prédéfinies</t>
  </si>
  <si>
    <t>La solution permet de gérer les notifications et les alertes pour exécuter les inspections qualité.</t>
  </si>
  <si>
    <t>E032</t>
  </si>
  <si>
    <t>Suivi MSP</t>
  </si>
  <si>
    <t xml:space="preserve">
Analyse de la capabilité et anticipation des écarts des processus de production avec des cartes de contrôle MSP.</t>
  </si>
  <si>
    <t>La solution offre un module "MSP" permettant de : -
-Spécifier les caractéristiques spéciaux à surveiller, les tolérances associées et la fréquence de collecte des données.
-Évaluer la stabilité du processus de production en calculant des indices de capabilité (Cp, Cpk) 
-Mettre en œuvre des contrôles statistiques en temps réel (moyenne, écart-type) et mettre à jour les limites de contrôle 
-Suivre et anticiper les variations de qualité:  des processus avec des cartes de contrôle et identifier les tendances et les déviations significatives.
-Configurer des alertes automatiques pour signaler les dépassements des limites de contrôle ou les variations inattendues</t>
  </si>
  <si>
    <t>E033</t>
  </si>
  <si>
    <t>Suivi 6S</t>
  </si>
  <si>
    <t xml:space="preserve">
Gérer les actions 6s et génération et suivi  et historisation des audits 6s .</t>
  </si>
  <si>
    <t>La solution offre un module "6S" permettant de:
-Gérer les actions 6s et les assigner aux lignes et ateliers, en définissant les responsables.
-Générer des formulaires d'audit à remplir et à valider par les personnes concernées et visualiser l'évolution des résultats d'audit grâce et des graphiques
-Historiser les audits et les résultats pour faciliter le suivi dans le temps et les analyses comparatives.</t>
  </si>
  <si>
    <t>E034</t>
  </si>
  <si>
    <t>Tableau de bord qualité</t>
  </si>
  <si>
    <t xml:space="preserve">
Historisation et visualisation des indicateurs de performance qualité</t>
  </si>
  <si>
    <t>La solution offre Un tableau de bord qualité fournissant une visualisation flexible des performances qualité selon des intervalles flexibles (années, mois, semaines, jours, shifts), permettant de :
-Suivre les taux de qualité et les taux de rebut par atelier et par ligne
-Suivre les quantités et les coûts des non-conformités
-Analyser les quantités de non-conformités par type de défaut
-Présenter des diagrammes de Pareto des défauts</t>
  </si>
  <si>
    <t>E035</t>
  </si>
  <si>
    <t>Contrôle libération</t>
  </si>
  <si>
    <t>Gestion et historique des fiches de contrôle avant déclaration dans SAGE X3.</t>
  </si>
  <si>
    <t>Ajouter une interface "Fiche de contrôle libération" permettant :
-La gestion des fiches de contrôle par lot (ajout, modification, suppression).
-La mise en place d’un workflow de validation avant déclaration dans SAGE X3.
-L’historisation des fiches par OF.</t>
  </si>
  <si>
    <t>E036</t>
  </si>
  <si>
    <t>Déclaration production SAGE X3</t>
  </si>
  <si>
    <t>Déclaration des quantités produites dans SAGE X3 après validation du contrôle libération.</t>
  </si>
  <si>
    <t>Déclaration des quantités produites dans SAGE X3 après validation du contrôle libération via webservice.</t>
  </si>
  <si>
    <t>E037</t>
  </si>
  <si>
    <t xml:space="preserve">Gestion de la maintenance préventive </t>
  </si>
  <si>
    <t xml:space="preserve">Intégration de fonctionnalités permettant le suivi et la planification des interventions de maintenance, assurant ainsi la disponibilité continue des équipements de production.
</t>
  </si>
  <si>
    <r>
      <t xml:space="preserve">La solution offre un module de "Gestion de la maintenance" permettant  : 
-Le suivi en temps réel et l'historisation des arrêts machines avec les durées et les causes associées.
-L'envoi et la gestion de fiches d'intervention spécifiant les actions à mener suite à une panne des équipements .
- La planification , la gestion et le suivi des ordres de maintenance, incluant la possibilité d'arrêter la production pendant l'intervention.
</t>
    </r>
    <r>
      <rPr>
        <b/>
        <sz val="12"/>
        <color rgb="FFFF0000"/>
        <rFont val="Calibri Light"/>
        <family val="2"/>
        <scheme val="major"/>
      </rPr>
      <t xml:space="preserve">
</t>
    </r>
  </si>
  <si>
    <t>E038</t>
  </si>
  <si>
    <t>Extraction de données</t>
  </si>
  <si>
    <t>Extraction des données de l’ensemble des données des différents modules</t>
  </si>
  <si>
    <t xml:space="preserve">La solution offre la possibilité de l'extraction flexible des données de production, qualité et maintenance dans des fichiers CSV/Excel à partir des interfaces suivantes : 
-Historique des Arrêts :Durées et causes des arrêts.
-Détail Production et Historique par Shift :Quantités conformes, rebuts, total produit, temps de cycle net et effectif, durées de changement de série, durée de production, TRS.
-Détail Qualité :Défauts et quantités non conformes.
-Résumé OF :Synthèse complète des données de production, qualité, et maintenance par ordre de fabrication (OF).
</t>
  </si>
  <si>
    <t>E039</t>
  </si>
  <si>
    <t>Instruction de travail</t>
  </si>
  <si>
    <t>Mise à disposition de documents électroniques et d'instructions de travail pour guider les opérateurs tout au long du processus de production. Sur les postes critiques de l’unité.</t>
  </si>
  <si>
    <t>La solution offre un module "Instruction de travail" qui permet :
-Chargement : Importation des fichiers d'instructions.
-Catégorisation : Classification par qualité, maintenance, et production.
-Affectation : Attribution des instructions par ligne et produit.
-Gestion des Versions : Centralisation et gestion du versionnage des documents.
Accessibilité : Accès en temps réel aux instructions pour les opérateurs et l'équipe qualité.</t>
  </si>
  <si>
    <t>Exigence identifiée pendant la phase</t>
  </si>
  <si>
    <t>Oui/Non</t>
  </si>
  <si>
    <t>Statut Interne</t>
  </si>
  <si>
    <t>CdC client</t>
  </si>
  <si>
    <t>Oui</t>
  </si>
  <si>
    <t>Validée</t>
  </si>
  <si>
    <t>*** SF</t>
  </si>
  <si>
    <t>R&amp;D</t>
  </si>
  <si>
    <t>Performance</t>
  </si>
  <si>
    <t>Conception</t>
  </si>
  <si>
    <t>Non</t>
  </si>
  <si>
    <t>Non validée par client</t>
  </si>
  <si>
    <t>Non validée</t>
  </si>
  <si>
    <t>SF-Processus</t>
  </si>
  <si>
    <t>A définir</t>
  </si>
  <si>
    <t>Reglementaire</t>
  </si>
  <si>
    <t>Réalisation</t>
  </si>
  <si>
    <t>Workshop/réunion Interne</t>
  </si>
  <si>
    <t>Sécurité</t>
  </si>
  <si>
    <t>Mise en œuvre</t>
  </si>
  <si>
    <t>Standards client</t>
  </si>
  <si>
    <t>Standard Client</t>
  </si>
  <si>
    <t>Support et maintenance</t>
  </si>
  <si>
    <t>Standards MOMSOFT</t>
  </si>
  <si>
    <t>Standard MOMSOFT</t>
  </si>
  <si>
    <t>Reglementation</t>
  </si>
  <si>
    <t>SF-Software</t>
  </si>
  <si>
    <t>Demande modification</t>
  </si>
  <si>
    <t>SF-Infra IT</t>
  </si>
  <si>
    <t>*** TC</t>
  </si>
  <si>
    <t>TC-Prestations sur site client</t>
  </si>
  <si>
    <t xml:space="preserve"> </t>
  </si>
  <si>
    <t>Version</t>
  </si>
  <si>
    <t>Date</t>
  </si>
  <si>
    <t>Modifications</t>
  </si>
  <si>
    <t>Auteur(s)</t>
  </si>
  <si>
    <t>Vérificateur(s)</t>
  </si>
  <si>
    <t>Approbateur</t>
  </si>
  <si>
    <t>V1.0</t>
  </si>
  <si>
    <t xml:space="preserve">Version initiale </t>
  </si>
  <si>
    <t>Nihel K.</t>
  </si>
  <si>
    <t xml:space="preserve">Mahdi B. + Ferjania BA </t>
  </si>
  <si>
    <t>Imed A.</t>
  </si>
  <si>
    <t>V1.1</t>
  </si>
  <si>
    <t xml:space="preserve"> Adaptation des paramètres et du logo</t>
  </si>
  <si>
    <t>Moatez D.</t>
  </si>
  <si>
    <t>V1.2</t>
  </si>
  <si>
    <t xml:space="preserve"> Adaptation du logo</t>
  </si>
  <si>
    <r>
      <t xml:space="preserve">Ajouter une interface qui permet:
-La gestion des fiches des reworks par opération par OF
</t>
    </r>
    <r>
      <rPr>
        <sz val="12"/>
        <color rgb="FFFF0000"/>
        <rFont val="Calibri Light"/>
        <family val="2"/>
        <scheme val="major"/>
      </rPr>
      <t>-La qualification des piéces ( Conforme / Rebut )</t>
    </r>
    <r>
      <rPr>
        <sz val="12"/>
        <rFont val="Calibri Light"/>
        <family val="2"/>
        <scheme val="major"/>
      </rPr>
      <t xml:space="preserve">
</t>
    </r>
  </si>
  <si>
    <t>Ajouter une interface permettant :
-La gestion et l’historisation des fiches d’alerte.
-La notification des responsables qualité lors de la création d’une fiche d’alerte.</t>
  </si>
  <si>
    <t>La solution propose un module de gestion des gammes de contrôle offrant les fonctionnalités suivantes :
-Définition de gammes de contrôle: Configuration détaillée des critères de contrôle (visuels, dimensionnels), des paramètres de réglage du processus, des tolérances et des fréquences de génération des fiches.
-Génération automatisée de fiches de contrôle: Création automatique de fiches de démarrage, de fin de série et de suivi en fonction des événements de production (lancement, suspension, clôture d'OF) et des fréquences définies , ainsi que des fiches de suivi périodiques en fonction des fréquences définies.
Workflow de validation et suivi: Implémentation d'un workflow de validation multi-niveaux (opérateur, contrôleur qualité, etc.) et stockage d'un historique complet des fiches pour une traçabilité optimale.
Adaptation :
-Ajouter l’option de création des fiches de contrôle par événement (par exemple, un arrêt de type X).
-Ajouter la possibilité de joindre un rapport de contrôle laboratoire aux fiches de contrôle (fiche de suivi, fiche de démarrage et fiche de fin de série).
-Ajouter un accées rapide au instruction de travail a partir des fiches de contrôle (fiche de suivi, fiche de démarrage et fiche de fin de série).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</si>
</sst>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8"/>
      <name val="Arial"/>
    </font>
    <font>
      <sz val="12"/>
      <name val="Calibri Light"/>
      <family val="2"/>
      <scheme val="major"/>
    </font>
    <font>
      <b/>
      <sz val="12"/>
      <color rgb="FFFF0000"/>
      <name val="Calibri Light"/>
      <family val="2"/>
      <scheme val="major"/>
    </font>
    <font>
      <sz val="12"/>
      <color rgb="FF000000"/>
      <name val="Calibri Light"/>
      <family val="2"/>
    </font>
    <font>
      <sz val="12"/>
      <color rgb="FF000000"/>
      <name val="Calibri Light"/>
      <family val="2"/>
      <scheme val="major"/>
    </font>
    <font>
      <sz val="12"/>
      <color rgb="FFFF0000"/>
      <name val="Calibri Light"/>
      <family val="2"/>
      <scheme val="major"/>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4" tint="0.79998168889431442"/>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9">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3" borderId="1" xfId="0" applyFont="1" applyFill="1" applyBorder="1" applyAlignment="1">
      <alignment vertical="center" wrapText="1"/>
    </xf>
    <xf numFmtId="0" fontId="10" fillId="3" borderId="2" xfId="0" applyFont="1" applyFill="1" applyBorder="1" applyAlignment="1">
      <alignment vertical="center" wrapText="1"/>
    </xf>
    <xf numFmtId="0" fontId="10" fillId="3" borderId="3" xfId="0" applyFont="1" applyFill="1" applyBorder="1" applyAlignment="1">
      <alignment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5" fillId="5" borderId="4" xfId="0" applyFont="1" applyFill="1" applyBorder="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9" fillId="0" borderId="0" xfId="0" applyFont="1"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52">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2"/>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358589</xdr:colOff>
      <xdr:row>2</xdr:row>
      <xdr:rowOff>67237</xdr:rowOff>
    </xdr:from>
    <xdr:to>
      <xdr:col>2</xdr:col>
      <xdr:colOff>1495465</xdr:colOff>
      <xdr:row>2</xdr:row>
      <xdr:rowOff>716644</xdr:rowOff>
    </xdr:to>
    <xdr:pic>
      <xdr:nvPicPr>
        <xdr:cNvPr id="7" name="Image 6">
          <a:extLst>
            <a:ext uri="{FF2B5EF4-FFF2-40B4-BE49-F238E27FC236}">
              <a16:creationId xmlns:a16="http://schemas.microsoft.com/office/drawing/2014/main" id="{88CD8311-0E76-8DE2-2AA2-80DCD777524A}"/>
            </a:ext>
          </a:extLst>
        </xdr:cNvPr>
        <xdr:cNvPicPr>
          <a:picLocks noChangeAspect="1"/>
        </xdr:cNvPicPr>
      </xdr:nvPicPr>
      <xdr:blipFill>
        <a:blip xmlns:r="http://schemas.openxmlformats.org/officeDocument/2006/relationships" r:embed="rId1"/>
        <a:stretch>
          <a:fillRect/>
        </a:stretch>
      </xdr:blipFill>
      <xdr:spPr>
        <a:xfrm>
          <a:off x="1591236" y="515472"/>
          <a:ext cx="1140051" cy="64623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V52" totalsRowCount="1" headerRowDxfId="51" dataDxfId="50">
  <autoFilter ref="B13:V51" xr:uid="{DDEA2C8B-EE0D-4C55-9256-CCC64E002CE6}"/>
  <tableColumns count="21">
    <tableColumn id="1" xr3:uid="{E467E0EE-CDAA-4FF5-85A8-CDC0B23A5AD9}" name="ID" dataDxfId="49" totalsRowDxfId="48"/>
    <tableColumn id="2" xr3:uid="{E53952AC-4972-47BD-8B1D-C7EF23088D0D}" name="Intitulé Exigence" dataDxfId="47" totalsRowDxfId="46"/>
    <tableColumn id="8" xr3:uid="{B2D0BC2C-C803-4015-8FA6-70F84517BDB2}" name="Nature" dataDxfId="45" totalsRowDxfId="44"/>
    <tableColumn id="7" xr3:uid="{24F2F0ED-022E-4EC1-91D8-BFE0E4F2FD36}" name="Catégorie" dataDxfId="43" totalsRowDxfId="42"/>
    <tableColumn id="10" xr3:uid="{1FF81CF1-6D35-421C-8767-9E7FA06FEE6A}" name="Exigence idenfiée pendant la phase" dataDxfId="41" totalsRowDxfId="40"/>
    <tableColumn id="3" xr3:uid="{E7621A68-9552-4853-96A5-92A226EA42DD}" name="Description de l'exigence" dataDxfId="39" totalsRowDxfId="38"/>
    <tableColumn id="9" xr3:uid="{E6EEEC82-3576-4980-94B3-1423906CE531}" name="Source" dataDxfId="37" totalsRowDxfId="36"/>
    <tableColumn id="16" xr3:uid="{1441554A-79F9-4040-9CF5-AEBFF7ADF7D1}" name="Desciption de la solution MOMSOFT" dataDxfId="35" totalsRowDxfId="34"/>
    <tableColumn id="17" xr3:uid="{D1BC9C86-C3CE-417F-AC83-FC4786A7656D}" name="Ecart entre exigence client et la solution proposée - préciser aussi les limites et hypothèses si applicable" dataDxfId="33" totalsRowDxfId="32"/>
    <tableColumn id="5" xr3:uid="{2649C3B7-E8B9-44F9-8883-E5BB6F91B4B1}" name="Validation Interne" dataDxfId="31" totalsRowDxfId="30"/>
    <tableColumn id="6" xr3:uid="{8CC493F8-0886-498D-AB98-B77300CC6510}" name="Validation Interne par:" dataDxfId="29" totalsRowDxfId="28"/>
    <tableColumn id="15" xr3:uid="{78231C60-0932-4386-925D-4C689A91C0E3}" name="Statut Client" dataDxfId="27" totalsRowDxfId="26"/>
    <tableColumn id="22" xr3:uid="{D944A0FD-E468-407F-91A6-BD8A29086A7B}" name="HJ Dev" totalsRowFunction="sum" dataDxfId="25" totalsRowDxfId="24"/>
    <tableColumn id="21" xr3:uid="{818C68C5-1CC3-4DC9-9BB8-2CB7816ABE9F}" name="HJ Analyse et Test" totalsRowFunction="sum" dataDxfId="23" totalsRowDxfId="22">
      <calculatedColumnFormula>Tableau3[[#This Row],[HJ Dev]]*(25%+25%)</calculatedColumnFormula>
    </tableColumn>
    <tableColumn id="20" xr3:uid="{81CB5860-4285-4425-ABF9-C91F3323BF25}" name="Total HJ" totalsRowFunction="sum" dataDxfId="21" totalsRowDxfId="20">
      <calculatedColumnFormula>Tableau3[[#This Row],[HJ Analyse et Test]]+Tableau3[[#This Row],[HJ Dev]]</calculatedColumnFormula>
    </tableColumn>
    <tableColumn id="11" xr3:uid="{20685332-73A9-4B9D-874E-F1C9F770405F}" name="Description comment la conception de la solution prend en compte l'exigence client" dataDxfId="19" totalsRowDxfId="18"/>
    <tableColumn id="12" xr3:uid="{36B390F4-625A-46E1-864B-7108903FFD96}" name="Conception réalisée par:" dataDxfId="17" totalsRowDxfId="16"/>
    <tableColumn id="13" xr3:uid="{9016419E-83A5-4950-AB28-EA27A0D72FAD}" name="Revue conception réalisée par" dataDxfId="15" totalsRowDxfId="14"/>
    <tableColumn id="14" xr3:uid="{B5F29B7E-09EB-43EF-BD3D-9ADF38F7CC12}" name="Vérification de la conception réalisée par" dataDxfId="13" totalsRowDxfId="12"/>
    <tableColumn id="18" xr3:uid="{0CA25C90-64D6-43D5-90C8-CE6D70CCA638}" name="Preuve de vérification " dataDxfId="11" totalsRowDxfId="10"/>
    <tableColumn id="4" xr3:uid="{B7406A3A-A365-4F76-9A20-372573D19BC9}" name="Notes" dataDxfId="9" totalsRowDxfId="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D2C8-04DA-4F1F-ACD1-FC1ABC271A02}">
  <dimension ref="B6:B10"/>
  <sheetViews>
    <sheetView workbookViewId="0">
      <selection activeCell="E9" sqref="E9"/>
    </sheetView>
  </sheetViews>
  <sheetFormatPr baseColWidth="10" defaultColWidth="11.453125" defaultRowHeight="12.5" x14ac:dyDescent="0.25"/>
  <sheetData>
    <row r="6" spans="2:2" x14ac:dyDescent="0.25">
      <c r="B6" t="s">
        <v>0</v>
      </c>
    </row>
    <row r="7" spans="2:2" x14ac:dyDescent="0.25">
      <c r="B7" t="s">
        <v>1</v>
      </c>
    </row>
    <row r="8" spans="2:2" x14ac:dyDescent="0.25">
      <c r="B8" t="s">
        <v>2</v>
      </c>
    </row>
    <row r="9" spans="2:2" x14ac:dyDescent="0.25">
      <c r="B9" t="s">
        <v>3</v>
      </c>
    </row>
    <row r="10" spans="2:2" x14ac:dyDescent="0.25">
      <c r="B10"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V52"/>
  <sheetViews>
    <sheetView tabSelected="1" topLeftCell="A47" zoomScale="86" zoomScaleNormal="86" workbookViewId="0">
      <selection activeCell="C48" sqref="C48:J48"/>
    </sheetView>
  </sheetViews>
  <sheetFormatPr baseColWidth="10" defaultColWidth="11.453125" defaultRowHeight="13" x14ac:dyDescent="0.3"/>
  <cols>
    <col min="1" max="1" width="11.453125" style="1"/>
    <col min="2" max="2" width="6.1796875" style="1" customWidth="1"/>
    <col min="3" max="3" width="27.453125" style="1" customWidth="1"/>
    <col min="4" max="4" width="34.1796875" style="1" customWidth="1"/>
    <col min="5" max="5" width="18.26953125" style="1" customWidth="1"/>
    <col min="6" max="6" width="19.453125" style="1" customWidth="1"/>
    <col min="7" max="7" width="56.54296875" style="1" customWidth="1"/>
    <col min="8" max="8" width="18.453125" style="1" customWidth="1"/>
    <col min="9" max="9" width="56.54296875" style="1" customWidth="1"/>
    <col min="10" max="10" width="61" style="1" customWidth="1"/>
    <col min="11" max="12" width="13.54296875" style="1" customWidth="1"/>
    <col min="13" max="13" width="15.26953125" style="1" customWidth="1"/>
    <col min="14" max="14" width="11.81640625" style="1" customWidth="1"/>
    <col min="15" max="15" width="15.453125" style="1" customWidth="1"/>
    <col min="16" max="16" width="13.7265625" style="1" customWidth="1"/>
    <col min="17" max="17" width="39.81640625" style="1" customWidth="1"/>
    <col min="18" max="18" width="15.7265625" style="1" customWidth="1"/>
    <col min="19" max="19" width="20.54296875" style="1" customWidth="1"/>
    <col min="20" max="20" width="20.1796875" style="1" customWidth="1"/>
    <col min="21" max="21" width="15.1796875" style="1" customWidth="1"/>
    <col min="22" max="22" width="30.81640625" style="1" customWidth="1"/>
    <col min="23" max="16384" width="11.453125" style="1"/>
  </cols>
  <sheetData>
    <row r="1" spans="2:22" ht="13.5" thickBot="1" x14ac:dyDescent="0.35"/>
    <row r="2" spans="2:22" ht="21.75" customHeight="1" thickBot="1" x14ac:dyDescent="0.5">
      <c r="B2" s="40" t="s">
        <v>5</v>
      </c>
      <c r="C2" s="41"/>
      <c r="D2" s="41"/>
      <c r="E2" s="41"/>
      <c r="F2" s="41"/>
      <c r="G2" s="41"/>
      <c r="H2" s="41"/>
      <c r="I2" s="41"/>
      <c r="J2" s="41"/>
      <c r="K2" s="41"/>
      <c r="L2" s="41"/>
      <c r="M2" s="42"/>
      <c r="N2" s="43" t="s">
        <v>6</v>
      </c>
      <c r="O2" s="44"/>
      <c r="P2" s="45"/>
      <c r="Q2" s="37" t="s">
        <v>7</v>
      </c>
      <c r="R2" s="38"/>
      <c r="S2" s="38"/>
      <c r="T2" s="38"/>
      <c r="U2" s="38"/>
      <c r="V2" s="39"/>
    </row>
    <row r="3" spans="2:22" ht="63" customHeight="1" x14ac:dyDescent="0.3">
      <c r="C3" s="8"/>
      <c r="D3" s="8"/>
      <c r="E3" s="8"/>
      <c r="F3" s="8"/>
      <c r="G3" s="8"/>
      <c r="H3" s="8"/>
      <c r="I3" s="8"/>
    </row>
    <row r="4" spans="2:22" ht="21" customHeight="1" x14ac:dyDescent="0.3">
      <c r="B4" s="30" t="s">
        <v>8</v>
      </c>
      <c r="C4" s="8"/>
      <c r="D4" s="32" t="s">
        <v>9</v>
      </c>
      <c r="E4" s="8"/>
      <c r="F4" s="8"/>
      <c r="G4" s="8"/>
      <c r="H4" s="8"/>
      <c r="I4" s="8"/>
    </row>
    <row r="5" spans="2:22" ht="21.75" customHeight="1" x14ac:dyDescent="0.35">
      <c r="B5" s="27" t="s">
        <v>0</v>
      </c>
      <c r="D5" s="3" t="s">
        <v>10</v>
      </c>
      <c r="E5" s="3"/>
      <c r="F5" s="3"/>
      <c r="G5" s="3"/>
      <c r="H5" s="3"/>
      <c r="I5" s="3"/>
    </row>
    <row r="6" spans="2:22" ht="21" customHeight="1" x14ac:dyDescent="0.35">
      <c r="B6" s="27" t="s">
        <v>11</v>
      </c>
      <c r="D6" s="3" t="s">
        <v>12</v>
      </c>
      <c r="E6" s="3"/>
      <c r="F6" s="3"/>
      <c r="G6" s="3"/>
      <c r="H6" s="3"/>
      <c r="I6" s="3"/>
    </row>
    <row r="7" spans="2:22" ht="20.5" customHeight="1" thickBot="1" x14ac:dyDescent="0.4">
      <c r="B7" s="27" t="s">
        <v>13</v>
      </c>
      <c r="D7" s="3" t="s">
        <v>14</v>
      </c>
      <c r="E7" s="3"/>
      <c r="F7" s="3"/>
      <c r="G7" s="31" t="s">
        <v>15</v>
      </c>
      <c r="H7" s="3"/>
      <c r="I7" s="3"/>
    </row>
    <row r="8" spans="2:22" ht="21.65" customHeight="1" x14ac:dyDescent="0.35">
      <c r="B8" s="27" t="s">
        <v>16</v>
      </c>
      <c r="D8" s="3" t="s">
        <v>17</v>
      </c>
      <c r="E8" s="3"/>
      <c r="F8" s="3"/>
      <c r="G8" s="3"/>
      <c r="H8" s="3"/>
      <c r="I8" s="3"/>
    </row>
    <row r="9" spans="2:22" ht="14.5" x14ac:dyDescent="0.35">
      <c r="C9" s="3"/>
      <c r="D9" s="24"/>
      <c r="E9" s="24"/>
      <c r="F9" s="24"/>
      <c r="G9" s="24"/>
      <c r="H9" s="24"/>
      <c r="I9" s="24"/>
    </row>
    <row r="10" spans="2:22" x14ac:dyDescent="0.3">
      <c r="B10" s="28" t="s">
        <v>18</v>
      </c>
      <c r="C10" s="29"/>
      <c r="D10" s="28" t="s">
        <v>19</v>
      </c>
      <c r="E10" s="9"/>
      <c r="F10" s="9"/>
      <c r="I10" s="21" t="s">
        <v>20</v>
      </c>
    </row>
    <row r="11" spans="2:22" x14ac:dyDescent="0.3">
      <c r="B11" s="28" t="s">
        <v>21</v>
      </c>
      <c r="C11" s="29"/>
      <c r="D11" s="28" t="s">
        <v>22</v>
      </c>
      <c r="E11" s="9"/>
      <c r="F11" s="9"/>
    </row>
    <row r="12" spans="2:22" ht="13.5" thickBot="1" x14ac:dyDescent="0.35"/>
    <row r="13" spans="2:22" s="10" customFormat="1" ht="26.5" thickBot="1" x14ac:dyDescent="0.3">
      <c r="B13" s="18" t="s">
        <v>23</v>
      </c>
      <c r="C13" s="19" t="s">
        <v>24</v>
      </c>
      <c r="D13" s="19" t="s">
        <v>25</v>
      </c>
      <c r="E13" s="19" t="s">
        <v>26</v>
      </c>
      <c r="F13" s="19" t="s">
        <v>27</v>
      </c>
      <c r="G13" s="19" t="s">
        <v>28</v>
      </c>
      <c r="H13" s="19" t="s">
        <v>29</v>
      </c>
      <c r="I13" s="19" t="s">
        <v>30</v>
      </c>
      <c r="J13" s="19" t="s">
        <v>31</v>
      </c>
      <c r="K13" s="19" t="s">
        <v>32</v>
      </c>
      <c r="L13" s="19" t="s">
        <v>33</v>
      </c>
      <c r="M13" s="20" t="s">
        <v>34</v>
      </c>
      <c r="N13" s="14" t="s">
        <v>35</v>
      </c>
      <c r="O13" s="14" t="s">
        <v>36</v>
      </c>
      <c r="P13" s="14" t="s">
        <v>37</v>
      </c>
      <c r="Q13" s="15" t="s">
        <v>38</v>
      </c>
      <c r="R13" s="16" t="s">
        <v>39</v>
      </c>
      <c r="S13" s="16" t="s">
        <v>40</v>
      </c>
      <c r="T13" s="16" t="s">
        <v>41</v>
      </c>
      <c r="U13" s="16" t="s">
        <v>42</v>
      </c>
      <c r="V13" s="17" t="s">
        <v>43</v>
      </c>
    </row>
    <row r="14" spans="2:22" s="10" customFormat="1" ht="255" customHeight="1" x14ac:dyDescent="0.25">
      <c r="B14" s="34" t="s">
        <v>44</v>
      </c>
      <c r="C14" s="34" t="s">
        <v>45</v>
      </c>
      <c r="D14" s="34" t="s">
        <v>46</v>
      </c>
      <c r="E14" s="34" t="s">
        <v>47</v>
      </c>
      <c r="F14" s="34" t="s">
        <v>48</v>
      </c>
      <c r="G14" s="34" t="s">
        <v>49</v>
      </c>
      <c r="H14" s="34" t="s">
        <v>50</v>
      </c>
      <c r="I14" s="34" t="s">
        <v>51</v>
      </c>
      <c r="J14" s="34" t="s">
        <v>52</v>
      </c>
      <c r="K14" s="34" t="s">
        <v>53</v>
      </c>
      <c r="L14" s="34" t="s">
        <v>54</v>
      </c>
      <c r="M14" s="10" t="s">
        <v>55</v>
      </c>
      <c r="N14" s="10">
        <v>0</v>
      </c>
      <c r="O14" s="10">
        <f>Tableau3[[#This Row],[HJ Dev]]*(25%+25%)</f>
        <v>0</v>
      </c>
      <c r="P14" s="10">
        <f>Tableau3[[#This Row],[HJ Analyse et Test]]+Tableau3[[#This Row],[HJ Dev]]</f>
        <v>0</v>
      </c>
      <c r="Q14" s="10" t="s">
        <v>56</v>
      </c>
      <c r="R14" s="10" t="s">
        <v>56</v>
      </c>
      <c r="S14" s="10" t="s">
        <v>56</v>
      </c>
      <c r="T14" s="10" t="s">
        <v>56</v>
      </c>
      <c r="U14" s="10" t="s">
        <v>56</v>
      </c>
    </row>
    <row r="15" spans="2:22" s="10" customFormat="1" ht="101.5" customHeight="1" x14ac:dyDescent="0.25">
      <c r="B15" s="34" t="s">
        <v>57</v>
      </c>
      <c r="C15" s="34" t="s">
        <v>58</v>
      </c>
      <c r="D15" s="34" t="s">
        <v>46</v>
      </c>
      <c r="E15" s="34" t="s">
        <v>59</v>
      </c>
      <c r="F15" s="34" t="s">
        <v>48</v>
      </c>
      <c r="G15" s="34" t="s">
        <v>60</v>
      </c>
      <c r="H15" s="34" t="s">
        <v>50</v>
      </c>
      <c r="I15" s="34" t="s">
        <v>51</v>
      </c>
      <c r="J15" s="34" t="s">
        <v>61</v>
      </c>
      <c r="K15" s="34" t="s">
        <v>53</v>
      </c>
      <c r="L15" s="34" t="s">
        <v>54</v>
      </c>
      <c r="M15" s="10" t="s">
        <v>55</v>
      </c>
      <c r="N15" s="10">
        <v>0</v>
      </c>
      <c r="O15" s="10">
        <f>Tableau3[[#This Row],[HJ Dev]]*(25%+25%)</f>
        <v>0</v>
      </c>
      <c r="P15" s="10">
        <f>Tableau3[[#This Row],[HJ Analyse et Test]]+Tableau3[[#This Row],[HJ Dev]]</f>
        <v>0</v>
      </c>
      <c r="Q15" s="10" t="s">
        <v>56</v>
      </c>
      <c r="R15" s="10" t="s">
        <v>56</v>
      </c>
      <c r="S15" s="10" t="s">
        <v>56</v>
      </c>
      <c r="T15" s="10" t="s">
        <v>56</v>
      </c>
      <c r="U15" s="10" t="s">
        <v>56</v>
      </c>
    </row>
    <row r="16" spans="2:22" s="10" customFormat="1" ht="58.5" customHeight="1" x14ac:dyDescent="0.25">
      <c r="B16" s="34" t="s">
        <v>62</v>
      </c>
      <c r="C16" s="34" t="s">
        <v>63</v>
      </c>
      <c r="D16" s="34" t="s">
        <v>46</v>
      </c>
      <c r="E16" s="34" t="s">
        <v>59</v>
      </c>
      <c r="F16" s="34" t="s">
        <v>48</v>
      </c>
      <c r="G16" s="34" t="s">
        <v>63</v>
      </c>
      <c r="H16" s="34" t="s">
        <v>50</v>
      </c>
      <c r="I16" s="34" t="s">
        <v>64</v>
      </c>
      <c r="J16" s="34" t="s">
        <v>65</v>
      </c>
      <c r="K16" s="34" t="s">
        <v>53</v>
      </c>
      <c r="L16" s="34" t="s">
        <v>54</v>
      </c>
      <c r="M16" s="10" t="s">
        <v>55</v>
      </c>
      <c r="N16" s="10">
        <v>1.5</v>
      </c>
      <c r="O16" s="10">
        <f>Tableau3[[#This Row],[HJ Dev]]*(25%+25%)</f>
        <v>0.75</v>
      </c>
      <c r="P16" s="10">
        <f>Tableau3[[#This Row],[HJ Analyse et Test]]+Tableau3[[#This Row],[HJ Dev]]</f>
        <v>2.25</v>
      </c>
    </row>
    <row r="17" spans="2:22" s="10" customFormat="1" ht="55.5" customHeight="1" x14ac:dyDescent="0.25">
      <c r="B17" s="34" t="s">
        <v>66</v>
      </c>
      <c r="C17" s="34" t="s">
        <v>67</v>
      </c>
      <c r="D17" s="34" t="s">
        <v>46</v>
      </c>
      <c r="E17" s="34" t="s">
        <v>59</v>
      </c>
      <c r="F17" s="34" t="s">
        <v>48</v>
      </c>
      <c r="G17" s="34" t="s">
        <v>67</v>
      </c>
      <c r="H17" s="34" t="s">
        <v>50</v>
      </c>
      <c r="I17" s="34" t="s">
        <v>68</v>
      </c>
      <c r="J17" s="34" t="s">
        <v>69</v>
      </c>
      <c r="K17" s="34" t="s">
        <v>53</v>
      </c>
      <c r="L17" s="34" t="s">
        <v>54</v>
      </c>
      <c r="M17" s="10" t="s">
        <v>55</v>
      </c>
      <c r="N17" s="10">
        <v>1</v>
      </c>
      <c r="O17" s="10">
        <f>Tableau3[[#This Row],[HJ Dev]]*(25%+25%)</f>
        <v>0.5</v>
      </c>
      <c r="P17" s="10">
        <f>Tableau3[[#This Row],[HJ Analyse et Test]]+Tableau3[[#This Row],[HJ Dev]]</f>
        <v>1.5</v>
      </c>
    </row>
    <row r="18" spans="2:22" s="10" customFormat="1" ht="68.5" customHeight="1" x14ac:dyDescent="0.25">
      <c r="B18" s="34" t="s">
        <v>70</v>
      </c>
      <c r="C18" s="34" t="s">
        <v>71</v>
      </c>
      <c r="D18" s="34" t="s">
        <v>46</v>
      </c>
      <c r="E18" s="34" t="s">
        <v>59</v>
      </c>
      <c r="F18" s="34" t="s">
        <v>48</v>
      </c>
      <c r="G18" s="34" t="s">
        <v>72</v>
      </c>
      <c r="H18" s="34" t="s">
        <v>50</v>
      </c>
      <c r="I18" s="34" t="s">
        <v>73</v>
      </c>
      <c r="J18" s="34" t="s">
        <v>74</v>
      </c>
      <c r="K18" s="34" t="s">
        <v>53</v>
      </c>
      <c r="L18" s="34" t="s">
        <v>54</v>
      </c>
      <c r="M18" s="10" t="s">
        <v>55</v>
      </c>
      <c r="N18" s="10">
        <v>1.5</v>
      </c>
      <c r="O18" s="10">
        <f>Tableau3[[#This Row],[HJ Dev]]*(25%+25%)</f>
        <v>0.75</v>
      </c>
      <c r="P18" s="10">
        <f>Tableau3[[#This Row],[HJ Analyse et Test]]+Tableau3[[#This Row],[HJ Dev]]</f>
        <v>2.25</v>
      </c>
    </row>
    <row r="19" spans="2:22" ht="133" customHeight="1" x14ac:dyDescent="0.3">
      <c r="B19" s="34" t="s">
        <v>75</v>
      </c>
      <c r="C19" s="34" t="s">
        <v>76</v>
      </c>
      <c r="D19" s="34" t="s">
        <v>46</v>
      </c>
      <c r="E19" s="34" t="s">
        <v>59</v>
      </c>
      <c r="F19" s="34" t="s">
        <v>48</v>
      </c>
      <c r="G19" s="34" t="s">
        <v>77</v>
      </c>
      <c r="H19" s="34" t="s">
        <v>50</v>
      </c>
      <c r="I19" s="34" t="s">
        <v>78</v>
      </c>
      <c r="J19" s="34" t="s">
        <v>79</v>
      </c>
      <c r="K19" s="34" t="s">
        <v>53</v>
      </c>
      <c r="L19" s="34" t="s">
        <v>54</v>
      </c>
      <c r="M19" s="10" t="s">
        <v>55</v>
      </c>
      <c r="N19" s="10">
        <v>1</v>
      </c>
      <c r="O19" s="10">
        <f>Tableau3[[#This Row],[HJ Dev]]*(25%+25%)</f>
        <v>0.5</v>
      </c>
      <c r="P19" s="10">
        <f>Tableau3[[#This Row],[HJ Analyse et Test]]+Tableau3[[#This Row],[HJ Dev]]</f>
        <v>1.5</v>
      </c>
      <c r="Q19" s="10"/>
      <c r="R19" s="10"/>
      <c r="S19" s="10"/>
      <c r="T19" s="10"/>
      <c r="U19" s="10"/>
      <c r="V19" s="10"/>
    </row>
    <row r="20" spans="2:22" ht="62" x14ac:dyDescent="0.3">
      <c r="B20" s="34" t="s">
        <v>80</v>
      </c>
      <c r="C20" s="34" t="s">
        <v>81</v>
      </c>
      <c r="D20" s="34" t="s">
        <v>46</v>
      </c>
      <c r="E20" s="34" t="s">
        <v>59</v>
      </c>
      <c r="F20" s="34" t="s">
        <v>48</v>
      </c>
      <c r="G20" s="34" t="s">
        <v>82</v>
      </c>
      <c r="H20" s="34" t="s">
        <v>50</v>
      </c>
      <c r="I20" s="34" t="s">
        <v>83</v>
      </c>
      <c r="J20" s="34" t="s">
        <v>84</v>
      </c>
      <c r="K20" s="34" t="s">
        <v>53</v>
      </c>
      <c r="L20" s="34" t="s">
        <v>54</v>
      </c>
      <c r="M20" s="10" t="s">
        <v>55</v>
      </c>
      <c r="N20" s="10">
        <v>1</v>
      </c>
      <c r="O20" s="10">
        <f>Tableau3[[#This Row],[HJ Dev]]*(25%+25%)</f>
        <v>0.5</v>
      </c>
      <c r="P20" s="10">
        <f>Tableau3[[#This Row],[HJ Analyse et Test]]+Tableau3[[#This Row],[HJ Dev]]</f>
        <v>1.5</v>
      </c>
      <c r="Q20" s="10"/>
      <c r="R20" s="10"/>
      <c r="S20" s="10"/>
      <c r="T20" s="10"/>
      <c r="U20" s="10"/>
      <c r="V20" s="10"/>
    </row>
    <row r="21" spans="2:22" ht="326.14999999999998" customHeight="1" x14ac:dyDescent="0.3">
      <c r="B21" s="34" t="s">
        <v>85</v>
      </c>
      <c r="C21" s="34" t="s">
        <v>86</v>
      </c>
      <c r="D21" s="34" t="s">
        <v>46</v>
      </c>
      <c r="E21" s="34" t="s">
        <v>59</v>
      </c>
      <c r="F21" s="34" t="s">
        <v>48</v>
      </c>
      <c r="G21" s="34" t="s">
        <v>87</v>
      </c>
      <c r="H21" s="34" t="s">
        <v>50</v>
      </c>
      <c r="I21" s="34" t="s">
        <v>88</v>
      </c>
      <c r="J21" s="34" t="s">
        <v>89</v>
      </c>
      <c r="K21" s="34" t="s">
        <v>53</v>
      </c>
      <c r="L21" s="34" t="s">
        <v>54</v>
      </c>
      <c r="M21" s="10" t="s">
        <v>55</v>
      </c>
      <c r="N21" s="10">
        <v>2</v>
      </c>
      <c r="O21" s="10">
        <f>Tableau3[[#This Row],[HJ Dev]]*(25%+25%)</f>
        <v>1</v>
      </c>
      <c r="P21" s="10">
        <f>Tableau3[[#This Row],[HJ Analyse et Test]]+Tableau3[[#This Row],[HJ Dev]]</f>
        <v>3</v>
      </c>
      <c r="Q21" s="10" t="s">
        <v>56</v>
      </c>
      <c r="R21" s="10" t="s">
        <v>56</v>
      </c>
      <c r="S21" s="10" t="s">
        <v>56</v>
      </c>
      <c r="T21" s="10" t="s">
        <v>56</v>
      </c>
      <c r="U21" s="10" t="s">
        <v>56</v>
      </c>
      <c r="V21" s="10"/>
    </row>
    <row r="22" spans="2:22" ht="46.5" x14ac:dyDescent="0.3">
      <c r="B22" s="34" t="s">
        <v>90</v>
      </c>
      <c r="C22" s="34" t="s">
        <v>91</v>
      </c>
      <c r="D22" s="34" t="s">
        <v>46</v>
      </c>
      <c r="E22" s="34" t="s">
        <v>59</v>
      </c>
      <c r="F22" s="34" t="s">
        <v>48</v>
      </c>
      <c r="G22" s="34" t="s">
        <v>92</v>
      </c>
      <c r="H22" s="34" t="s">
        <v>50</v>
      </c>
      <c r="I22" s="34" t="s">
        <v>93</v>
      </c>
      <c r="J22" s="34" t="s">
        <v>94</v>
      </c>
      <c r="K22" s="34" t="s">
        <v>53</v>
      </c>
      <c r="L22" s="34" t="s">
        <v>54</v>
      </c>
      <c r="M22" s="10" t="s">
        <v>55</v>
      </c>
      <c r="N22" s="10">
        <v>1</v>
      </c>
      <c r="O22" s="10">
        <f>Tableau3[[#This Row],[HJ Dev]]*(25%+25%)</f>
        <v>0.5</v>
      </c>
      <c r="P22" s="10">
        <f>Tableau3[[#This Row],[HJ Analyse et Test]]+Tableau3[[#This Row],[HJ Dev]]</f>
        <v>1.5</v>
      </c>
      <c r="Q22" s="10" t="s">
        <v>56</v>
      </c>
      <c r="R22" s="10" t="s">
        <v>56</v>
      </c>
      <c r="S22" s="10" t="s">
        <v>56</v>
      </c>
      <c r="T22" s="10" t="s">
        <v>56</v>
      </c>
      <c r="U22" s="10" t="s">
        <v>56</v>
      </c>
      <c r="V22" s="10"/>
    </row>
    <row r="23" spans="2:22" ht="62" x14ac:dyDescent="0.3">
      <c r="B23" s="34" t="s">
        <v>95</v>
      </c>
      <c r="C23" s="34" t="s">
        <v>96</v>
      </c>
      <c r="D23" s="34" t="s">
        <v>46</v>
      </c>
      <c r="E23" s="34" t="s">
        <v>47</v>
      </c>
      <c r="F23" s="34" t="s">
        <v>48</v>
      </c>
      <c r="G23" s="34" t="s">
        <v>97</v>
      </c>
      <c r="H23" s="34" t="s">
        <v>50</v>
      </c>
      <c r="I23" s="34" t="s">
        <v>98</v>
      </c>
      <c r="J23" s="34" t="s">
        <v>99</v>
      </c>
      <c r="K23" s="34" t="s">
        <v>53</v>
      </c>
      <c r="L23" s="34" t="s">
        <v>54</v>
      </c>
      <c r="M23" s="10" t="s">
        <v>55</v>
      </c>
      <c r="N23" s="10">
        <v>1</v>
      </c>
      <c r="O23" s="10">
        <f>Tableau3[[#This Row],[HJ Dev]]*(25%+25%)</f>
        <v>0.5</v>
      </c>
      <c r="P23" s="10">
        <f>Tableau3[[#This Row],[HJ Analyse et Test]]+Tableau3[[#This Row],[HJ Dev]]</f>
        <v>1.5</v>
      </c>
      <c r="Q23" s="10" t="s">
        <v>56</v>
      </c>
      <c r="R23" s="10" t="s">
        <v>56</v>
      </c>
      <c r="S23" s="10" t="s">
        <v>56</v>
      </c>
      <c r="T23" s="10" t="s">
        <v>56</v>
      </c>
      <c r="U23" s="10" t="s">
        <v>56</v>
      </c>
      <c r="V23" s="10"/>
    </row>
    <row r="24" spans="2:22" ht="272.14999999999998" customHeight="1" x14ac:dyDescent="0.3">
      <c r="B24" s="34" t="s">
        <v>100</v>
      </c>
      <c r="C24" s="34" t="s">
        <v>101</v>
      </c>
      <c r="D24" s="34" t="s">
        <v>46</v>
      </c>
      <c r="E24" s="34" t="s">
        <v>47</v>
      </c>
      <c r="F24" s="34" t="s">
        <v>48</v>
      </c>
      <c r="G24" s="34" t="s">
        <v>102</v>
      </c>
      <c r="H24" s="34" t="s">
        <v>50</v>
      </c>
      <c r="I24" s="34" t="s">
        <v>103</v>
      </c>
      <c r="J24" s="34" t="s">
        <v>104</v>
      </c>
      <c r="K24" s="34" t="s">
        <v>53</v>
      </c>
      <c r="L24" s="34" t="s">
        <v>54</v>
      </c>
      <c r="M24" s="10" t="s">
        <v>55</v>
      </c>
      <c r="N24" s="10">
        <v>2</v>
      </c>
      <c r="O24" s="10">
        <f>Tableau3[[#This Row],[HJ Dev]]*(25%+25%)</f>
        <v>1</v>
      </c>
      <c r="P24" s="10">
        <f>Tableau3[[#This Row],[HJ Analyse et Test]]+Tableau3[[#This Row],[HJ Dev]]</f>
        <v>3</v>
      </c>
      <c r="Q24" s="10" t="s">
        <v>56</v>
      </c>
      <c r="R24" s="10" t="s">
        <v>56</v>
      </c>
      <c r="S24" s="10" t="s">
        <v>56</v>
      </c>
      <c r="T24" s="10" t="s">
        <v>56</v>
      </c>
      <c r="U24" s="10" t="s">
        <v>56</v>
      </c>
      <c r="V24" s="10"/>
    </row>
    <row r="25" spans="2:22" ht="313" customHeight="1" x14ac:dyDescent="0.3">
      <c r="B25" s="34" t="s">
        <v>105</v>
      </c>
      <c r="C25" s="34" t="s">
        <v>106</v>
      </c>
      <c r="D25" s="34" t="s">
        <v>46</v>
      </c>
      <c r="E25" s="34" t="s">
        <v>59</v>
      </c>
      <c r="F25" s="34" t="s">
        <v>48</v>
      </c>
      <c r="G25" s="34" t="s">
        <v>107</v>
      </c>
      <c r="H25" s="34" t="s">
        <v>50</v>
      </c>
      <c r="I25" s="34" t="s">
        <v>108</v>
      </c>
      <c r="J25" s="34" t="s">
        <v>109</v>
      </c>
      <c r="K25" s="34" t="s">
        <v>53</v>
      </c>
      <c r="L25" s="34" t="s">
        <v>54</v>
      </c>
      <c r="M25" s="10" t="s">
        <v>55</v>
      </c>
      <c r="N25" s="10">
        <v>1</v>
      </c>
      <c r="O25" s="10">
        <f>Tableau3[[#This Row],[HJ Dev]]*(25%+25%)</f>
        <v>0.5</v>
      </c>
      <c r="P25" s="10">
        <f>Tableau3[[#This Row],[HJ Analyse et Test]]+Tableau3[[#This Row],[HJ Dev]]</f>
        <v>1.5</v>
      </c>
      <c r="Q25" s="10" t="s">
        <v>56</v>
      </c>
      <c r="R25" s="10" t="s">
        <v>56</v>
      </c>
      <c r="S25" s="10" t="s">
        <v>56</v>
      </c>
      <c r="T25" s="10" t="s">
        <v>56</v>
      </c>
      <c r="U25" s="10" t="s">
        <v>56</v>
      </c>
      <c r="V25" s="10"/>
    </row>
    <row r="26" spans="2:22" ht="326" customHeight="1" x14ac:dyDescent="0.3">
      <c r="B26" s="34" t="s">
        <v>110</v>
      </c>
      <c r="C26" s="34" t="s">
        <v>111</v>
      </c>
      <c r="D26" s="34" t="s">
        <v>46</v>
      </c>
      <c r="E26" s="34" t="s">
        <v>47</v>
      </c>
      <c r="F26" s="34" t="s">
        <v>48</v>
      </c>
      <c r="G26" s="34" t="s">
        <v>112</v>
      </c>
      <c r="H26" s="34" t="s">
        <v>50</v>
      </c>
      <c r="I26" s="34" t="s">
        <v>51</v>
      </c>
      <c r="J26" s="34" t="s">
        <v>113</v>
      </c>
      <c r="K26" s="34" t="s">
        <v>53</v>
      </c>
      <c r="L26" s="34" t="s">
        <v>54</v>
      </c>
      <c r="M26" s="10" t="s">
        <v>55</v>
      </c>
      <c r="N26" s="10">
        <v>0</v>
      </c>
      <c r="O26" s="10">
        <f>Tableau3[[#This Row],[HJ Dev]]*(25%+25%)</f>
        <v>0</v>
      </c>
      <c r="P26" s="10">
        <f>Tableau3[[#This Row],[HJ Analyse et Test]]+Tableau3[[#This Row],[HJ Dev]]</f>
        <v>0</v>
      </c>
      <c r="Q26" s="10" t="s">
        <v>56</v>
      </c>
      <c r="R26" s="10" t="s">
        <v>56</v>
      </c>
      <c r="S26" s="10" t="s">
        <v>56</v>
      </c>
      <c r="T26" s="10" t="s">
        <v>56</v>
      </c>
      <c r="U26" s="10" t="s">
        <v>56</v>
      </c>
      <c r="V26" s="10"/>
    </row>
    <row r="27" spans="2:22" ht="273.64999999999998" customHeight="1" x14ac:dyDescent="0.3">
      <c r="B27" s="34" t="s">
        <v>114</v>
      </c>
      <c r="C27" s="34" t="s">
        <v>115</v>
      </c>
      <c r="D27" s="34" t="s">
        <v>46</v>
      </c>
      <c r="E27" s="34" t="s">
        <v>47</v>
      </c>
      <c r="F27" s="34" t="s">
        <v>48</v>
      </c>
      <c r="G27" s="34" t="s">
        <v>116</v>
      </c>
      <c r="H27" s="34" t="s">
        <v>50</v>
      </c>
      <c r="I27" s="34" t="s">
        <v>117</v>
      </c>
      <c r="J27" s="34" t="s">
        <v>118</v>
      </c>
      <c r="K27" s="34" t="s">
        <v>53</v>
      </c>
      <c r="L27" s="34" t="s">
        <v>54</v>
      </c>
      <c r="M27" s="10" t="s">
        <v>55</v>
      </c>
      <c r="N27" s="10">
        <v>3</v>
      </c>
      <c r="O27" s="10">
        <f>Tableau3[[#This Row],[HJ Dev]]*(25%+25%)</f>
        <v>1.5</v>
      </c>
      <c r="P27" s="10">
        <f>Tableau3[[#This Row],[HJ Analyse et Test]]+Tableau3[[#This Row],[HJ Dev]]</f>
        <v>4.5</v>
      </c>
      <c r="Q27" s="10" t="s">
        <v>56</v>
      </c>
      <c r="R27" s="10" t="s">
        <v>56</v>
      </c>
      <c r="S27" s="10" t="s">
        <v>56</v>
      </c>
      <c r="T27" s="10" t="s">
        <v>56</v>
      </c>
      <c r="U27" s="10" t="s">
        <v>56</v>
      </c>
      <c r="V27" s="10"/>
    </row>
    <row r="28" spans="2:22" ht="252" customHeight="1" x14ac:dyDescent="0.3">
      <c r="B28" s="34" t="s">
        <v>119</v>
      </c>
      <c r="C28" s="34" t="s">
        <v>120</v>
      </c>
      <c r="D28" s="34" t="s">
        <v>46</v>
      </c>
      <c r="E28" s="34" t="s">
        <v>47</v>
      </c>
      <c r="F28" s="34" t="s">
        <v>48</v>
      </c>
      <c r="G28" s="34" t="s">
        <v>121</v>
      </c>
      <c r="H28" s="34" t="s">
        <v>50</v>
      </c>
      <c r="I28" s="34" t="s">
        <v>122</v>
      </c>
      <c r="J28" s="34" t="s">
        <v>123</v>
      </c>
      <c r="K28" s="34" t="s">
        <v>53</v>
      </c>
      <c r="L28" s="34" t="s">
        <v>54</v>
      </c>
      <c r="M28" s="10" t="s">
        <v>55</v>
      </c>
      <c r="N28" s="10">
        <v>3.5</v>
      </c>
      <c r="O28" s="10">
        <f>Tableau3[[#This Row],[HJ Dev]]*(25%+25%)</f>
        <v>1.75</v>
      </c>
      <c r="P28" s="10">
        <f>Tableau3[[#This Row],[HJ Analyse et Test]]+Tableau3[[#This Row],[HJ Dev]]</f>
        <v>5.25</v>
      </c>
      <c r="Q28" s="10"/>
      <c r="R28" s="10"/>
      <c r="S28" s="10"/>
      <c r="T28" s="10"/>
      <c r="U28" s="10"/>
      <c r="V28" s="10"/>
    </row>
    <row r="29" spans="2:22" ht="319.5" customHeight="1" x14ac:dyDescent="0.3">
      <c r="B29" s="34" t="s">
        <v>124</v>
      </c>
      <c r="C29" s="34" t="s">
        <v>125</v>
      </c>
      <c r="D29" s="34" t="s">
        <v>46</v>
      </c>
      <c r="E29" s="34" t="s">
        <v>47</v>
      </c>
      <c r="F29" s="34" t="s">
        <v>48</v>
      </c>
      <c r="G29" s="34" t="s">
        <v>126</v>
      </c>
      <c r="H29" s="34" t="s">
        <v>50</v>
      </c>
      <c r="I29" s="34" t="s">
        <v>51</v>
      </c>
      <c r="J29" s="34" t="s">
        <v>127</v>
      </c>
      <c r="K29" s="34" t="s">
        <v>53</v>
      </c>
      <c r="L29" s="34" t="s">
        <v>54</v>
      </c>
      <c r="M29" s="10" t="s">
        <v>55</v>
      </c>
      <c r="N29" s="10">
        <v>0</v>
      </c>
      <c r="O29" s="10">
        <f>Tableau3[[#This Row],[HJ Dev]]*(25%+25%)</f>
        <v>0</v>
      </c>
      <c r="P29" s="10">
        <f>Tableau3[[#This Row],[HJ Analyse et Test]]+Tableau3[[#This Row],[HJ Dev]]</f>
        <v>0</v>
      </c>
      <c r="Q29" s="10"/>
      <c r="R29" s="10"/>
      <c r="S29" s="10"/>
      <c r="T29" s="10"/>
      <c r="U29" s="10"/>
      <c r="V29" s="10"/>
    </row>
    <row r="30" spans="2:22" ht="206.5" customHeight="1" x14ac:dyDescent="0.3">
      <c r="B30" s="34" t="s">
        <v>128</v>
      </c>
      <c r="C30" s="34" t="s">
        <v>129</v>
      </c>
      <c r="D30" s="34" t="s">
        <v>46</v>
      </c>
      <c r="E30" s="34" t="s">
        <v>130</v>
      </c>
      <c r="F30" s="34" t="s">
        <v>48</v>
      </c>
      <c r="G30" s="34" t="s">
        <v>131</v>
      </c>
      <c r="H30" s="34" t="s">
        <v>50</v>
      </c>
      <c r="I30" s="34" t="s">
        <v>132</v>
      </c>
      <c r="J30" s="34" t="s">
        <v>133</v>
      </c>
      <c r="K30" s="34" t="s">
        <v>53</v>
      </c>
      <c r="L30" s="34" t="s">
        <v>54</v>
      </c>
      <c r="M30" s="10" t="s">
        <v>55</v>
      </c>
      <c r="N30" s="10"/>
      <c r="O30" s="10">
        <f>Tableau3[[#This Row],[HJ Dev]]*(25%+25%)</f>
        <v>0</v>
      </c>
      <c r="P30" s="10">
        <f>Tableau3[[#This Row],[HJ Analyse et Test]]+Tableau3[[#This Row],[HJ Dev]]</f>
        <v>0</v>
      </c>
      <c r="Q30" s="10"/>
      <c r="R30" s="10"/>
      <c r="S30" s="10"/>
      <c r="T30" s="10"/>
      <c r="U30" s="10"/>
      <c r="V30" s="10"/>
    </row>
    <row r="31" spans="2:22" ht="362.15" customHeight="1" x14ac:dyDescent="0.3">
      <c r="B31" s="34" t="s">
        <v>134</v>
      </c>
      <c r="C31" s="34" t="s">
        <v>135</v>
      </c>
      <c r="D31" s="34" t="s">
        <v>46</v>
      </c>
      <c r="E31" s="34" t="s">
        <v>47</v>
      </c>
      <c r="F31" s="34" t="s">
        <v>48</v>
      </c>
      <c r="G31" s="34" t="s">
        <v>136</v>
      </c>
      <c r="H31" s="34" t="s">
        <v>50</v>
      </c>
      <c r="I31" s="34" t="s">
        <v>137</v>
      </c>
      <c r="J31" s="34" t="s">
        <v>138</v>
      </c>
      <c r="K31" s="34" t="s">
        <v>53</v>
      </c>
      <c r="L31" s="34" t="s">
        <v>54</v>
      </c>
      <c r="M31" s="10" t="s">
        <v>55</v>
      </c>
      <c r="N31" s="10">
        <v>2</v>
      </c>
      <c r="O31" s="10">
        <f>Tableau3[[#This Row],[HJ Dev]]*(25%+25%)</f>
        <v>1</v>
      </c>
      <c r="P31" s="10">
        <f>Tableau3[[#This Row],[HJ Analyse et Test]]+Tableau3[[#This Row],[HJ Dev]]</f>
        <v>3</v>
      </c>
      <c r="Q31" s="10"/>
      <c r="R31" s="10"/>
      <c r="S31" s="10"/>
      <c r="T31" s="10"/>
      <c r="U31" s="10"/>
      <c r="V31" s="10"/>
    </row>
    <row r="32" spans="2:22" ht="355.5" customHeight="1" x14ac:dyDescent="0.3">
      <c r="B32" s="34" t="s">
        <v>139</v>
      </c>
      <c r="C32" s="34" t="s">
        <v>140</v>
      </c>
      <c r="D32" s="34" t="s">
        <v>46</v>
      </c>
      <c r="E32" s="34" t="s">
        <v>47</v>
      </c>
      <c r="F32" s="34" t="s">
        <v>48</v>
      </c>
      <c r="G32" s="34" t="s">
        <v>141</v>
      </c>
      <c r="H32" s="34" t="s">
        <v>50</v>
      </c>
      <c r="I32" s="34" t="s">
        <v>51</v>
      </c>
      <c r="J32" s="34" t="s">
        <v>142</v>
      </c>
      <c r="K32" s="34" t="s">
        <v>53</v>
      </c>
      <c r="L32" s="34" t="s">
        <v>54</v>
      </c>
      <c r="M32" s="10" t="s">
        <v>55</v>
      </c>
      <c r="N32" s="10">
        <v>0</v>
      </c>
      <c r="O32" s="10">
        <f>Tableau3[[#This Row],[HJ Dev]]*(25%+25%)</f>
        <v>0</v>
      </c>
      <c r="P32" s="10">
        <f>Tableau3[[#This Row],[HJ Analyse et Test]]+Tableau3[[#This Row],[HJ Dev]]</f>
        <v>0</v>
      </c>
      <c r="Q32" s="10"/>
      <c r="R32" s="10"/>
      <c r="S32" s="10"/>
      <c r="T32" s="10"/>
      <c r="U32" s="10"/>
      <c r="V32" s="10"/>
    </row>
    <row r="33" spans="2:22" ht="260.5" customHeight="1" x14ac:dyDescent="0.3">
      <c r="B33" s="34" t="s">
        <v>143</v>
      </c>
      <c r="C33" s="34" t="s">
        <v>144</v>
      </c>
      <c r="D33" s="34" t="s">
        <v>46</v>
      </c>
      <c r="E33" s="34" t="s">
        <v>47</v>
      </c>
      <c r="F33" s="34" t="s">
        <v>48</v>
      </c>
      <c r="G33" s="34" t="s">
        <v>145</v>
      </c>
      <c r="H33" s="34" t="s">
        <v>50</v>
      </c>
      <c r="I33" s="34" t="s">
        <v>51</v>
      </c>
      <c r="J33" s="34" t="s">
        <v>146</v>
      </c>
      <c r="K33" s="34" t="s">
        <v>53</v>
      </c>
      <c r="L33" s="34" t="s">
        <v>54</v>
      </c>
      <c r="M33" s="10" t="s">
        <v>55</v>
      </c>
      <c r="N33" s="10">
        <v>0</v>
      </c>
      <c r="O33" s="10">
        <f>Tableau3[[#This Row],[HJ Dev]]*(25%+25%)</f>
        <v>0</v>
      </c>
      <c r="P33" s="10">
        <f>Tableau3[[#This Row],[HJ Analyse et Test]]+Tableau3[[#This Row],[HJ Dev]]</f>
        <v>0</v>
      </c>
      <c r="Q33" s="10"/>
      <c r="R33" s="10"/>
      <c r="S33" s="10"/>
      <c r="T33" s="10"/>
      <c r="U33" s="10"/>
      <c r="V33" s="10"/>
    </row>
    <row r="34" spans="2:22" ht="219" customHeight="1" x14ac:dyDescent="0.3">
      <c r="B34" s="34" t="s">
        <v>147</v>
      </c>
      <c r="C34" s="34" t="s">
        <v>148</v>
      </c>
      <c r="D34" s="34" t="s">
        <v>46</v>
      </c>
      <c r="E34" s="34" t="s">
        <v>47</v>
      </c>
      <c r="F34" s="34" t="s">
        <v>48</v>
      </c>
      <c r="G34" s="34" t="s">
        <v>149</v>
      </c>
      <c r="H34" s="34" t="s">
        <v>50</v>
      </c>
      <c r="I34" s="34" t="s">
        <v>150</v>
      </c>
      <c r="J34" s="34" t="s">
        <v>266</v>
      </c>
      <c r="K34" s="34" t="s">
        <v>53</v>
      </c>
      <c r="L34" s="34" t="s">
        <v>54</v>
      </c>
      <c r="M34" s="10" t="s">
        <v>55</v>
      </c>
      <c r="N34" s="10">
        <v>1</v>
      </c>
      <c r="O34" s="10">
        <f>Tableau3[[#This Row],[HJ Dev]]*(25%+25%)</f>
        <v>0.5</v>
      </c>
      <c r="P34" s="10">
        <f>Tableau3[[#This Row],[HJ Analyse et Test]]+Tableau3[[#This Row],[HJ Dev]]</f>
        <v>1.5</v>
      </c>
      <c r="Q34" s="10"/>
      <c r="R34" s="10"/>
      <c r="S34" s="10"/>
      <c r="T34" s="10"/>
      <c r="U34" s="10"/>
      <c r="V34" s="10"/>
    </row>
    <row r="35" spans="2:22" ht="278.14999999999998" customHeight="1" x14ac:dyDescent="0.3">
      <c r="B35" s="34" t="s">
        <v>151</v>
      </c>
      <c r="C35" s="34" t="s">
        <v>152</v>
      </c>
      <c r="D35" s="34" t="s">
        <v>46</v>
      </c>
      <c r="E35" s="34" t="s">
        <v>47</v>
      </c>
      <c r="F35" s="34" t="s">
        <v>48</v>
      </c>
      <c r="G35" s="34" t="s">
        <v>153</v>
      </c>
      <c r="H35" s="34" t="s">
        <v>50</v>
      </c>
      <c r="I35" s="34" t="s">
        <v>132</v>
      </c>
      <c r="J35" s="34" t="s">
        <v>154</v>
      </c>
      <c r="K35" s="34" t="s">
        <v>53</v>
      </c>
      <c r="L35" s="34" t="s">
        <v>54</v>
      </c>
      <c r="M35" s="10" t="s">
        <v>55</v>
      </c>
      <c r="N35" s="10">
        <v>1.5</v>
      </c>
      <c r="O35" s="10">
        <f>Tableau3[[#This Row],[HJ Dev]]*(25%+25%)</f>
        <v>0.75</v>
      </c>
      <c r="P35" s="10">
        <f>Tableau3[[#This Row],[HJ Analyse et Test]]+Tableau3[[#This Row],[HJ Dev]]</f>
        <v>2.25</v>
      </c>
      <c r="Q35" s="10"/>
      <c r="R35" s="10"/>
      <c r="S35" s="10"/>
      <c r="T35" s="10"/>
      <c r="U35" s="10"/>
      <c r="V35" s="10"/>
    </row>
    <row r="36" spans="2:22" ht="326.14999999999998" customHeight="1" x14ac:dyDescent="0.3">
      <c r="B36" s="34" t="s">
        <v>155</v>
      </c>
      <c r="C36" s="34" t="s">
        <v>156</v>
      </c>
      <c r="D36" s="34" t="s">
        <v>46</v>
      </c>
      <c r="E36" s="34" t="s">
        <v>47</v>
      </c>
      <c r="F36" s="34" t="s">
        <v>48</v>
      </c>
      <c r="G36" s="34" t="s">
        <v>157</v>
      </c>
      <c r="H36" s="34" t="s">
        <v>50</v>
      </c>
      <c r="I36" s="34" t="s">
        <v>132</v>
      </c>
      <c r="J36" s="34" t="s">
        <v>158</v>
      </c>
      <c r="K36" s="34" t="s">
        <v>53</v>
      </c>
      <c r="L36" s="34" t="s">
        <v>54</v>
      </c>
      <c r="M36" s="10" t="s">
        <v>55</v>
      </c>
      <c r="N36" s="10">
        <v>1.5</v>
      </c>
      <c r="O36" s="10">
        <f>Tableau3[[#This Row],[HJ Dev]]*(25%+25%)</f>
        <v>0.75</v>
      </c>
      <c r="P36" s="10">
        <f>Tableau3[[#This Row],[HJ Analyse et Test]]+Tableau3[[#This Row],[HJ Dev]]</f>
        <v>2.25</v>
      </c>
      <c r="Q36" s="10"/>
      <c r="R36" s="10"/>
      <c r="S36" s="10"/>
      <c r="T36" s="10"/>
      <c r="U36" s="10"/>
      <c r="V36" s="10"/>
    </row>
    <row r="37" spans="2:22" ht="307" customHeight="1" x14ac:dyDescent="0.3">
      <c r="B37" s="34" t="s">
        <v>159</v>
      </c>
      <c r="C37" s="34" t="s">
        <v>160</v>
      </c>
      <c r="D37" s="34" t="s">
        <v>46</v>
      </c>
      <c r="E37" s="34" t="s">
        <v>47</v>
      </c>
      <c r="F37" s="34" t="s">
        <v>48</v>
      </c>
      <c r="G37" s="34" t="s">
        <v>161</v>
      </c>
      <c r="H37" s="34" t="s">
        <v>50</v>
      </c>
      <c r="I37" s="34" t="s">
        <v>132</v>
      </c>
      <c r="J37" s="34" t="s">
        <v>267</v>
      </c>
      <c r="K37" s="34" t="s">
        <v>53</v>
      </c>
      <c r="L37" s="34" t="s">
        <v>54</v>
      </c>
      <c r="M37" s="10" t="s">
        <v>55</v>
      </c>
      <c r="N37" s="10">
        <v>1.5</v>
      </c>
      <c r="O37" s="10">
        <f>Tableau3[[#This Row],[HJ Dev]]*(25%+25%)</f>
        <v>0.75</v>
      </c>
      <c r="P37" s="10">
        <f>Tableau3[[#This Row],[HJ Analyse et Test]]+Tableau3[[#This Row],[HJ Dev]]</f>
        <v>2.25</v>
      </c>
      <c r="Q37" s="10"/>
      <c r="R37" s="10"/>
      <c r="S37" s="10"/>
      <c r="T37" s="10"/>
      <c r="U37" s="10"/>
      <c r="V37" s="10"/>
    </row>
    <row r="38" spans="2:22" ht="359.5" customHeight="1" x14ac:dyDescent="0.3">
      <c r="B38" s="34" t="s">
        <v>162</v>
      </c>
      <c r="C38" s="34" t="s">
        <v>163</v>
      </c>
      <c r="D38" s="34" t="s">
        <v>46</v>
      </c>
      <c r="E38" s="34" t="s">
        <v>47</v>
      </c>
      <c r="F38" s="34" t="s">
        <v>48</v>
      </c>
      <c r="G38" s="34" t="s">
        <v>164</v>
      </c>
      <c r="H38" s="34" t="s">
        <v>50</v>
      </c>
      <c r="I38" s="34" t="s">
        <v>165</v>
      </c>
      <c r="J38" s="34" t="s">
        <v>166</v>
      </c>
      <c r="K38" s="34" t="s">
        <v>53</v>
      </c>
      <c r="L38" s="34" t="s">
        <v>54</v>
      </c>
      <c r="M38" s="10" t="s">
        <v>55</v>
      </c>
      <c r="N38" s="10">
        <v>0</v>
      </c>
      <c r="O38" s="10">
        <f>Tableau3[[#This Row],[HJ Dev]]*(25%+25%)</f>
        <v>0</v>
      </c>
      <c r="P38" s="10">
        <f>Tableau3[[#This Row],[HJ Analyse et Test]]+Tableau3[[#This Row],[HJ Dev]]</f>
        <v>0</v>
      </c>
      <c r="Q38" s="10"/>
      <c r="R38" s="10"/>
      <c r="S38" s="10"/>
      <c r="T38" s="10"/>
      <c r="U38" s="10"/>
      <c r="V38" s="10"/>
    </row>
    <row r="39" spans="2:22" ht="262.5" customHeight="1" x14ac:dyDescent="0.3">
      <c r="B39" s="34" t="s">
        <v>167</v>
      </c>
      <c r="C39" s="34" t="s">
        <v>168</v>
      </c>
      <c r="D39" s="34" t="s">
        <v>46</v>
      </c>
      <c r="E39" s="34" t="s">
        <v>47</v>
      </c>
      <c r="F39" s="34" t="s">
        <v>48</v>
      </c>
      <c r="G39" s="35" t="s">
        <v>169</v>
      </c>
      <c r="H39" s="34" t="s">
        <v>50</v>
      </c>
      <c r="I39" s="34" t="s">
        <v>165</v>
      </c>
      <c r="J39" s="34" t="s">
        <v>170</v>
      </c>
      <c r="K39" s="34" t="s">
        <v>53</v>
      </c>
      <c r="L39" s="34" t="s">
        <v>54</v>
      </c>
      <c r="M39" s="10" t="s">
        <v>55</v>
      </c>
      <c r="N39" s="10">
        <v>0</v>
      </c>
      <c r="O39" s="10">
        <f>Tableau3[[#This Row],[HJ Dev]]*(25%+25%)</f>
        <v>0</v>
      </c>
      <c r="P39" s="10">
        <f>Tableau3[[#This Row],[HJ Analyse et Test]]+Tableau3[[#This Row],[HJ Dev]]</f>
        <v>0</v>
      </c>
      <c r="Q39" s="10" t="s">
        <v>56</v>
      </c>
      <c r="R39" s="10" t="s">
        <v>56</v>
      </c>
      <c r="S39" s="10" t="s">
        <v>56</v>
      </c>
      <c r="T39" s="10" t="s">
        <v>56</v>
      </c>
      <c r="U39" s="10" t="s">
        <v>56</v>
      </c>
      <c r="V39" s="10"/>
    </row>
    <row r="40" spans="2:22" ht="174" customHeight="1" x14ac:dyDescent="0.3">
      <c r="B40" s="34" t="s">
        <v>171</v>
      </c>
      <c r="C40" s="34" t="s">
        <v>172</v>
      </c>
      <c r="D40" s="34" t="s">
        <v>46</v>
      </c>
      <c r="E40" s="34" t="s">
        <v>47</v>
      </c>
      <c r="F40" s="34" t="s">
        <v>48</v>
      </c>
      <c r="G40" s="34" t="s">
        <v>173</v>
      </c>
      <c r="H40" s="34" t="s">
        <v>50</v>
      </c>
      <c r="I40" s="34" t="s">
        <v>165</v>
      </c>
      <c r="J40" s="34" t="s">
        <v>174</v>
      </c>
      <c r="K40" s="34" t="s">
        <v>53</v>
      </c>
      <c r="L40" s="34" t="s">
        <v>54</v>
      </c>
      <c r="M40" s="10" t="s">
        <v>55</v>
      </c>
      <c r="N40" s="10">
        <v>0</v>
      </c>
      <c r="O40" s="10">
        <f>Tableau3[[#This Row],[HJ Dev]]*(25%+25%)</f>
        <v>0</v>
      </c>
      <c r="P40" s="10">
        <f>Tableau3[[#This Row],[HJ Analyse et Test]]+Tableau3[[#This Row],[HJ Dev]]</f>
        <v>0</v>
      </c>
      <c r="Q40" s="10"/>
      <c r="R40" s="10"/>
      <c r="S40" s="10"/>
      <c r="T40" s="10"/>
      <c r="U40" s="10"/>
      <c r="V40" s="10"/>
    </row>
    <row r="41" spans="2:22" ht="150" customHeight="1" x14ac:dyDescent="0.3">
      <c r="B41" s="34" t="s">
        <v>175</v>
      </c>
      <c r="C41" s="34" t="s">
        <v>176</v>
      </c>
      <c r="D41" s="34" t="s">
        <v>46</v>
      </c>
      <c r="E41" s="34" t="s">
        <v>47</v>
      </c>
      <c r="F41" s="34" t="s">
        <v>48</v>
      </c>
      <c r="G41" s="34" t="s">
        <v>177</v>
      </c>
      <c r="H41" s="34" t="s">
        <v>50</v>
      </c>
      <c r="I41" s="34" t="s">
        <v>165</v>
      </c>
      <c r="J41" s="34" t="s">
        <v>178</v>
      </c>
      <c r="K41" s="34" t="s">
        <v>53</v>
      </c>
      <c r="L41" s="34" t="s">
        <v>54</v>
      </c>
      <c r="M41" s="10" t="s">
        <v>55</v>
      </c>
      <c r="N41" s="10">
        <v>0</v>
      </c>
      <c r="O41" s="10">
        <f>Tableau3[[#This Row],[HJ Dev]]*(25%+25%)</f>
        <v>0</v>
      </c>
      <c r="P41" s="10">
        <f>Tableau3[[#This Row],[HJ Analyse et Test]]+Tableau3[[#This Row],[HJ Dev]]</f>
        <v>0</v>
      </c>
      <c r="Q41" s="10"/>
      <c r="R41" s="10"/>
      <c r="S41" s="10"/>
      <c r="T41" s="10"/>
      <c r="U41" s="10"/>
      <c r="V41" s="10"/>
    </row>
    <row r="42" spans="2:22" ht="372" x14ac:dyDescent="0.3">
      <c r="B42" s="34" t="s">
        <v>179</v>
      </c>
      <c r="C42" s="34" t="s">
        <v>180</v>
      </c>
      <c r="D42" s="34" t="s">
        <v>46</v>
      </c>
      <c r="E42" s="34" t="s">
        <v>47</v>
      </c>
      <c r="F42" s="34" t="s">
        <v>48</v>
      </c>
      <c r="G42" s="34" t="s">
        <v>181</v>
      </c>
      <c r="H42" s="34" t="s">
        <v>50</v>
      </c>
      <c r="I42" s="34" t="s">
        <v>165</v>
      </c>
      <c r="J42" s="36" t="s">
        <v>268</v>
      </c>
      <c r="K42" s="34" t="s">
        <v>53</v>
      </c>
      <c r="L42" s="34" t="s">
        <v>54</v>
      </c>
      <c r="M42" s="10" t="s">
        <v>55</v>
      </c>
      <c r="N42" s="10">
        <v>0</v>
      </c>
      <c r="O42" s="10">
        <f>Tableau3[[#This Row],[HJ Dev]]*(25%+25%)</f>
        <v>0</v>
      </c>
      <c r="P42" s="10">
        <f>Tableau3[[#This Row],[HJ Analyse et Test]]+Tableau3[[#This Row],[HJ Dev]]</f>
        <v>0</v>
      </c>
      <c r="Q42" s="10"/>
      <c r="R42" s="10"/>
      <c r="S42" s="10"/>
      <c r="T42" s="10"/>
      <c r="U42" s="10"/>
      <c r="V42" s="10"/>
    </row>
    <row r="43" spans="2:22" ht="144" customHeight="1" x14ac:dyDescent="0.3">
      <c r="B43" s="34" t="s">
        <v>182</v>
      </c>
      <c r="C43" s="34" t="s">
        <v>183</v>
      </c>
      <c r="D43" s="34" t="s">
        <v>46</v>
      </c>
      <c r="E43" s="34" t="s">
        <v>47</v>
      </c>
      <c r="F43" s="34" t="s">
        <v>48</v>
      </c>
      <c r="G43" s="34" t="s">
        <v>184</v>
      </c>
      <c r="H43" s="34" t="s">
        <v>50</v>
      </c>
      <c r="I43" s="34" t="s">
        <v>51</v>
      </c>
      <c r="J43" s="34" t="s">
        <v>185</v>
      </c>
      <c r="K43" s="34" t="s">
        <v>53</v>
      </c>
      <c r="L43" s="34" t="s">
        <v>54</v>
      </c>
      <c r="M43" s="10" t="s">
        <v>55</v>
      </c>
      <c r="N43" s="10">
        <v>1.5</v>
      </c>
      <c r="O43" s="10">
        <f>Tableau3[[#This Row],[HJ Dev]]*(25%+25%)</f>
        <v>0.75</v>
      </c>
      <c r="P43" s="10">
        <f>Tableau3[[#This Row],[HJ Analyse et Test]]+Tableau3[[#This Row],[HJ Dev]]</f>
        <v>2.25</v>
      </c>
      <c r="Q43" s="10"/>
      <c r="R43" s="10"/>
      <c r="S43" s="10"/>
      <c r="T43" s="10"/>
      <c r="U43" s="10"/>
      <c r="V43" s="10"/>
    </row>
    <row r="44" spans="2:22" ht="242.5" customHeight="1" x14ac:dyDescent="0.3">
      <c r="B44" s="34" t="s">
        <v>186</v>
      </c>
      <c r="C44" s="34" t="s">
        <v>187</v>
      </c>
      <c r="D44" s="34" t="s">
        <v>46</v>
      </c>
      <c r="E44" s="34" t="s">
        <v>47</v>
      </c>
      <c r="F44" s="34" t="s">
        <v>48</v>
      </c>
      <c r="G44" s="34" t="s">
        <v>188</v>
      </c>
      <c r="H44" s="34" t="s">
        <v>50</v>
      </c>
      <c r="I44" s="34" t="s">
        <v>165</v>
      </c>
      <c r="J44" s="34" t="s">
        <v>189</v>
      </c>
      <c r="K44" s="34" t="s">
        <v>53</v>
      </c>
      <c r="L44" s="34" t="s">
        <v>54</v>
      </c>
      <c r="M44" s="10" t="s">
        <v>55</v>
      </c>
      <c r="N44" s="10">
        <v>0</v>
      </c>
      <c r="O44" s="10">
        <f>Tableau3[[#This Row],[HJ Dev]]*(25%+25%)</f>
        <v>0</v>
      </c>
      <c r="P44" s="10">
        <f>Tableau3[[#This Row],[HJ Analyse et Test]]+Tableau3[[#This Row],[HJ Dev]]</f>
        <v>0</v>
      </c>
      <c r="Q44" s="10"/>
      <c r="R44" s="10"/>
      <c r="S44" s="10"/>
      <c r="T44" s="10"/>
      <c r="U44" s="10"/>
      <c r="V44" s="10"/>
    </row>
    <row r="45" spans="2:22" ht="229.5" customHeight="1" x14ac:dyDescent="0.3">
      <c r="B45" s="34" t="s">
        <v>190</v>
      </c>
      <c r="C45" s="34" t="s">
        <v>191</v>
      </c>
      <c r="D45" s="34" t="s">
        <v>46</v>
      </c>
      <c r="E45" s="34" t="s">
        <v>47</v>
      </c>
      <c r="F45" s="34" t="s">
        <v>48</v>
      </c>
      <c r="G45" s="34" t="s">
        <v>192</v>
      </c>
      <c r="H45" s="34" t="s">
        <v>50</v>
      </c>
      <c r="I45" s="34" t="s">
        <v>165</v>
      </c>
      <c r="J45" s="34" t="s">
        <v>193</v>
      </c>
      <c r="K45" s="34" t="s">
        <v>53</v>
      </c>
      <c r="L45" s="34" t="s">
        <v>54</v>
      </c>
      <c r="M45" s="10" t="s">
        <v>55</v>
      </c>
      <c r="N45" s="10">
        <v>0</v>
      </c>
      <c r="O45" s="10">
        <f>Tableau3[[#This Row],[HJ Dev]]*(25%+25%)</f>
        <v>0</v>
      </c>
      <c r="P45" s="10">
        <f>Tableau3[[#This Row],[HJ Analyse et Test]]+Tableau3[[#This Row],[HJ Dev]]</f>
        <v>0</v>
      </c>
      <c r="Q45" s="10"/>
      <c r="R45" s="10"/>
      <c r="S45" s="10"/>
      <c r="T45" s="10"/>
      <c r="U45" s="10"/>
      <c r="V45" s="10"/>
    </row>
    <row r="46" spans="2:22" ht="261.64999999999998" customHeight="1" x14ac:dyDescent="0.3">
      <c r="B46" s="34" t="s">
        <v>194</v>
      </c>
      <c r="C46" s="34" t="s">
        <v>195</v>
      </c>
      <c r="D46" s="34" t="s">
        <v>46</v>
      </c>
      <c r="E46" s="34" t="s">
        <v>47</v>
      </c>
      <c r="F46" s="34" t="s">
        <v>48</v>
      </c>
      <c r="G46" s="34" t="s">
        <v>196</v>
      </c>
      <c r="H46" s="34" t="s">
        <v>50</v>
      </c>
      <c r="I46" s="34" t="s">
        <v>165</v>
      </c>
      <c r="J46" s="34" t="s">
        <v>197</v>
      </c>
      <c r="K46" s="34" t="s">
        <v>53</v>
      </c>
      <c r="L46" s="34" t="s">
        <v>54</v>
      </c>
      <c r="M46" s="10" t="s">
        <v>55</v>
      </c>
      <c r="N46" s="10">
        <v>0</v>
      </c>
      <c r="O46" s="10">
        <f>Tableau3[[#This Row],[HJ Dev]]*(25%+25%)</f>
        <v>0</v>
      </c>
      <c r="P46" s="10">
        <f>Tableau3[[#This Row],[HJ Analyse et Test]]+Tableau3[[#This Row],[HJ Dev]]</f>
        <v>0</v>
      </c>
      <c r="Q46" s="10"/>
      <c r="R46" s="10"/>
      <c r="S46" s="10"/>
      <c r="T46" s="10"/>
      <c r="U46" s="10"/>
      <c r="V46" s="10"/>
    </row>
    <row r="47" spans="2:22" ht="198" customHeight="1" x14ac:dyDescent="0.3">
      <c r="B47" s="34" t="s">
        <v>198</v>
      </c>
      <c r="C47" s="34" t="s">
        <v>199</v>
      </c>
      <c r="D47" s="34" t="s">
        <v>46</v>
      </c>
      <c r="E47" s="34" t="s">
        <v>47</v>
      </c>
      <c r="F47" s="34" t="s">
        <v>48</v>
      </c>
      <c r="G47" s="34" t="s">
        <v>200</v>
      </c>
      <c r="H47" s="34" t="s">
        <v>50</v>
      </c>
      <c r="I47" s="34" t="s">
        <v>132</v>
      </c>
      <c r="J47" s="34" t="s">
        <v>201</v>
      </c>
      <c r="K47" s="34" t="s">
        <v>53</v>
      </c>
      <c r="L47" s="34" t="s">
        <v>54</v>
      </c>
      <c r="M47" s="10" t="s">
        <v>55</v>
      </c>
      <c r="N47" s="10">
        <v>3</v>
      </c>
      <c r="O47" s="10">
        <f>Tableau3[[#This Row],[HJ Dev]]*(25%+25%)</f>
        <v>1.5</v>
      </c>
      <c r="P47" s="10">
        <f>Tableau3[[#This Row],[HJ Analyse et Test]]+Tableau3[[#This Row],[HJ Dev]]</f>
        <v>4.5</v>
      </c>
      <c r="Q47" s="10"/>
      <c r="R47" s="10"/>
      <c r="S47" s="10"/>
      <c r="T47" s="10"/>
      <c r="U47" s="10"/>
      <c r="V47" s="10"/>
    </row>
    <row r="48" spans="2:22" ht="31" x14ac:dyDescent="0.3">
      <c r="B48" s="34" t="s">
        <v>202</v>
      </c>
      <c r="C48" s="34" t="s">
        <v>203</v>
      </c>
      <c r="D48" s="34" t="s">
        <v>46</v>
      </c>
      <c r="E48" s="34" t="s">
        <v>47</v>
      </c>
      <c r="F48" s="34" t="s">
        <v>48</v>
      </c>
      <c r="G48" s="34" t="s">
        <v>204</v>
      </c>
      <c r="H48" s="34" t="s">
        <v>50</v>
      </c>
      <c r="I48" s="34" t="s">
        <v>132</v>
      </c>
      <c r="J48" s="34" t="s">
        <v>205</v>
      </c>
      <c r="K48" s="34" t="s">
        <v>53</v>
      </c>
      <c r="L48" s="34" t="s">
        <v>54</v>
      </c>
      <c r="M48" s="10" t="s">
        <v>55</v>
      </c>
      <c r="N48" s="10">
        <v>1</v>
      </c>
      <c r="O48" s="10">
        <f>Tableau3[[#This Row],[HJ Dev]]*(25%+25%)</f>
        <v>0.5</v>
      </c>
      <c r="P48" s="10">
        <f>Tableau3[[#This Row],[HJ Analyse et Test]]+Tableau3[[#This Row],[HJ Dev]]</f>
        <v>1.5</v>
      </c>
      <c r="Q48" s="10"/>
      <c r="R48" s="10"/>
      <c r="S48" s="10"/>
      <c r="T48" s="10"/>
      <c r="U48" s="10"/>
      <c r="V48" s="10"/>
    </row>
    <row r="49" spans="2:22" ht="155" x14ac:dyDescent="0.3">
      <c r="B49" s="34" t="s">
        <v>206</v>
      </c>
      <c r="C49" s="34" t="s">
        <v>207</v>
      </c>
      <c r="D49" s="34" t="s">
        <v>46</v>
      </c>
      <c r="E49" s="34" t="s">
        <v>47</v>
      </c>
      <c r="F49" s="34" t="s">
        <v>48</v>
      </c>
      <c r="G49" s="34" t="s">
        <v>208</v>
      </c>
      <c r="H49" s="34" t="s">
        <v>50</v>
      </c>
      <c r="I49" s="34" t="s">
        <v>51</v>
      </c>
      <c r="J49" s="34" t="s">
        <v>209</v>
      </c>
      <c r="K49" s="34" t="s">
        <v>53</v>
      </c>
      <c r="L49" s="34" t="s">
        <v>54</v>
      </c>
      <c r="M49" s="10" t="s">
        <v>55</v>
      </c>
      <c r="N49" s="10">
        <v>0</v>
      </c>
      <c r="O49" s="10">
        <f>Tableau3[[#This Row],[HJ Dev]]*(25%+25%)</f>
        <v>0</v>
      </c>
      <c r="P49" s="10">
        <f>Tableau3[[#This Row],[HJ Analyse et Test]]+Tableau3[[#This Row],[HJ Dev]]</f>
        <v>0</v>
      </c>
      <c r="Q49" s="10" t="s">
        <v>56</v>
      </c>
      <c r="R49" s="10" t="s">
        <v>56</v>
      </c>
      <c r="S49" s="10" t="s">
        <v>56</v>
      </c>
      <c r="T49" s="10" t="s">
        <v>56</v>
      </c>
      <c r="U49" s="10" t="s">
        <v>56</v>
      </c>
      <c r="V49" s="10"/>
    </row>
    <row r="50" spans="2:22" ht="170.5" x14ac:dyDescent="0.3">
      <c r="B50" s="34" t="s">
        <v>210</v>
      </c>
      <c r="C50" s="34" t="s">
        <v>211</v>
      </c>
      <c r="D50" s="34" t="s">
        <v>46</v>
      </c>
      <c r="E50" s="34" t="s">
        <v>47</v>
      </c>
      <c r="F50" s="34" t="s">
        <v>48</v>
      </c>
      <c r="G50" s="34" t="s">
        <v>212</v>
      </c>
      <c r="H50" s="34" t="s">
        <v>50</v>
      </c>
      <c r="I50" s="34" t="s">
        <v>51</v>
      </c>
      <c r="J50" s="34" t="s">
        <v>213</v>
      </c>
      <c r="K50" s="34" t="s">
        <v>53</v>
      </c>
      <c r="L50" s="34" t="s">
        <v>54</v>
      </c>
      <c r="M50" s="10" t="s">
        <v>55</v>
      </c>
      <c r="N50" s="10">
        <v>0</v>
      </c>
      <c r="O50" s="10">
        <f>Tableau3[[#This Row],[HJ Dev]]*(25%+25%)</f>
        <v>0</v>
      </c>
      <c r="P50" s="10">
        <f>Tableau3[[#This Row],[HJ Analyse et Test]]+Tableau3[[#This Row],[HJ Dev]]</f>
        <v>0</v>
      </c>
      <c r="Q50" s="10" t="s">
        <v>56</v>
      </c>
      <c r="R50" s="10" t="s">
        <v>56</v>
      </c>
      <c r="S50" s="10" t="s">
        <v>56</v>
      </c>
      <c r="T50" s="10" t="s">
        <v>56</v>
      </c>
      <c r="U50" s="10" t="s">
        <v>56</v>
      </c>
      <c r="V50" s="10"/>
    </row>
    <row r="51" spans="2:22" ht="139.5" x14ac:dyDescent="0.3">
      <c r="B51" s="34" t="s">
        <v>214</v>
      </c>
      <c r="C51" s="34" t="s">
        <v>215</v>
      </c>
      <c r="D51" s="34" t="s">
        <v>46</v>
      </c>
      <c r="E51" s="34" t="s">
        <v>47</v>
      </c>
      <c r="F51" s="34" t="s">
        <v>48</v>
      </c>
      <c r="G51" s="34" t="s">
        <v>216</v>
      </c>
      <c r="H51" s="34" t="s">
        <v>50</v>
      </c>
      <c r="I51" s="34" t="s">
        <v>51</v>
      </c>
      <c r="J51" s="34" t="s">
        <v>217</v>
      </c>
      <c r="K51" s="34" t="s">
        <v>53</v>
      </c>
      <c r="L51" s="34" t="s">
        <v>54</v>
      </c>
      <c r="M51" s="10" t="s">
        <v>55</v>
      </c>
      <c r="N51" s="10">
        <v>0</v>
      </c>
      <c r="O51" s="10">
        <f>Tableau3[[#This Row],[HJ Dev]]*(25%+25%)</f>
        <v>0</v>
      </c>
      <c r="P51" s="10">
        <f>Tableau3[[#This Row],[HJ Analyse et Test]]+Tableau3[[#This Row],[HJ Dev]]</f>
        <v>0</v>
      </c>
      <c r="Q51" s="10" t="s">
        <v>56</v>
      </c>
      <c r="R51" s="10" t="s">
        <v>56</v>
      </c>
      <c r="S51" s="10" t="s">
        <v>56</v>
      </c>
      <c r="T51" s="10" t="s">
        <v>56</v>
      </c>
      <c r="U51" s="10" t="s">
        <v>56</v>
      </c>
      <c r="V51" s="10"/>
    </row>
    <row r="52" spans="2:22" x14ac:dyDescent="0.3">
      <c r="B52" s="10"/>
      <c r="C52" s="10"/>
      <c r="D52" s="10"/>
      <c r="E52" s="10"/>
      <c r="F52" s="10"/>
      <c r="G52" s="10"/>
      <c r="H52" s="10"/>
      <c r="I52" s="10"/>
      <c r="J52" s="10"/>
      <c r="K52" s="10"/>
      <c r="L52" s="10"/>
      <c r="M52" s="10"/>
      <c r="N52" s="10">
        <f>SUBTOTAL(109,Tableau3[HJ Dev])</f>
        <v>32.5</v>
      </c>
      <c r="O52" s="10">
        <f>SUBTOTAL(109,Tableau3[HJ Analyse et Test])</f>
        <v>16.25</v>
      </c>
      <c r="P52" s="10">
        <f>SUBTOTAL(109,Tableau3[Total HJ])</f>
        <v>48.75</v>
      </c>
      <c r="Q52" s="10"/>
      <c r="R52" s="10"/>
      <c r="S52" s="10"/>
      <c r="T52" s="10"/>
      <c r="U52" s="10"/>
      <c r="V52" s="10"/>
    </row>
  </sheetData>
  <mergeCells count="3">
    <mergeCell ref="Q2:V2"/>
    <mergeCell ref="B2:M2"/>
    <mergeCell ref="N2:P2"/>
  </mergeCells>
  <phoneticPr fontId="2" type="noConversion"/>
  <dataValidations count="2">
    <dataValidation type="whole" operator="greaterThanOrEqual" allowBlank="1" showInputMessage="1" showErrorMessage="1" sqref="O14:P51 N14:N15 N19:N27 N29:N34 N38:N42 N44:N51" xr:uid="{10E2E794-3894-4CC1-AB1A-9BB5BF41EABB}">
      <formula1>0</formula1>
    </dataValidation>
    <dataValidation type="decimal" operator="greaterThanOrEqual" allowBlank="1" showInputMessage="1" showErrorMessage="1" sqref="N16 N17 N18 N28 N35 N36 N37 N43" xr:uid="{100556AF-B846-4B1D-B64E-EF71008B9CE4}">
      <formula1>0</formula1>
    </dataValidation>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9E253E9F-6967-4CE3-BEC2-E6EF086F8550}">
          <x14:formula1>
            <xm:f>Params!$B$3:$B$5</xm:f>
          </x14:formula1>
          <xm:sqref>D4</xm:sqref>
        </x14:dataValidation>
        <x14:dataValidation type="list" allowBlank="1" showInputMessage="1" showErrorMessage="1" xr:uid="{F3386D58-26B3-48C1-9163-752A983A7A55}">
          <x14:formula1>
            <xm:f>Params!$I$4:$I$9</xm:f>
          </x14:formula1>
          <xm:sqref>E25 E30:E31 E15:E22</xm:sqref>
        </x14:dataValidation>
        <x14:dataValidation type="list" allowBlank="1" showInputMessage="1" showErrorMessage="1" xr:uid="{06B2A4DB-2A94-4B0B-971B-CDFF438E23BA}">
          <x14:formula1>
            <xm:f>Params!$G$3:$G$9</xm:f>
          </x14:formula1>
          <xm:sqref>M14:M51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12"/>
  <sheetViews>
    <sheetView topLeftCell="B1" workbookViewId="0">
      <selection activeCell="I6" sqref="I6"/>
    </sheetView>
  </sheetViews>
  <sheetFormatPr baseColWidth="10" defaultColWidth="11.453125" defaultRowHeight="13" x14ac:dyDescent="0.25"/>
  <cols>
    <col min="1" max="2" width="11.453125" style="10"/>
    <col min="3" max="4" width="19.7265625" style="10" customWidth="1"/>
    <col min="5" max="5" width="23.81640625" style="10" customWidth="1"/>
    <col min="6" max="6" width="14.453125" style="10" customWidth="1"/>
    <col min="7" max="7" width="23.81640625" style="10" customWidth="1"/>
    <col min="8" max="8" width="25.1796875" style="10" customWidth="1"/>
    <col min="9" max="9" width="20.453125" style="10" customWidth="1"/>
    <col min="10" max="16384" width="11.453125" style="10"/>
  </cols>
  <sheetData>
    <row r="2" spans="2:9" ht="26" x14ac:dyDescent="0.25">
      <c r="B2" s="11" t="s">
        <v>8</v>
      </c>
      <c r="C2" s="11" t="s">
        <v>25</v>
      </c>
      <c r="D2" s="11" t="s">
        <v>218</v>
      </c>
      <c r="E2" s="11" t="s">
        <v>29</v>
      </c>
      <c r="F2" s="11" t="s">
        <v>219</v>
      </c>
      <c r="G2" s="11" t="s">
        <v>34</v>
      </c>
      <c r="H2" s="11" t="s">
        <v>220</v>
      </c>
      <c r="I2" s="11" t="s">
        <v>26</v>
      </c>
    </row>
    <row r="3" spans="2:9" x14ac:dyDescent="0.25">
      <c r="B3" s="10" t="s">
        <v>9</v>
      </c>
      <c r="C3" s="10" t="s">
        <v>46</v>
      </c>
      <c r="D3" s="10" t="s">
        <v>48</v>
      </c>
      <c r="E3" s="10" t="s">
        <v>221</v>
      </c>
      <c r="F3" s="10" t="s">
        <v>222</v>
      </c>
      <c r="G3" s="10" t="s">
        <v>55</v>
      </c>
      <c r="H3" s="10" t="s">
        <v>223</v>
      </c>
      <c r="I3" s="10" t="s">
        <v>224</v>
      </c>
    </row>
    <row r="4" spans="2:9" x14ac:dyDescent="0.25">
      <c r="B4" s="10" t="s">
        <v>225</v>
      </c>
      <c r="C4" s="10" t="s">
        <v>226</v>
      </c>
      <c r="D4" s="10" t="s">
        <v>227</v>
      </c>
      <c r="E4" s="10" t="s">
        <v>50</v>
      </c>
      <c r="F4" s="10" t="s">
        <v>228</v>
      </c>
      <c r="G4" s="10" t="s">
        <v>229</v>
      </c>
      <c r="H4" s="10" t="s">
        <v>230</v>
      </c>
      <c r="I4" s="10" t="s">
        <v>231</v>
      </c>
    </row>
    <row r="5" spans="2:9" x14ac:dyDescent="0.25">
      <c r="B5" s="10" t="s">
        <v>232</v>
      </c>
      <c r="C5" s="10" t="s">
        <v>233</v>
      </c>
      <c r="D5" s="10" t="s">
        <v>234</v>
      </c>
      <c r="E5" s="10" t="s">
        <v>235</v>
      </c>
      <c r="F5" s="10" t="s">
        <v>56</v>
      </c>
      <c r="G5" s="10" t="s">
        <v>56</v>
      </c>
      <c r="H5" s="10" t="s">
        <v>56</v>
      </c>
      <c r="I5" s="10" t="s">
        <v>47</v>
      </c>
    </row>
    <row r="6" spans="2:9" x14ac:dyDescent="0.25">
      <c r="B6" s="10" t="s">
        <v>232</v>
      </c>
      <c r="C6" s="10" t="s">
        <v>236</v>
      </c>
      <c r="D6" s="10" t="s">
        <v>237</v>
      </c>
      <c r="E6" s="10" t="s">
        <v>238</v>
      </c>
      <c r="I6" s="10" t="s">
        <v>130</v>
      </c>
    </row>
    <row r="7" spans="2:9" x14ac:dyDescent="0.25">
      <c r="C7" s="10" t="s">
        <v>239</v>
      </c>
      <c r="D7" s="10" t="s">
        <v>240</v>
      </c>
      <c r="E7" s="10" t="s">
        <v>241</v>
      </c>
      <c r="I7" s="10" t="s">
        <v>59</v>
      </c>
    </row>
    <row r="8" spans="2:9" x14ac:dyDescent="0.25">
      <c r="C8" s="10" t="s">
        <v>242</v>
      </c>
      <c r="E8" s="10" t="s">
        <v>243</v>
      </c>
      <c r="I8" s="10" t="s">
        <v>244</v>
      </c>
    </row>
    <row r="9" spans="2:9" x14ac:dyDescent="0.25">
      <c r="E9" s="10" t="s">
        <v>245</v>
      </c>
      <c r="I9" s="10" t="s">
        <v>246</v>
      </c>
    </row>
    <row r="11" spans="2:9" x14ac:dyDescent="0.25">
      <c r="I11" s="10" t="s">
        <v>247</v>
      </c>
    </row>
    <row r="12" spans="2:9" ht="26" x14ac:dyDescent="0.25">
      <c r="I12" s="10" t="s">
        <v>248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J21" sqref="J21"/>
    </sheetView>
  </sheetViews>
  <sheetFormatPr baseColWidth="10" defaultColWidth="11.453125" defaultRowHeight="14.5" x14ac:dyDescent="0.35"/>
  <cols>
    <col min="1" max="1" width="12" style="2" customWidth="1"/>
    <col min="2" max="2" width="10.1796875" style="2" customWidth="1"/>
    <col min="3" max="3" width="11.453125" style="2"/>
    <col min="4" max="4" width="58.26953125" style="2" customWidth="1"/>
    <col min="5" max="5" width="15.81640625" style="2" customWidth="1"/>
    <col min="6" max="6" width="22.26953125" style="2" customWidth="1"/>
    <col min="7" max="7" width="16.54296875" style="2" customWidth="1"/>
    <col min="8" max="16384" width="11.453125" style="2"/>
  </cols>
  <sheetData>
    <row r="2" spans="1:7" ht="15" thickBot="1" x14ac:dyDescent="0.4"/>
    <row r="3" spans="1:7" ht="24" customHeight="1" thickBot="1" x14ac:dyDescent="0.4">
      <c r="A3" s="2" t="s">
        <v>249</v>
      </c>
      <c r="B3" s="46" t="s">
        <v>5</v>
      </c>
      <c r="C3" s="47"/>
      <c r="D3" s="47"/>
      <c r="E3" s="47"/>
      <c r="F3" s="47"/>
      <c r="G3" s="48"/>
    </row>
    <row r="4" spans="1:7" x14ac:dyDescent="0.35">
      <c r="B4" s="4"/>
      <c r="C4" s="5"/>
      <c r="D4" s="5"/>
      <c r="E4" s="5"/>
      <c r="F4" s="5"/>
      <c r="G4" s="5"/>
    </row>
    <row r="5" spans="1:7" x14ac:dyDescent="0.35">
      <c r="B5" s="12" t="str">
        <f>'Gestion Exigences'!B5</f>
        <v>Client</v>
      </c>
      <c r="D5" s="12" t="str">
        <f>'Gestion Exigences'!D5</f>
        <v>SIAM</v>
      </c>
      <c r="E5" s="5"/>
      <c r="F5" s="5"/>
      <c r="G5" s="5"/>
    </row>
    <row r="6" spans="1:7" x14ac:dyDescent="0.35">
      <c r="B6" s="12" t="str">
        <f>'Gestion Exigences'!B6</f>
        <v>Projet</v>
      </c>
      <c r="D6" s="12" t="str">
        <f>'Gestion Exigences'!D6</f>
        <v>Digitalisation Usine</v>
      </c>
      <c r="E6" s="5"/>
      <c r="F6" s="5"/>
      <c r="G6" s="5"/>
    </row>
    <row r="7" spans="1:7" x14ac:dyDescent="0.35">
      <c r="B7" s="12" t="str">
        <f>'Gestion Exigences'!B7</f>
        <v>Réf BPA du Devis</v>
      </c>
      <c r="D7" s="12" t="str">
        <f>'Gestion Exigences'!D7</f>
        <v>S0-00xyz</v>
      </c>
      <c r="E7" s="5"/>
      <c r="F7" s="5"/>
      <c r="G7" s="5"/>
    </row>
    <row r="8" spans="1:7" x14ac:dyDescent="0.35">
      <c r="B8" s="12" t="str">
        <f>'Gestion Exigences'!B8</f>
        <v>Réf BPA du Projet</v>
      </c>
      <c r="D8" s="12" t="str">
        <f>'Gestion Exigences'!D8</f>
        <v>PR-22-0xyz</v>
      </c>
      <c r="E8" s="5"/>
      <c r="F8" s="5"/>
      <c r="G8" s="5"/>
    </row>
    <row r="9" spans="1:7" x14ac:dyDescent="0.35">
      <c r="B9" s="4"/>
      <c r="C9" s="12"/>
      <c r="D9" s="5"/>
      <c r="E9" s="5"/>
      <c r="F9" s="5"/>
      <c r="G9" s="5"/>
    </row>
    <row r="10" spans="1:7" x14ac:dyDescent="0.35">
      <c r="B10" s="25" t="str">
        <f>'Gestion Exigences'!B10</f>
        <v>Réf Modèle Document</v>
      </c>
      <c r="C10" s="26" t="str">
        <f>'Gestion Exigences'!D10</f>
        <v>MD203</v>
      </c>
      <c r="D10" s="5"/>
      <c r="E10" s="5"/>
      <c r="F10" s="5"/>
      <c r="G10" s="5"/>
    </row>
    <row r="11" spans="1:7" x14ac:dyDescent="0.35">
      <c r="B11" s="25" t="str">
        <f>'Gestion Exigences'!B11</f>
        <v>Version Modèle Document</v>
      </c>
      <c r="C11" s="26" t="str">
        <f>'Gestion Exigences'!D11</f>
        <v>V1.5</v>
      </c>
      <c r="D11" s="5"/>
      <c r="E11" s="5"/>
      <c r="F11" s="5"/>
      <c r="G11" s="5"/>
    </row>
    <row r="12" spans="1:7" x14ac:dyDescent="0.35">
      <c r="B12" s="4"/>
      <c r="C12" s="5"/>
      <c r="D12" s="5"/>
      <c r="E12" s="5"/>
      <c r="F12" s="5"/>
      <c r="G12" s="5"/>
    </row>
    <row r="13" spans="1:7" x14ac:dyDescent="0.35">
      <c r="B13" s="13" t="s">
        <v>250</v>
      </c>
      <c r="C13" s="13" t="s">
        <v>251</v>
      </c>
      <c r="D13" s="13" t="s">
        <v>252</v>
      </c>
      <c r="E13" s="13" t="s">
        <v>253</v>
      </c>
      <c r="F13" s="13" t="s">
        <v>254</v>
      </c>
      <c r="G13" s="13" t="s">
        <v>255</v>
      </c>
    </row>
    <row r="14" spans="1:7" ht="29.5" customHeight="1" x14ac:dyDescent="0.35">
      <c r="B14" s="6" t="s">
        <v>256</v>
      </c>
      <c r="C14" s="7">
        <v>45342</v>
      </c>
      <c r="D14" s="23" t="s">
        <v>257</v>
      </c>
      <c r="E14" s="6" t="s">
        <v>258</v>
      </c>
      <c r="F14" s="22" t="s">
        <v>259</v>
      </c>
      <c r="G14" s="6" t="s">
        <v>260</v>
      </c>
    </row>
    <row r="15" spans="1:7" x14ac:dyDescent="0.35">
      <c r="B15" s="6" t="s">
        <v>261</v>
      </c>
      <c r="C15" s="33">
        <v>45701</v>
      </c>
      <c r="D15" s="2" t="s">
        <v>262</v>
      </c>
      <c r="E15" s="2" t="s">
        <v>263</v>
      </c>
      <c r="F15" s="22" t="s">
        <v>54</v>
      </c>
      <c r="G15" s="6" t="s">
        <v>260</v>
      </c>
    </row>
    <row r="16" spans="1:7" x14ac:dyDescent="0.35">
      <c r="B16" s="6" t="s">
        <v>264</v>
      </c>
      <c r="C16" s="33">
        <v>45786</v>
      </c>
      <c r="D16" s="2" t="s">
        <v>265</v>
      </c>
      <c r="E16" s="2" t="s">
        <v>263</v>
      </c>
      <c r="F16" s="22" t="s">
        <v>54</v>
      </c>
      <c r="G16" s="6" t="s">
        <v>260</v>
      </c>
    </row>
  </sheetData>
  <mergeCells count="1">
    <mergeCell ref="B3:G3"/>
  </mergeCells>
  <phoneticPr fontId="18" type="noConversion"/>
  <pageMargins left="0.7" right="0.7" top="0.75" bottom="0.75" header="0.3" footer="0.3"/>
  <pageSetup paperSize="9" scale="95"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503822-DF13-4051-A489-72B75648E37A}">
  <ds:schemaRefs>
    <ds:schemaRef ds:uri="http://schemas.microsoft.com/office/2006/metadata/properties"/>
    <ds:schemaRef ds:uri="http://schemas.microsoft.com/office/infopath/2007/PartnerControls"/>
    <ds:schemaRef ds:uri="43b908ec-9e92-424c-a4ad-3174bac6e888"/>
    <ds:schemaRef ds:uri="5f2f9e80-f74a-40c7-b145-b94d8e4966f0"/>
  </ds:schemaRefs>
</ds:datastoreItem>
</file>

<file path=customXml/itemProps2.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3.xml><?xml version="1.0" encoding="utf-8"?>
<ds:datastoreItem xmlns:ds="http://schemas.openxmlformats.org/officeDocument/2006/customXml" ds:itemID="{AA633D1E-D4D3-47FC-9259-F830B72ECC7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2</vt:i4>
      </vt:variant>
    </vt:vector>
  </HeadingPairs>
  <TitlesOfParts>
    <vt:vector size="6" baseType="lpstr">
      <vt:lpstr>Fiche Client</vt:lpstr>
      <vt:lpstr>Gestion Exigences</vt:lpstr>
      <vt:lpstr>Params</vt:lpstr>
      <vt:lpstr>Modifs Doc</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Moatez Derbala</cp:lastModifiedBy>
  <cp:revision/>
  <dcterms:created xsi:type="dcterms:W3CDTF">2000-07-05T17:03:55Z</dcterms:created>
  <dcterms:modified xsi:type="dcterms:W3CDTF">2025-11-13T16:09:47Z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