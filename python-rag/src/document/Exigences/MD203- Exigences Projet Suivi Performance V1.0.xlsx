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4 Clients/008 COTHERM/24 Suivi Performance/2 Préparation Offre/"/>
    </mc:Choice>
  </mc:AlternateContent>
  <xr:revisionPtr revIDLastSave="529" documentId="8_{5D6C2885-D684-4667-AE17-5254F08661EA}" xr6:coauthVersionLast="47" xr6:coauthVersionMax="47" xr10:uidLastSave="{926180CD-02C8-4892-AA9A-362B04AD10E2}"/>
  <bookViews>
    <workbookView xWindow="-28920" yWindow="-1395" windowWidth="29040" windowHeight="15720" tabRatio="620" xr2:uid="{00000000-000D-0000-FFFF-FFFF00000000}"/>
  </bookViews>
  <sheets>
    <sheet name="Gestion Exigences" sheetId="27" r:id="rId1"/>
    <sheet name="Feuil1" sheetId="31" r:id="rId2"/>
    <sheet name="Modifs Doc" sheetId="29" r:id="rId3"/>
    <sheet name="Params" sheetId="30" r:id="rId4"/>
  </sheets>
  <definedNames>
    <definedName name="_xlnm.Print_Area" localSheetId="0">'Gestion Exigences'!$C$2:$I$13</definedName>
    <definedName name="_xlnm.Print_Area" localSheetId="2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8" i="27" l="1"/>
  <c r="P18" i="27" s="1"/>
  <c r="O19" i="27"/>
  <c r="P19" i="27" s="1"/>
  <c r="O14" i="27"/>
  <c r="P14" i="27" s="1"/>
  <c r="O26" i="27" l="1"/>
  <c r="P26" i="27" s="1"/>
  <c r="O17" i="27"/>
  <c r="P17" i="27" s="1"/>
  <c r="O16" i="27"/>
  <c r="P16" i="27" s="1"/>
  <c r="O27" i="27"/>
  <c r="P27" i="27" s="1"/>
  <c r="O25" i="27"/>
  <c r="P25" i="27" s="1"/>
  <c r="O24" i="27"/>
  <c r="P24" i="27" s="1"/>
  <c r="O15" i="27"/>
  <c r="P15" i="27" s="1"/>
  <c r="O20" i="27"/>
  <c r="P20" i="27" s="1"/>
  <c r="O21" i="27"/>
  <c r="P21" i="27" s="1"/>
  <c r="O22" i="27"/>
  <c r="P22" i="27" s="1"/>
  <c r="O23" i="27"/>
  <c r="P23" i="27" s="1"/>
  <c r="O28" i="27"/>
  <c r="P28" i="27" s="1"/>
  <c r="O29" i="27"/>
  <c r="P29" i="27" s="1"/>
  <c r="O30" i="27"/>
  <c r="P30" i="27" s="1"/>
  <c r="O31" i="27" l="1"/>
  <c r="N32" i="27" l="1"/>
  <c r="P31" i="27" l="1"/>
  <c r="D5" i="29"/>
  <c r="D6" i="29"/>
  <c r="D7" i="29"/>
  <c r="D8" i="29"/>
  <c r="C10" i="29"/>
  <c r="C11" i="29"/>
  <c r="B6" i="29"/>
  <c r="B7" i="29"/>
  <c r="B8" i="29"/>
  <c r="B10" i="29"/>
  <c r="B11" i="29"/>
  <c r="B5" i="29"/>
  <c r="P32" i="27" l="1"/>
  <c r="O32" i="27"/>
</calcChain>
</file>

<file path=xl/sharedStrings.xml><?xml version="1.0" encoding="utf-8"?>
<sst xmlns="http://schemas.openxmlformats.org/spreadsheetml/2006/main" count="212" uniqueCount="175">
  <si>
    <t>Gestion Exigences Projet</t>
  </si>
  <si>
    <t>Chiffrage Réalisation (SF only)</t>
  </si>
  <si>
    <t>Revue et Vérification Pendant la Conception</t>
  </si>
  <si>
    <t>BU</t>
  </si>
  <si>
    <t>SF</t>
  </si>
  <si>
    <t>Client</t>
  </si>
  <si>
    <t>Cotherm</t>
  </si>
  <si>
    <t>Projet</t>
  </si>
  <si>
    <t>Mur qualité</t>
  </si>
  <si>
    <t>Suivi Performance</t>
  </si>
  <si>
    <t>Réf BPA du Devis</t>
  </si>
  <si>
    <t>S0-00xyz</t>
  </si>
  <si>
    <t>Zone de saisie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</si>
  <si>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</si>
  <si>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</si>
  <si>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</si>
  <si>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</si>
  <si>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</si>
  <si>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</si>
  <si>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</si>
  <si>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</si>
  <si>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Intitulé Exigence</t>
  </si>
  <si>
    <t>Nature</t>
  </si>
  <si>
    <t>Catégorie</t>
  </si>
  <si>
    <t>Exigence idenfiée pendant la phase</t>
  </si>
  <si>
    <t>Description de l'exigence</t>
  </si>
  <si>
    <t>Source</t>
  </si>
  <si>
    <t>Desciption de la solution ADDIXO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</si>
  <si>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</si>
  <si>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</si>
  <si>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</si>
  <si>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</si>
  <si>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</si>
  <si>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</si>
  <si>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</si>
  <si>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</si>
  <si>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</si>
  <si>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</si>
  <si>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</si>
  <si>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</si>
  <si>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</si>
  <si>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</si>
  <si>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Déclaration de production</t>
  </si>
  <si>
    <t>Utiliser le module EoL pour déclaration des quantités produites.</t>
  </si>
  <si>
    <t>E002</t>
  </si>
  <si>
    <t>Intégration Module End Of Line</t>
  </si>
  <si>
    <t>Intégrer le module End Of Line avec la vue 360° et les tableaux de bord Standards de Smart Factory</t>
  </si>
  <si>
    <t>Intégrer le module End Of Line avec la vue 360° et les tableaux de bord Standards de Smart Factory
Création automatique des OF (En mode Auto).
Gestion des OF : Suspension, Clôture</t>
  </si>
  <si>
    <t>RAS</t>
  </si>
  <si>
    <t>E003</t>
  </si>
  <si>
    <t>Suivi des arrêts</t>
  </si>
  <si>
    <t>En cas d'absence de production un arrêt automatique est déclenché sur la ligne avec possiblité de lancer des arrêts manuels au besoin.</t>
  </si>
  <si>
    <t>Utiliser le paramètre arrêt forcé pour déclencher des arrêts en cas d'absence de production pour une durée de temps paramètrable.
Utiliser l'arrêt manuel à partir de l'interface détails ligne.
Adaptation : Paramètrer l'accès au modal des arrêts</t>
  </si>
  <si>
    <t>E004</t>
  </si>
  <si>
    <t>Déclaration des Non-conformités</t>
  </si>
  <si>
    <t>Déclarer les pièces non-conformes et leurs défauts</t>
  </si>
  <si>
    <t>Utiliser l'interface de comptage pour déclarer les non-conformités et les défauts.</t>
  </si>
  <si>
    <t>E005</t>
  </si>
  <si>
    <t>Vue 360°</t>
  </si>
  <si>
    <t>Utiliser la vue 360° pour le suivi temps réel des indicateurs de production</t>
  </si>
  <si>
    <t>E006</t>
  </si>
  <si>
    <t>Tableau de bord</t>
  </si>
  <si>
    <t>Utiliser les tableaux de bord Production et Qualité pour consulter et analyser l'historique de production</t>
  </si>
  <si>
    <t>E007</t>
  </si>
  <si>
    <t>Ajouter la configuration des Produits EoL</t>
  </si>
  <si>
    <t>Ajouter les champs nécessaires pour le fonctionnement du module EoL au niveau de la gestion Produit de la version Standard</t>
  </si>
  <si>
    <t>Ajouter les champs nécessaires pour le fonctionnement du module EoL au niveau du produit (22 Champs).</t>
  </si>
  <si>
    <t>E008</t>
  </si>
  <si>
    <t>Gestion des Cartons</t>
  </si>
  <si>
    <t>Intégrer la gestion des cartons dans la version standards</t>
  </si>
  <si>
    <t>E009</t>
  </si>
  <si>
    <t>Gestion des Intercalaires</t>
  </si>
  <si>
    <t>Intégrer la gestion des intercalaires dans la version standard</t>
  </si>
  <si>
    <t>E010</t>
  </si>
  <si>
    <t>Gestion des instructions</t>
  </si>
  <si>
    <t>Intégrer la gestion des instructions dans la version standard</t>
  </si>
  <si>
    <t>E011</t>
  </si>
  <si>
    <t>Gestion des accessoires</t>
  </si>
  <si>
    <t>Intégrer la gestion des accessoires dans la version standard</t>
  </si>
  <si>
    <t>Intégrer la gestion des acceccoires dans la version standard</t>
  </si>
  <si>
    <t>E012</t>
  </si>
  <si>
    <t>Gestion des imprimantes</t>
  </si>
  <si>
    <t>Intégrer la gestion des imprimantes dans la version standard</t>
  </si>
  <si>
    <t>E013</t>
  </si>
  <si>
    <t>Gestion des Edgebox</t>
  </si>
  <si>
    <t>Ajouter le champs 'Connected to printer' dans la gestion des EdgeBox</t>
  </si>
  <si>
    <t>E014</t>
  </si>
  <si>
    <t>Consultation Log</t>
  </si>
  <si>
    <t>Intégrer la consultation des logs dans la version standard</t>
  </si>
  <si>
    <t>E015</t>
  </si>
  <si>
    <t>Seuil Vibration</t>
  </si>
  <si>
    <t>Ajouter le seuil de vibration dans la version standard</t>
  </si>
  <si>
    <t>Ajouter le seuil de vibration dans la version standard en ajoutant un contrôle d'affectation par ligne</t>
  </si>
  <si>
    <t>E016</t>
  </si>
  <si>
    <t>Intégration des Produits</t>
  </si>
  <si>
    <t>Porter l'intégration des Produits EoL vers la version Standard</t>
  </si>
  <si>
    <t>E017</t>
  </si>
  <si>
    <t>Migration de l'interface Déclaration de la production</t>
  </si>
  <si>
    <t xml:space="preserve">Porter l'interface Déclaration de la production vers la version standard Smart factory </t>
  </si>
  <si>
    <t>Migration Module End Of Line</t>
  </si>
  <si>
    <t xml:space="preserve">Intégrer le module End of line dans la version standard Smart factory </t>
  </si>
  <si>
    <t xml:space="preserve">Porter l'interface End of line vers la version standard Smart factory </t>
  </si>
  <si>
    <t>End_Line</t>
  </si>
  <si>
    <t>OF</t>
  </si>
  <si>
    <t>Line</t>
  </si>
  <si>
    <t xml:space="preserve">Produit </t>
  </si>
  <si>
    <t xml:space="preserve">Qté Actuel 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</si>
  <si>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</si>
  <si>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</si>
  <si>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</si>
  <si>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</si>
  <si>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</si>
  <si>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</si>
  <si>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</si>
  <si>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</si>
  <si>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>Version initaile</t>
  </si>
  <si>
    <t>Nihel K.</t>
  </si>
  <si>
    <t xml:space="preserve">Mahdi B. + FerjaniaB. </t>
  </si>
  <si>
    <t>Imed A.</t>
  </si>
  <si>
    <t>Exigence identifiée pendant la phase</t>
  </si>
  <si>
    <t>Oui/Non</t>
  </si>
  <si>
    <t>Statut Interne</t>
  </si>
  <si>
    <t xml:space="preserve">Phase </t>
  </si>
  <si>
    <t>SE</t>
  </si>
  <si>
    <t>Fonctionnelle</t>
  </si>
  <si>
    <t>Commerciale</t>
  </si>
  <si>
    <t>CdC client</t>
  </si>
  <si>
    <t>Oui</t>
  </si>
  <si>
    <t>Validée par le client</t>
  </si>
  <si>
    <t>Validée</t>
  </si>
  <si>
    <t>*** SE</t>
  </si>
  <si>
    <t>Phase 1</t>
  </si>
  <si>
    <t>SE-TN</t>
  </si>
  <si>
    <t>Performance</t>
  </si>
  <si>
    <t>Conception</t>
  </si>
  <si>
    <t>Workshop/réunion client</t>
  </si>
  <si>
    <t>Non</t>
  </si>
  <si>
    <t>Non validée par client</t>
  </si>
  <si>
    <t>Non validée</t>
  </si>
  <si>
    <t>SE-Processus</t>
  </si>
  <si>
    <t>Phase 2</t>
  </si>
  <si>
    <t>SE-MA</t>
  </si>
  <si>
    <t>Reglementaire</t>
  </si>
  <si>
    <t>Réalisation</t>
  </si>
  <si>
    <t>Workshop/réunion Interne</t>
  </si>
  <si>
    <t>N/A</t>
  </si>
  <si>
    <t>SE-Mécanique</t>
  </si>
  <si>
    <t>Phase 3</t>
  </si>
  <si>
    <t>Sécurité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</si>
  <si>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</si>
  <si>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</si>
  <si>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</si>
  <si>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</si>
  <si>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</si>
  <si>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</si>
  <si>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</si>
  <si>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</si>
  <si>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</si>
  <si>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</si>
  <si>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</si>
  <si>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</si>
  <si>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A définir</t>
  </si>
  <si>
    <t>Demande modification</t>
  </si>
  <si>
    <t>SE-Fabrication</t>
  </si>
  <si>
    <t>SE-Intégration</t>
  </si>
  <si>
    <t>SE-Achats</t>
  </si>
  <si>
    <t>*** SF</t>
  </si>
  <si>
    <t>SF-Processus</t>
  </si>
  <si>
    <t>SF-Fonctionnelle</t>
  </si>
  <si>
    <t>SF-Connectivité Machine</t>
  </si>
  <si>
    <t>SF-Intégration SI</t>
  </si>
  <si>
    <t>SF-Software</t>
  </si>
  <si>
    <t>SF-Infra IT</t>
  </si>
  <si>
    <t>*** TC</t>
  </si>
  <si>
    <t>TC-Prestations sur site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</si>
</sst>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0" borderId="0" xfId="0" applyFont="1"/>
    <xf numFmtId="0" fontId="17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5" fillId="5" borderId="4" xfId="0" applyFont="1" applyFill="1" applyBorder="1" applyAlignment="1">
      <alignment wrapText="1"/>
    </xf>
    <xf numFmtId="0" fontId="11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" fillId="6" borderId="0" xfId="0" applyFont="1" applyFill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vertical="center" wrapText="1"/>
    </xf>
    <xf numFmtId="0" fontId="10" fillId="7" borderId="3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6" borderId="6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201706</xdr:colOff>
      <xdr:row>2</xdr:row>
      <xdr:rowOff>112059</xdr:rowOff>
    </xdr:from>
    <xdr:to>
      <xdr:col>2</xdr:col>
      <xdr:colOff>1291766</xdr:colOff>
      <xdr:row>2</xdr:row>
      <xdr:rowOff>568713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68FDDBE-FF59-4CE8-923A-21840894952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706" y="560294"/>
          <a:ext cx="1495153" cy="44903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V32" totalsRowCount="1" headerRowDxfId="51" dataDxfId="50">
  <autoFilter ref="B13:V31" xr:uid="{DDEA2C8B-EE0D-4C55-9256-CCC64E002CE6}"/>
  <tableColumns count="21">
    <tableColumn id="1" xr3:uid="{E467E0EE-CDAA-4FF5-85A8-CDC0B23A5AD9}" name="ID" dataDxfId="49" totalsRowDxfId="48"/>
    <tableColumn id="2" xr3:uid="{E53952AC-4972-47BD-8B1D-C7EF23088D0D}" name="Intitulé Exigence" dataDxfId="47" totalsRowDxfId="46"/>
    <tableColumn id="8" xr3:uid="{B2D0BC2C-C803-4015-8FA6-70F84517BDB2}" name="Nature" dataDxfId="45" totalsRowDxfId="44"/>
    <tableColumn id="7" xr3:uid="{24F2F0ED-022E-4EC1-91D8-BFE0E4F2FD36}" name="Catégorie" dataDxfId="43" totalsRowDxfId="42"/>
    <tableColumn id="10" xr3:uid="{1FF81CF1-6D35-421C-8767-9E7FA06FEE6A}" name="Exigence idenfiée pendant la phase" dataDxfId="41" totalsRowDxfId="40"/>
    <tableColumn id="3" xr3:uid="{E7621A68-9552-4853-96A5-92A226EA42DD}" name="Description de l'exigence" dataDxfId="39" totalsRowDxfId="38"/>
    <tableColumn id="9" xr3:uid="{E6EEEC82-3576-4980-94B3-1423906CE531}" name="Source" dataDxfId="37" totalsRowDxfId="36"/>
    <tableColumn id="16" xr3:uid="{1441554A-79F9-4040-9CF5-AEBFF7ADF7D1}" name="Desciption de la solution ADDIXO" dataDxfId="35" totalsRowDxfId="34"/>
    <tableColumn id="17" xr3:uid="{D1BC9C86-C3CE-417F-AC83-FC4786A7656D}" name="Ecart entre exigence client et la solution proposée - préciser aussi les limites et hypothèses si applicable" dataDxfId="33" totalsRowDxfId="32"/>
    <tableColumn id="5" xr3:uid="{2649C3B7-E8B9-44F9-8883-E5BB6F91B4B1}" name="Validation Interne" dataDxfId="31" totalsRowDxfId="30"/>
    <tableColumn id="6" xr3:uid="{8CC493F8-0886-498D-AB98-B77300CC6510}" name="Validation Interne par:" dataDxfId="29" totalsRowDxfId="28"/>
    <tableColumn id="15" xr3:uid="{78231C60-0932-4386-925D-4C689A91C0E3}" name="Statut Client" dataDxfId="27" totalsRowDxfId="26"/>
    <tableColumn id="22" xr3:uid="{D944A0FD-E468-407F-91A6-BD8A29086A7B}" name="HJ Dev" totalsRowFunction="sum" dataDxfId="25" totalsRowDxfId="24"/>
    <tableColumn id="21" xr3:uid="{818C68C5-1CC3-4DC9-9BB8-2CB7816ABE9F}" name="HJ Analyse et Test" totalsRowFunction="sum" dataDxfId="23" totalsRowDxfId="22">
      <calculatedColumnFormula>Tableau3[[#This Row],[HJ Dev]]*(35%+15%)</calculatedColumnFormula>
    </tableColumn>
    <tableColumn id="20" xr3:uid="{81CB5860-4285-4425-ABF9-C91F3323BF25}" name="Total HJ" totalsRowFunction="sum" dataDxfId="21" totalsRowDxfId="20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19" totalsRowDxfId="18"/>
    <tableColumn id="12" xr3:uid="{36B390F4-625A-46E1-864B-7108903FFD96}" name="Conception réalisée par:" dataDxfId="17" totalsRowDxfId="16"/>
    <tableColumn id="13" xr3:uid="{9016419E-83A5-4950-AB28-EA27A0D72FAD}" name="Revue conception réalisée par" dataDxfId="15" totalsRowDxfId="14"/>
    <tableColumn id="14" xr3:uid="{B5F29B7E-09EB-43EF-BD3D-9ADF38F7CC12}" name="Vérification de la conception réalisée par" dataDxfId="13" totalsRowDxfId="12"/>
    <tableColumn id="18" xr3:uid="{0CA25C90-64D6-43D5-90C8-CE6D70CCA638}" name="Preuve de vérification " dataDxfId="11" totalsRowDxfId="10"/>
    <tableColumn id="4" xr3:uid="{B7406A3A-A365-4F76-9A20-372573D19BC9}" name="Notes" dataDxfId="9" totalsRowDxfId="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V32"/>
  <sheetViews>
    <sheetView tabSelected="1" topLeftCell="H6" zoomScaleNormal="100" workbookViewId="0">
      <selection activeCell="N38" sqref="N38"/>
    </sheetView>
  </sheetViews>
  <sheetFormatPr baseColWidth="10" defaultColWidth="11.42578125" defaultRowHeight="12.75" x14ac:dyDescent="0.2"/>
  <cols>
    <col min="1" max="1" width="11.42578125" style="1"/>
    <col min="2" max="2" width="6.140625" style="1" customWidth="1"/>
    <col min="3" max="3" width="27.42578125" style="1" customWidth="1"/>
    <col min="4" max="5" width="18.28515625" style="1" hidden="1" customWidth="1"/>
    <col min="6" max="6" width="19.42578125" style="1" hidden="1" customWidth="1"/>
    <col min="7" max="7" width="107.42578125" style="1" customWidth="1"/>
    <col min="8" max="8" width="18.42578125" style="1" customWidth="1"/>
    <col min="9" max="9" width="108.28515625" style="1" customWidth="1"/>
    <col min="10" max="10" width="39.5703125" style="1" customWidth="1"/>
    <col min="11" max="11" width="13.5703125" style="1" customWidth="1"/>
    <col min="12" max="12" width="13.7109375" style="1" customWidth="1"/>
    <col min="13" max="13" width="14.28515625" style="1" customWidth="1"/>
    <col min="14" max="14" width="9.42578125" style="1" customWidth="1"/>
    <col min="15" max="15" width="15" style="1" customWidth="1"/>
    <col min="16" max="16" width="10.42578125" style="1" customWidth="1"/>
    <col min="17" max="17" width="41.7109375" style="1" customWidth="1"/>
    <col min="18" max="18" width="14.28515625" style="1" customWidth="1"/>
    <col min="19" max="19" width="19.28515625" style="1" customWidth="1"/>
    <col min="20" max="20" width="20.7109375" style="1" customWidth="1"/>
    <col min="21" max="21" width="13.42578125" style="1" customWidth="1"/>
    <col min="22" max="22" width="12.5703125" style="1" customWidth="1"/>
    <col min="23" max="16384" width="11.42578125" style="1"/>
  </cols>
  <sheetData>
    <row r="1" spans="2:22" ht="13.5" thickBot="1" x14ac:dyDescent="0.25"/>
    <row r="2" spans="2:22" ht="21.75" customHeight="1" thickBot="1" x14ac:dyDescent="0.35">
      <c r="B2" s="45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7"/>
      <c r="N2" s="48" t="s">
        <v>1</v>
      </c>
      <c r="O2" s="49"/>
      <c r="P2" s="50"/>
      <c r="Q2" s="42" t="s">
        <v>2</v>
      </c>
      <c r="R2" s="43"/>
      <c r="S2" s="43"/>
      <c r="T2" s="43"/>
      <c r="U2" s="43"/>
      <c r="V2" s="44"/>
    </row>
    <row r="3" spans="2:22" ht="53.25" customHeight="1" x14ac:dyDescent="0.2">
      <c r="C3" s="8"/>
      <c r="D3" s="8"/>
      <c r="E3" s="8"/>
      <c r="F3" s="8"/>
      <c r="G3" s="8"/>
      <c r="H3" s="8"/>
      <c r="I3" s="8"/>
    </row>
    <row r="4" spans="2:22" ht="21" customHeight="1" x14ac:dyDescent="0.2">
      <c r="B4" s="28" t="s">
        <v>3</v>
      </c>
      <c r="C4" s="8"/>
      <c r="D4" s="30" t="s">
        <v>4</v>
      </c>
      <c r="E4" s="8"/>
      <c r="F4" s="8"/>
      <c r="G4" s="8" t="s">
        <v>4</v>
      </c>
      <c r="H4" s="8"/>
      <c r="I4" s="8"/>
    </row>
    <row r="5" spans="2:22" ht="21.75" customHeight="1" x14ac:dyDescent="0.25">
      <c r="B5" s="25" t="s">
        <v>5</v>
      </c>
      <c r="D5" s="3" t="s">
        <v>6</v>
      </c>
      <c r="E5" s="3"/>
      <c r="F5" s="3"/>
      <c r="G5" s="3" t="s">
        <v>6</v>
      </c>
      <c r="H5" s="3"/>
      <c r="I5" s="3"/>
    </row>
    <row r="6" spans="2:22" ht="21" customHeight="1" thickBot="1" x14ac:dyDescent="0.3">
      <c r="B6" s="25" t="s">
        <v>7</v>
      </c>
      <c r="D6" s="3" t="s">
        <v>8</v>
      </c>
      <c r="E6" s="3"/>
      <c r="F6" s="3"/>
      <c r="G6" s="3" t="s">
        <v>9</v>
      </c>
      <c r="H6" s="3"/>
      <c r="I6" s="3"/>
    </row>
    <row r="7" spans="2:22" ht="20.45" customHeight="1" thickBot="1" x14ac:dyDescent="0.3">
      <c r="B7" s="25" t="s">
        <v>10</v>
      </c>
      <c r="D7" s="3" t="s">
        <v>11</v>
      </c>
      <c r="E7" s="3"/>
      <c r="F7" s="3"/>
      <c r="G7" s="29" t="s">
        <v>12</v>
      </c>
      <c r="H7" s="3"/>
      <c r="I7" s="3"/>
    </row>
    <row r="8" spans="2:22" ht="21.6" customHeight="1" x14ac:dyDescent="0.25">
      <c r="B8" s="25" t="s">
        <v>13</v>
      </c>
      <c r="D8" s="3" t="s">
        <v>14</v>
      </c>
      <c r="E8" s="3"/>
      <c r="F8" s="3"/>
      <c r="G8" s="3"/>
      <c r="H8" s="3"/>
      <c r="I8" s="3"/>
    </row>
    <row r="9" spans="2:22" ht="15" x14ac:dyDescent="0.25">
      <c r="C9" s="3"/>
      <c r="D9" s="22"/>
      <c r="E9" s="22"/>
      <c r="F9" s="22"/>
      <c r="G9" s="22"/>
      <c r="H9" s="22"/>
      <c r="I9" s="22"/>
    </row>
    <row r="10" spans="2:22" x14ac:dyDescent="0.2">
      <c r="B10" s="26" t="s">
        <v>15</v>
      </c>
      <c r="C10" s="27"/>
      <c r="D10" s="26" t="s">
        <v>16</v>
      </c>
      <c r="E10" s="9"/>
      <c r="F10" s="9"/>
      <c r="I10" s="20" t="s">
        <v>17</v>
      </c>
    </row>
    <row r="11" spans="2:22" x14ac:dyDescent="0.2">
      <c r="B11" s="26" t="s">
        <v>18</v>
      </c>
      <c r="C11" s="27"/>
      <c r="D11" s="26" t="s">
        <v>19</v>
      </c>
      <c r="E11" s="9"/>
      <c r="F11" s="9"/>
    </row>
    <row r="12" spans="2:22" ht="13.5" thickBot="1" x14ac:dyDescent="0.25"/>
    <row r="13" spans="2:22" s="10" customFormat="1" ht="39" thickBot="1" x14ac:dyDescent="0.25">
      <c r="B13" s="33" t="s">
        <v>20</v>
      </c>
      <c r="C13" s="34" t="s">
        <v>21</v>
      </c>
      <c r="D13" s="34" t="s">
        <v>22</v>
      </c>
      <c r="E13" s="34" t="s">
        <v>23</v>
      </c>
      <c r="F13" s="34" t="s">
        <v>24</v>
      </c>
      <c r="G13" s="35" t="s">
        <v>25</v>
      </c>
      <c r="H13" s="18" t="s">
        <v>26</v>
      </c>
      <c r="I13" s="18" t="s">
        <v>27</v>
      </c>
      <c r="J13" s="18" t="s">
        <v>28</v>
      </c>
      <c r="K13" s="18" t="s">
        <v>29</v>
      </c>
      <c r="L13" s="18" t="s">
        <v>30</v>
      </c>
      <c r="M13" s="19" t="s">
        <v>31</v>
      </c>
      <c r="N13" s="14" t="s">
        <v>32</v>
      </c>
      <c r="O13" s="14" t="s">
        <v>33</v>
      </c>
      <c r="P13" s="14" t="s">
        <v>34</v>
      </c>
      <c r="Q13" s="15" t="s">
        <v>35</v>
      </c>
      <c r="R13" s="16" t="s">
        <v>36</v>
      </c>
      <c r="S13" s="16" t="s">
        <v>37</v>
      </c>
      <c r="T13" s="16" t="s">
        <v>38</v>
      </c>
      <c r="U13" s="16" t="s">
        <v>39</v>
      </c>
      <c r="V13" s="17" t="s">
        <v>40</v>
      </c>
    </row>
    <row r="14" spans="2:22" s="32" customFormat="1" ht="25.15" customHeight="1" x14ac:dyDescent="0.2">
      <c r="B14" s="36" t="s">
        <v>41</v>
      </c>
      <c r="C14" s="32" t="s">
        <v>42</v>
      </c>
      <c r="G14" s="37" t="s">
        <v>43</v>
      </c>
      <c r="I14" s="32" t="s">
        <v>43</v>
      </c>
      <c r="N14" s="32">
        <v>0</v>
      </c>
      <c r="O14" s="32">
        <f>Tableau3[[#This Row],[HJ Dev]]*(35%+15%)</f>
        <v>0</v>
      </c>
      <c r="P14" s="32">
        <f>Tableau3[[#This Row],[HJ Analyse et Test]]+Tableau3[[#This Row],[HJ Dev]]</f>
        <v>0</v>
      </c>
    </row>
    <row r="15" spans="2:22" s="32" customFormat="1" ht="38.25" x14ac:dyDescent="0.2">
      <c r="B15" s="36" t="s">
        <v>44</v>
      </c>
      <c r="C15" s="10" t="s">
        <v>45</v>
      </c>
      <c r="D15" s="10"/>
      <c r="E15" s="10"/>
      <c r="F15" s="10"/>
      <c r="G15" s="38" t="s">
        <v>46</v>
      </c>
      <c r="H15" s="10"/>
      <c r="I15" s="10" t="s">
        <v>47</v>
      </c>
      <c r="J15" s="10" t="s">
        <v>48</v>
      </c>
      <c r="K15" s="10"/>
      <c r="L15" s="10"/>
      <c r="M15" s="10"/>
      <c r="N15" s="10">
        <v>4</v>
      </c>
      <c r="O15" s="10">
        <f>Tableau3[[#This Row],[HJ Dev]]*(35%+15%)</f>
        <v>2</v>
      </c>
      <c r="P15" s="10">
        <f>Tableau3[[#This Row],[HJ Analyse et Test]]+Tableau3[[#This Row],[HJ Dev]]</f>
        <v>6</v>
      </c>
      <c r="Q15" s="10"/>
      <c r="R15" s="10"/>
      <c r="S15" s="10"/>
      <c r="T15" s="10"/>
      <c r="U15" s="10"/>
      <c r="V15" s="10"/>
    </row>
    <row r="16" spans="2:22" s="32" customFormat="1" ht="38.25" x14ac:dyDescent="0.2">
      <c r="B16" s="36" t="s">
        <v>49</v>
      </c>
      <c r="C16" s="10" t="s">
        <v>50</v>
      </c>
      <c r="D16" s="10"/>
      <c r="E16" s="10"/>
      <c r="F16" s="10"/>
      <c r="G16" s="38" t="s">
        <v>51</v>
      </c>
      <c r="H16" s="10"/>
      <c r="I16" s="10" t="s">
        <v>52</v>
      </c>
      <c r="J16" s="10" t="s">
        <v>48</v>
      </c>
      <c r="K16" s="10"/>
      <c r="L16" s="10"/>
      <c r="M16" s="10"/>
      <c r="N16" s="10">
        <v>0</v>
      </c>
      <c r="O16" s="10">
        <f>Tableau3[[#This Row],[HJ Dev]]*(35%+15%)</f>
        <v>0</v>
      </c>
      <c r="P16" s="10">
        <f>Tableau3[[#This Row],[HJ Analyse et Test]]+Tableau3[[#This Row],[HJ Dev]]</f>
        <v>0</v>
      </c>
      <c r="Q16" s="10"/>
      <c r="R16" s="10"/>
      <c r="S16" s="10"/>
      <c r="T16" s="10"/>
      <c r="U16" s="10"/>
      <c r="V16" s="10"/>
    </row>
    <row r="17" spans="2:22" s="32" customFormat="1" ht="26.45" customHeight="1" x14ac:dyDescent="0.2">
      <c r="B17" s="36" t="s">
        <v>53</v>
      </c>
      <c r="C17" s="10" t="s">
        <v>54</v>
      </c>
      <c r="D17" s="10"/>
      <c r="E17" s="10"/>
      <c r="F17" s="10"/>
      <c r="G17" s="38" t="s">
        <v>55</v>
      </c>
      <c r="H17" s="10"/>
      <c r="I17" s="10" t="s">
        <v>56</v>
      </c>
      <c r="J17" s="10" t="s">
        <v>48</v>
      </c>
      <c r="K17" s="10"/>
      <c r="L17" s="10"/>
      <c r="M17" s="10"/>
      <c r="N17" s="10">
        <v>0</v>
      </c>
      <c r="O17" s="10">
        <f>Tableau3[[#This Row],[HJ Dev]]*(35%+15%)</f>
        <v>0</v>
      </c>
      <c r="P17" s="10">
        <f>Tableau3[[#This Row],[HJ Analyse et Test]]+Tableau3[[#This Row],[HJ Dev]]</f>
        <v>0</v>
      </c>
      <c r="Q17" s="10"/>
      <c r="R17" s="10"/>
      <c r="S17" s="10"/>
      <c r="T17" s="10"/>
      <c r="U17" s="10"/>
      <c r="V17" s="10"/>
    </row>
    <row r="18" spans="2:22" s="32" customFormat="1" ht="22.15" customHeight="1" x14ac:dyDescent="0.2">
      <c r="B18" s="36" t="s">
        <v>57</v>
      </c>
      <c r="C18" s="10" t="s">
        <v>58</v>
      </c>
      <c r="D18" s="10"/>
      <c r="E18" s="10"/>
      <c r="F18" s="10"/>
      <c r="G18" s="38" t="s">
        <v>59</v>
      </c>
      <c r="H18" s="10"/>
      <c r="I18" s="10" t="s">
        <v>59</v>
      </c>
      <c r="J18" s="10"/>
      <c r="K18" s="10"/>
      <c r="L18" s="10"/>
      <c r="M18" s="10"/>
      <c r="N18" s="10">
        <v>0</v>
      </c>
      <c r="O18" s="10">
        <f>Tableau3[[#This Row],[HJ Dev]]*(35%+15%)</f>
        <v>0</v>
      </c>
      <c r="P18" s="10">
        <f>Tableau3[[#This Row],[HJ Analyse et Test]]+Tableau3[[#This Row],[HJ Dev]]</f>
        <v>0</v>
      </c>
      <c r="Q18" s="10"/>
      <c r="R18" s="10"/>
      <c r="S18" s="10"/>
      <c r="T18" s="10"/>
      <c r="U18" s="10"/>
      <c r="V18" s="10"/>
    </row>
    <row r="19" spans="2:22" s="32" customFormat="1" ht="22.9" customHeight="1" x14ac:dyDescent="0.2">
      <c r="B19" s="36" t="s">
        <v>60</v>
      </c>
      <c r="C19" s="10" t="s">
        <v>61</v>
      </c>
      <c r="D19" s="10"/>
      <c r="E19" s="10"/>
      <c r="F19" s="10"/>
      <c r="G19" s="38" t="s">
        <v>62</v>
      </c>
      <c r="H19" s="10"/>
      <c r="I19" s="10" t="s">
        <v>62</v>
      </c>
      <c r="J19" s="10"/>
      <c r="K19" s="10"/>
      <c r="L19" s="10"/>
      <c r="M19" s="10"/>
      <c r="N19" s="10">
        <v>0</v>
      </c>
      <c r="O19" s="10">
        <f>Tableau3[[#This Row],[HJ Dev]]*(35%+15%)</f>
        <v>0</v>
      </c>
      <c r="P19" s="10">
        <f>Tableau3[[#This Row],[HJ Analyse et Test]]+Tableau3[[#This Row],[HJ Dev]]</f>
        <v>0</v>
      </c>
      <c r="Q19" s="10"/>
      <c r="R19" s="10"/>
      <c r="S19" s="10"/>
      <c r="T19" s="10"/>
      <c r="U19" s="10"/>
      <c r="V19" s="10"/>
    </row>
    <row r="20" spans="2:22" s="32" customFormat="1" ht="25.5" hidden="1" x14ac:dyDescent="0.2">
      <c r="B20" s="36" t="s">
        <v>63</v>
      </c>
      <c r="C20" s="32" t="s">
        <v>64</v>
      </c>
      <c r="G20" s="37" t="s">
        <v>65</v>
      </c>
      <c r="I20" s="32" t="s">
        <v>66</v>
      </c>
      <c r="J20" s="10" t="s">
        <v>48</v>
      </c>
      <c r="N20" s="32">
        <v>0.5</v>
      </c>
      <c r="O20" s="32">
        <f>Tableau3[[#This Row],[HJ Dev]]*(35%+15%)</f>
        <v>0.25</v>
      </c>
      <c r="P20" s="32">
        <f>Tableau3[[#This Row],[HJ Analyse et Test]]+Tableau3[[#This Row],[HJ Dev]]</f>
        <v>0.75</v>
      </c>
    </row>
    <row r="21" spans="2:22" s="32" customFormat="1" hidden="1" x14ac:dyDescent="0.2">
      <c r="B21" s="36" t="s">
        <v>67</v>
      </c>
      <c r="C21" s="32" t="s">
        <v>68</v>
      </c>
      <c r="G21" s="37" t="s">
        <v>69</v>
      </c>
      <c r="I21" s="32" t="s">
        <v>69</v>
      </c>
      <c r="J21" s="10" t="s">
        <v>48</v>
      </c>
      <c r="N21" s="32">
        <v>0.5</v>
      </c>
      <c r="O21" s="32">
        <f>Tableau3[[#This Row],[HJ Dev]]*(35%+15%)</f>
        <v>0.25</v>
      </c>
      <c r="P21" s="32">
        <f>Tableau3[[#This Row],[HJ Analyse et Test]]+Tableau3[[#This Row],[HJ Dev]]</f>
        <v>0.75</v>
      </c>
    </row>
    <row r="22" spans="2:22" s="32" customFormat="1" hidden="1" x14ac:dyDescent="0.2">
      <c r="B22" s="36" t="s">
        <v>70</v>
      </c>
      <c r="C22" s="32" t="s">
        <v>71</v>
      </c>
      <c r="G22" s="37" t="s">
        <v>72</v>
      </c>
      <c r="I22" s="32" t="s">
        <v>72</v>
      </c>
      <c r="J22" s="10" t="s">
        <v>48</v>
      </c>
      <c r="N22" s="32">
        <v>0.5</v>
      </c>
      <c r="O22" s="32">
        <f>Tableau3[[#This Row],[HJ Dev]]*(35%+15%)</f>
        <v>0.25</v>
      </c>
      <c r="P22" s="32">
        <f>Tableau3[[#This Row],[HJ Analyse et Test]]+Tableau3[[#This Row],[HJ Dev]]</f>
        <v>0.75</v>
      </c>
    </row>
    <row r="23" spans="2:22" s="32" customFormat="1" hidden="1" x14ac:dyDescent="0.2">
      <c r="B23" s="36" t="s">
        <v>73</v>
      </c>
      <c r="C23" s="32" t="s">
        <v>74</v>
      </c>
      <c r="G23" s="37" t="s">
        <v>75</v>
      </c>
      <c r="I23" s="32" t="s">
        <v>75</v>
      </c>
      <c r="J23" s="10" t="s">
        <v>48</v>
      </c>
      <c r="N23" s="32">
        <v>0.5</v>
      </c>
      <c r="O23" s="32">
        <f>Tableau3[[#This Row],[HJ Dev]]*(35%+15%)</f>
        <v>0.25</v>
      </c>
      <c r="P23" s="32">
        <f>Tableau3[[#This Row],[HJ Analyse et Test]]+Tableau3[[#This Row],[HJ Dev]]</f>
        <v>0.75</v>
      </c>
    </row>
    <row r="24" spans="2:22" s="32" customFormat="1" hidden="1" x14ac:dyDescent="0.2">
      <c r="B24" s="36" t="s">
        <v>76</v>
      </c>
      <c r="C24" s="32" t="s">
        <v>77</v>
      </c>
      <c r="G24" s="37" t="s">
        <v>78</v>
      </c>
      <c r="I24" s="32" t="s">
        <v>79</v>
      </c>
      <c r="J24" s="10" t="s">
        <v>48</v>
      </c>
      <c r="N24" s="32">
        <v>0.5</v>
      </c>
      <c r="O24" s="32">
        <f>Tableau3[[#This Row],[HJ Dev]]*(35%+15%)</f>
        <v>0.25</v>
      </c>
      <c r="P24" s="32">
        <f>Tableau3[[#This Row],[HJ Analyse et Test]]+Tableau3[[#This Row],[HJ Dev]]</f>
        <v>0.75</v>
      </c>
    </row>
    <row r="25" spans="2:22" s="32" customFormat="1" hidden="1" x14ac:dyDescent="0.2">
      <c r="B25" s="36" t="s">
        <v>80</v>
      </c>
      <c r="C25" s="32" t="s">
        <v>81</v>
      </c>
      <c r="G25" s="37" t="s">
        <v>82</v>
      </c>
      <c r="I25" s="32" t="s">
        <v>82</v>
      </c>
      <c r="J25" s="10" t="s">
        <v>48</v>
      </c>
      <c r="N25" s="32">
        <v>0.5</v>
      </c>
      <c r="O25" s="32">
        <f>Tableau3[[#This Row],[HJ Dev]]*(35%+15%)</f>
        <v>0.25</v>
      </c>
      <c r="P25" s="32">
        <f>Tableau3[[#This Row],[HJ Analyse et Test]]+Tableau3[[#This Row],[HJ Dev]]</f>
        <v>0.75</v>
      </c>
    </row>
    <row r="26" spans="2:22" s="10" customFormat="1" hidden="1" x14ac:dyDescent="0.2">
      <c r="B26" s="36" t="s">
        <v>83</v>
      </c>
      <c r="C26" s="32" t="s">
        <v>84</v>
      </c>
      <c r="D26" s="32"/>
      <c r="E26" s="32"/>
      <c r="F26" s="32"/>
      <c r="G26" s="37" t="s">
        <v>85</v>
      </c>
      <c r="H26" s="32"/>
      <c r="I26" s="32" t="s">
        <v>85</v>
      </c>
      <c r="J26" s="10" t="s">
        <v>48</v>
      </c>
      <c r="K26" s="32"/>
      <c r="L26" s="32"/>
      <c r="M26" s="32"/>
      <c r="N26" s="32">
        <v>0.5</v>
      </c>
      <c r="O26" s="32">
        <f>Tableau3[[#This Row],[HJ Dev]]*(35%+15%)</f>
        <v>0.25</v>
      </c>
      <c r="P26" s="32">
        <f>Tableau3[[#This Row],[HJ Analyse et Test]]+Tableau3[[#This Row],[HJ Dev]]</f>
        <v>0.75</v>
      </c>
      <c r="Q26" s="32"/>
      <c r="R26" s="32"/>
      <c r="S26" s="32"/>
      <c r="T26" s="32"/>
      <c r="U26" s="32"/>
      <c r="V26" s="32"/>
    </row>
    <row r="27" spans="2:22" s="10" customFormat="1" hidden="1" x14ac:dyDescent="0.2">
      <c r="B27" s="36" t="s">
        <v>86</v>
      </c>
      <c r="C27" s="32" t="s">
        <v>87</v>
      </c>
      <c r="D27" s="32"/>
      <c r="E27" s="32"/>
      <c r="F27" s="32"/>
      <c r="G27" s="37" t="s">
        <v>88</v>
      </c>
      <c r="H27" s="32"/>
      <c r="I27" s="32" t="s">
        <v>88</v>
      </c>
      <c r="J27" s="10" t="s">
        <v>48</v>
      </c>
      <c r="K27" s="32"/>
      <c r="L27" s="32"/>
      <c r="M27" s="32"/>
      <c r="N27" s="32">
        <v>0.5</v>
      </c>
      <c r="O27" s="32">
        <f>Tableau3[[#This Row],[HJ Dev]]*(35%+15%)</f>
        <v>0.25</v>
      </c>
      <c r="P27" s="32">
        <f>Tableau3[[#This Row],[HJ Analyse et Test]]+Tableau3[[#This Row],[HJ Dev]]</f>
        <v>0.75</v>
      </c>
      <c r="Q27" s="32"/>
      <c r="R27" s="32"/>
      <c r="S27" s="32"/>
      <c r="T27" s="32"/>
      <c r="U27" s="32"/>
      <c r="V27" s="32"/>
    </row>
    <row r="28" spans="2:22" s="10" customFormat="1" hidden="1" x14ac:dyDescent="0.2">
      <c r="B28" s="36" t="s">
        <v>89</v>
      </c>
      <c r="C28" s="32" t="s">
        <v>90</v>
      </c>
      <c r="D28" s="32"/>
      <c r="E28" s="32"/>
      <c r="F28" s="32"/>
      <c r="G28" s="37" t="s">
        <v>91</v>
      </c>
      <c r="H28" s="32"/>
      <c r="I28" s="32" t="s">
        <v>92</v>
      </c>
      <c r="J28" s="10" t="s">
        <v>48</v>
      </c>
      <c r="K28" s="32"/>
      <c r="L28" s="32"/>
      <c r="M28" s="32"/>
      <c r="N28" s="32">
        <v>1</v>
      </c>
      <c r="O28" s="32">
        <f>Tableau3[[#This Row],[HJ Dev]]*(35%+15%)</f>
        <v>0.5</v>
      </c>
      <c r="P28" s="32">
        <f>Tableau3[[#This Row],[HJ Analyse et Test]]+Tableau3[[#This Row],[HJ Dev]]</f>
        <v>1.5</v>
      </c>
      <c r="Q28" s="32"/>
      <c r="R28" s="32"/>
      <c r="S28" s="32"/>
      <c r="T28" s="32"/>
      <c r="U28" s="32"/>
      <c r="V28" s="32"/>
    </row>
    <row r="29" spans="2:22" s="10" customFormat="1" hidden="1" x14ac:dyDescent="0.2">
      <c r="B29" s="36" t="s">
        <v>93</v>
      </c>
      <c r="C29" s="32" t="s">
        <v>94</v>
      </c>
      <c r="D29" s="32"/>
      <c r="E29" s="32"/>
      <c r="F29" s="32"/>
      <c r="G29" s="37" t="s">
        <v>95</v>
      </c>
      <c r="H29" s="32"/>
      <c r="I29" s="32" t="s">
        <v>95</v>
      </c>
      <c r="J29" s="10" t="s">
        <v>48</v>
      </c>
      <c r="K29" s="32"/>
      <c r="L29" s="32"/>
      <c r="M29" s="32"/>
      <c r="N29" s="32">
        <v>0.5</v>
      </c>
      <c r="O29" s="32">
        <f>Tableau3[[#This Row],[HJ Dev]]*(35%+15%)</f>
        <v>0.25</v>
      </c>
      <c r="P29" s="32">
        <f>Tableau3[[#This Row],[HJ Analyse et Test]]+Tableau3[[#This Row],[HJ Dev]]</f>
        <v>0.75</v>
      </c>
      <c r="Q29" s="32"/>
      <c r="R29" s="32"/>
      <c r="S29" s="32"/>
      <c r="T29" s="32"/>
      <c r="U29" s="32"/>
      <c r="V29" s="32"/>
    </row>
    <row r="30" spans="2:22" s="10" customFormat="1" ht="25.5" hidden="1" x14ac:dyDescent="0.2">
      <c r="B30" s="36" t="s">
        <v>96</v>
      </c>
      <c r="C30" s="32" t="s">
        <v>97</v>
      </c>
      <c r="D30" s="32"/>
      <c r="E30" s="32"/>
      <c r="F30" s="32"/>
      <c r="G30" s="38" t="s">
        <v>98</v>
      </c>
      <c r="I30" s="10" t="s">
        <v>98</v>
      </c>
      <c r="J30" s="10" t="s">
        <v>48</v>
      </c>
      <c r="K30" s="32"/>
      <c r="L30" s="32"/>
      <c r="M30" s="32"/>
      <c r="N30" s="32">
        <v>1</v>
      </c>
      <c r="O30" s="32">
        <f>Tableau3[[#This Row],[HJ Dev]]*(35%+15%)</f>
        <v>0.5</v>
      </c>
      <c r="P30" s="32">
        <f>Tableau3[[#This Row],[HJ Analyse et Test]]+Tableau3[[#This Row],[HJ Dev]]</f>
        <v>1.5</v>
      </c>
      <c r="Q30" s="32"/>
      <c r="R30" s="32"/>
      <c r="S30" s="32"/>
      <c r="T30" s="32"/>
      <c r="U30" s="32"/>
      <c r="V30" s="32"/>
    </row>
    <row r="31" spans="2:22" s="10" customFormat="1" ht="20.45" customHeight="1" x14ac:dyDescent="0.2">
      <c r="B31" s="36" t="s">
        <v>63</v>
      </c>
      <c r="C31" s="10" t="s">
        <v>99</v>
      </c>
      <c r="G31" s="38" t="s">
        <v>100</v>
      </c>
      <c r="I31" s="10" t="s">
        <v>101</v>
      </c>
      <c r="J31" s="10" t="s">
        <v>48</v>
      </c>
      <c r="N31" s="10">
        <v>3</v>
      </c>
      <c r="O31" s="10">
        <f>Tableau3[[#This Row],[HJ Dev]]*(35%+15%)</f>
        <v>1.5</v>
      </c>
      <c r="P31" s="10">
        <f>Tableau3[[#This Row],[HJ Analyse et Test]]+Tableau3[[#This Row],[HJ Dev]]</f>
        <v>4.5</v>
      </c>
    </row>
    <row r="32" spans="2:22" ht="13.5" thickBot="1" x14ac:dyDescent="0.25">
      <c r="B32" s="39"/>
      <c r="C32" s="40"/>
      <c r="D32" s="40"/>
      <c r="E32" s="40"/>
      <c r="F32" s="40"/>
      <c r="G32" s="41"/>
      <c r="H32" s="10"/>
      <c r="I32" s="10"/>
      <c r="J32" s="10"/>
      <c r="K32" s="10"/>
      <c r="L32" s="10"/>
      <c r="M32" s="10"/>
      <c r="N32" s="10">
        <f>SUBTOTAL(109,Tableau3[HJ Dev])</f>
        <v>7</v>
      </c>
      <c r="O32" s="10">
        <f>SUBTOTAL(109,Tableau3[HJ Analyse et Test])</f>
        <v>3.5</v>
      </c>
      <c r="P32" s="10">
        <f>SUBTOTAL(109,Tableau3[Total HJ])</f>
        <v>10.5</v>
      </c>
      <c r="Q32" s="10"/>
      <c r="R32" s="10"/>
      <c r="S32" s="10"/>
      <c r="T32" s="10"/>
      <c r="U32" s="10"/>
      <c r="V32" s="10"/>
    </row>
  </sheetData>
  <mergeCells count="3">
    <mergeCell ref="Q2:V2"/>
    <mergeCell ref="B2:M2"/>
    <mergeCell ref="N2:P2"/>
  </mergeCells>
  <phoneticPr fontId="2" type="noConversion"/>
  <dataValidations disablePrompts="1" count="1">
    <dataValidation type="whole" operator="greaterThanOrEqual" allowBlank="1" showInputMessage="1" showErrorMessage="1" sqref="O14:P31" xr:uid="{10E2E794-3894-4CC1-AB1A-9BB5BF41EABB}">
      <formula1>0</formula1>
    </dataValidation>
  </dataValidations>
  <pageMargins left="0.7" right="0.7" top="0.75" bottom="0.75" header="0.3" footer="0.3"/>
  <pageSetup paperSize="9" scale="75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9E253E9F-6967-4CE3-BEC2-E6EF086F8550}">
          <x14:formula1>
            <xm:f>Params!$B$3:$B$10</xm:f>
          </x14:formula1>
          <xm:sqref>D4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H14:H31</xm:sqref>
        </x14:dataValidation>
        <x14:dataValidation type="list" allowBlank="1" showInputMessage="1" showErrorMessage="1" xr:uid="{63E576AD-8CDE-4B1B-8DEC-1BE67CC8DE6D}">
          <x14:formula1>
            <xm:f>Params!$D$3:$D$10</xm:f>
          </x14:formula1>
          <xm:sqref>F14:F31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D14:D31</xm:sqref>
        </x14:dataValidation>
        <x14:dataValidation type="list" allowBlank="1" showInputMessage="1" showErrorMessage="1" xr:uid="{ACD971DD-EBC0-49A2-8B0F-955749BFC348}">
          <x14:formula1>
            <xm:f>Params!$I$3:$I$19</xm:f>
          </x14:formula1>
          <xm:sqref>E14:E31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5651-51F3-44A7-9242-C67213F2AEAE}">
  <dimension ref="E6:H9"/>
  <sheetViews>
    <sheetView topLeftCell="B1" workbookViewId="0">
      <selection activeCell="E9" sqref="E9:N9"/>
    </sheetView>
  </sheetViews>
  <sheetFormatPr baseColWidth="10" defaultColWidth="11.42578125" defaultRowHeight="12.75" x14ac:dyDescent="0.2"/>
  <sheetData>
    <row r="6" spans="5:8" x14ac:dyDescent="0.2">
      <c r="E6" t="s">
        <v>102</v>
      </c>
    </row>
    <row r="8" spans="5:8" x14ac:dyDescent="0.2">
      <c r="E8" t="s">
        <v>103</v>
      </c>
      <c r="F8" t="s">
        <v>104</v>
      </c>
      <c r="G8" t="s">
        <v>105</v>
      </c>
      <c r="H8" t="s">
        <v>106</v>
      </c>
    </row>
    <row r="9" spans="5:8" x14ac:dyDescent="0.2">
      <c r="H9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zoomScale="80" zoomScaleNormal="80" workbookViewId="0">
      <selection activeCell="A18" activeCellId="1" sqref="B14:G14 A18"/>
    </sheetView>
  </sheetViews>
  <sheetFormatPr baseColWidth="10" defaultColWidth="11.42578125" defaultRowHeight="15" x14ac:dyDescent="0.25"/>
  <cols>
    <col min="1" max="1" width="12" style="2" customWidth="1"/>
    <col min="2" max="2" width="10.140625" style="2" customWidth="1"/>
    <col min="3" max="3" width="11.42578125" style="2"/>
    <col min="4" max="4" width="58.28515625" style="2" customWidth="1"/>
    <col min="5" max="5" width="15.85546875" style="2" customWidth="1"/>
    <col min="6" max="6" width="22.28515625" style="2" customWidth="1"/>
    <col min="7" max="7" width="16.5703125" style="2" customWidth="1"/>
    <col min="8" max="16384" width="11.42578125" style="2"/>
  </cols>
  <sheetData>
    <row r="2" spans="1:7" ht="15.75" thickBot="1" x14ac:dyDescent="0.3"/>
    <row r="3" spans="1:7" ht="24" customHeight="1" thickBot="1" x14ac:dyDescent="0.3">
      <c r="A3" s="2" t="s">
        <v>107</v>
      </c>
      <c r="B3" s="51" t="s">
        <v>0</v>
      </c>
      <c r="C3" s="52"/>
      <c r="D3" s="52"/>
      <c r="E3" s="52"/>
      <c r="F3" s="52"/>
      <c r="G3" s="53"/>
    </row>
    <row r="4" spans="1:7" x14ac:dyDescent="0.25">
      <c r="B4" s="4"/>
      <c r="C4" s="5"/>
      <c r="D4" s="5"/>
      <c r="E4" s="5"/>
      <c r="F4" s="5"/>
      <c r="G4" s="5"/>
    </row>
    <row r="5" spans="1:7" x14ac:dyDescent="0.25">
      <c r="B5" s="12" t="str">
        <f>'Gestion Exigences'!B5</f>
        <v>Client</v>
      </c>
      <c r="D5" s="12" t="str">
        <f>'Gestion Exigences'!D5</f>
        <v>Cotherm</v>
      </c>
      <c r="E5" s="5"/>
      <c r="F5" s="5"/>
      <c r="G5" s="5"/>
    </row>
    <row r="6" spans="1:7" x14ac:dyDescent="0.25">
      <c r="B6" s="12" t="str">
        <f>'Gestion Exigences'!B6</f>
        <v>Projet</v>
      </c>
      <c r="D6" s="12" t="str">
        <f>'Gestion Exigences'!D6</f>
        <v>Mur qualité</v>
      </c>
      <c r="E6" s="5"/>
      <c r="F6" s="5"/>
      <c r="G6" s="5"/>
    </row>
    <row r="7" spans="1:7" x14ac:dyDescent="0.25">
      <c r="B7" s="12" t="str">
        <f>'Gestion Exigences'!B7</f>
        <v>Réf BPA du Devis</v>
      </c>
      <c r="D7" s="12" t="str">
        <f>'Gestion Exigences'!D7</f>
        <v>S0-00xyz</v>
      </c>
      <c r="E7" s="5"/>
      <c r="F7" s="5"/>
      <c r="G7" s="5"/>
    </row>
    <row r="8" spans="1:7" x14ac:dyDescent="0.25">
      <c r="B8" s="12" t="str">
        <f>'Gestion Exigences'!B8</f>
        <v>Réf BPA du Projet</v>
      </c>
      <c r="D8" s="12" t="str">
        <f>'Gestion Exigences'!D8</f>
        <v>PR-22-0xyz</v>
      </c>
      <c r="E8" s="5"/>
      <c r="F8" s="5"/>
      <c r="G8" s="5"/>
    </row>
    <row r="9" spans="1:7" x14ac:dyDescent="0.25">
      <c r="B9" s="4"/>
      <c r="C9" s="12"/>
      <c r="D9" s="5"/>
      <c r="E9" s="5"/>
      <c r="F9" s="5"/>
      <c r="G9" s="5"/>
    </row>
    <row r="10" spans="1:7" x14ac:dyDescent="0.25">
      <c r="B10" s="23" t="str">
        <f>'Gestion Exigences'!B10</f>
        <v>Réf Modèle Document</v>
      </c>
      <c r="C10" s="24" t="str">
        <f>'Gestion Exigences'!D10</f>
        <v>MD203</v>
      </c>
      <c r="D10" s="5"/>
      <c r="E10" s="5"/>
      <c r="F10" s="5"/>
      <c r="G10" s="5"/>
    </row>
    <row r="11" spans="1:7" x14ac:dyDescent="0.25">
      <c r="B11" s="23" t="str">
        <f>'Gestion Exigences'!B11</f>
        <v>Version Modèle Document</v>
      </c>
      <c r="C11" s="24" t="str">
        <f>'Gestion Exigences'!D11</f>
        <v>V1.5</v>
      </c>
      <c r="D11" s="5"/>
      <c r="E11" s="5"/>
      <c r="F11" s="5"/>
      <c r="G11" s="5"/>
    </row>
    <row r="12" spans="1:7" x14ac:dyDescent="0.25">
      <c r="B12" s="4"/>
      <c r="C12" s="5"/>
      <c r="D12" s="5"/>
      <c r="E12" s="5"/>
      <c r="F12" s="5"/>
      <c r="G12" s="5"/>
    </row>
    <row r="13" spans="1:7" x14ac:dyDescent="0.25">
      <c r="B13" s="13" t="s">
        <v>108</v>
      </c>
      <c r="C13" s="13" t="s">
        <v>109</v>
      </c>
      <c r="D13" s="13" t="s">
        <v>110</v>
      </c>
      <c r="E13" s="13" t="s">
        <v>111</v>
      </c>
      <c r="F13" s="13" t="s">
        <v>112</v>
      </c>
      <c r="G13" s="13" t="s">
        <v>113</v>
      </c>
    </row>
    <row r="14" spans="1:7" ht="29.45" customHeight="1" x14ac:dyDescent="0.25">
      <c r="B14" s="6" t="s">
        <v>114</v>
      </c>
      <c r="C14" s="7">
        <v>45219</v>
      </c>
      <c r="D14" s="21" t="s">
        <v>115</v>
      </c>
      <c r="E14" s="6" t="s">
        <v>116</v>
      </c>
      <c r="F14" s="21" t="s">
        <v>117</v>
      </c>
      <c r="G14" s="6" t="s">
        <v>118</v>
      </c>
    </row>
    <row r="15" spans="1:7" x14ac:dyDescent="0.25">
      <c r="C15" s="31"/>
    </row>
    <row r="16" spans="1:7" x14ac:dyDescent="0.25">
      <c r="C16" s="31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J22"/>
  <sheetViews>
    <sheetView workbookViewId="0">
      <selection activeCell="F14" sqref="F14"/>
    </sheetView>
  </sheetViews>
  <sheetFormatPr baseColWidth="10" defaultColWidth="11.42578125" defaultRowHeight="12.75" x14ac:dyDescent="0.2"/>
  <cols>
    <col min="1" max="2" width="11.42578125" style="10"/>
    <col min="3" max="4" width="19.7109375" style="10" customWidth="1"/>
    <col min="5" max="5" width="23.85546875" style="10" customWidth="1"/>
    <col min="6" max="6" width="14.42578125" style="10" customWidth="1"/>
    <col min="7" max="7" width="23.85546875" style="10" customWidth="1"/>
    <col min="8" max="8" width="25.140625" style="10" customWidth="1"/>
    <col min="9" max="9" width="20.42578125" style="10" customWidth="1"/>
    <col min="10" max="16384" width="11.42578125" style="10"/>
  </cols>
  <sheetData>
    <row r="2" spans="2:10" ht="25.5" x14ac:dyDescent="0.2">
      <c r="B2" s="11" t="s">
        <v>3</v>
      </c>
      <c r="C2" s="11" t="s">
        <v>22</v>
      </c>
      <c r="D2" s="11" t="s">
        <v>119</v>
      </c>
      <c r="E2" s="11" t="s">
        <v>26</v>
      </c>
      <c r="F2" s="11" t="s">
        <v>120</v>
      </c>
      <c r="G2" s="11" t="s">
        <v>31</v>
      </c>
      <c r="H2" s="11" t="s">
        <v>121</v>
      </c>
      <c r="I2" s="11" t="s">
        <v>23</v>
      </c>
      <c r="J2" s="10" t="s">
        <v>122</v>
      </c>
    </row>
    <row r="3" spans="2:10" x14ac:dyDescent="0.2">
      <c r="B3" s="10" t="s">
        <v>123</v>
      </c>
      <c r="C3" s="10" t="s">
        <v>124</v>
      </c>
      <c r="D3" s="10" t="s">
        <v>125</v>
      </c>
      <c r="E3" s="10" t="s">
        <v>126</v>
      </c>
      <c r="F3" s="10" t="s">
        <v>127</v>
      </c>
      <c r="G3" s="10" t="s">
        <v>128</v>
      </c>
      <c r="H3" s="10" t="s">
        <v>129</v>
      </c>
      <c r="I3" s="10" t="s">
        <v>130</v>
      </c>
      <c r="J3" s="10" t="s">
        <v>131</v>
      </c>
    </row>
    <row r="4" spans="2:10" x14ac:dyDescent="0.2">
      <c r="B4" s="10" t="s">
        <v>132</v>
      </c>
      <c r="C4" s="10" t="s">
        <v>133</v>
      </c>
      <c r="D4" s="10" t="s">
        <v>134</v>
      </c>
      <c r="E4" s="10" t="s">
        <v>135</v>
      </c>
      <c r="F4" s="10" t="s">
        <v>136</v>
      </c>
      <c r="G4" s="10" t="s">
        <v>137</v>
      </c>
      <c r="H4" s="10" t="s">
        <v>138</v>
      </c>
      <c r="I4" s="10" t="s">
        <v>139</v>
      </c>
      <c r="J4" s="10" t="s">
        <v>140</v>
      </c>
    </row>
    <row r="5" spans="2:10" x14ac:dyDescent="0.2">
      <c r="B5" s="10" t="s">
        <v>141</v>
      </c>
      <c r="C5" s="10" t="s">
        <v>142</v>
      </c>
      <c r="D5" s="10" t="s">
        <v>143</v>
      </c>
      <c r="E5" s="10" t="s">
        <v>144</v>
      </c>
      <c r="F5" s="10" t="s">
        <v>145</v>
      </c>
      <c r="G5" s="10" t="s">
        <v>145</v>
      </c>
      <c r="H5" s="10" t="s">
        <v>145</v>
      </c>
      <c r="I5" s="10" t="s">
        <v>146</v>
      </c>
      <c r="J5" s="10" t="s">
        <v>147</v>
      </c>
    </row>
    <row r="6" spans="2:10" x14ac:dyDescent="0.2">
      <c r="B6" s="10" t="s">
        <v>4</v>
      </c>
      <c r="C6" s="10" t="s">
        <v>148</v>
      </c>
      <c r="D6" s="10" t="s">
        <v>149</v>
      </c>
      <c r="E6" s="10" t="s">
        <v>150</v>
      </c>
      <c r="I6" s="10" t="s">
        <v>151</v>
      </c>
    </row>
    <row r="7" spans="2:10" x14ac:dyDescent="0.2">
      <c r="B7" s="10" t="s">
        <v>152</v>
      </c>
      <c r="C7" s="10" t="s">
        <v>153</v>
      </c>
      <c r="D7" s="10" t="s">
        <v>154</v>
      </c>
      <c r="E7" s="10" t="s">
        <v>155</v>
      </c>
      <c r="I7" s="10" t="s">
        <v>156</v>
      </c>
    </row>
    <row r="8" spans="2:10" x14ac:dyDescent="0.2">
      <c r="B8" s="10" t="s">
        <v>157</v>
      </c>
      <c r="C8" s="10" t="s">
        <v>158</v>
      </c>
      <c r="E8" s="10" t="s">
        <v>159</v>
      </c>
      <c r="I8" s="10" t="s">
        <v>160</v>
      </c>
    </row>
    <row r="9" spans="2:10" x14ac:dyDescent="0.2">
      <c r="B9" s="10" t="s">
        <v>161</v>
      </c>
      <c r="E9" s="10" t="s">
        <v>162</v>
      </c>
      <c r="I9" s="10" t="s">
        <v>163</v>
      </c>
    </row>
    <row r="10" spans="2:10" x14ac:dyDescent="0.2">
      <c r="I10" s="10" t="s">
        <v>164</v>
      </c>
    </row>
    <row r="11" spans="2:10" x14ac:dyDescent="0.2">
      <c r="I11" s="10" t="s">
        <v>165</v>
      </c>
    </row>
    <row r="13" spans="2:10" x14ac:dyDescent="0.2">
      <c r="I13" s="10" t="s">
        <v>166</v>
      </c>
    </row>
    <row r="14" spans="2:10" x14ac:dyDescent="0.2">
      <c r="I14" s="10" t="s">
        <v>167</v>
      </c>
    </row>
    <row r="15" spans="2:10" x14ac:dyDescent="0.2">
      <c r="I15" s="10" t="s">
        <v>168</v>
      </c>
    </row>
    <row r="16" spans="2:10" x14ac:dyDescent="0.2">
      <c r="I16" s="10" t="s">
        <v>169</v>
      </c>
    </row>
    <row r="17" spans="9:9" x14ac:dyDescent="0.2">
      <c r="I17" s="10" t="s">
        <v>170</v>
      </c>
    </row>
    <row r="18" spans="9:9" x14ac:dyDescent="0.2">
      <c r="I18" s="10" t="s">
        <v>171</v>
      </c>
    </row>
    <row r="19" spans="9:9" x14ac:dyDescent="0.2">
      <c r="I19" s="10" t="s">
        <v>172</v>
      </c>
    </row>
    <row r="21" spans="9:9" x14ac:dyDescent="0.2">
      <c r="I21" s="10" t="s">
        <v>173</v>
      </c>
    </row>
    <row r="22" spans="9:9" ht="25.5" x14ac:dyDescent="0.2">
      <c r="I22" s="10" t="s">
        <v>174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908ec-9e92-424c-a4ad-3174bac6e888" xsi:nil="true"/>
    <SharedWithUsers xmlns="43b908ec-9e92-424c-a4ad-3174bac6e888">
      <UserInfo>
        <DisplayName/>
        <AccountId xsi:nil="true"/>
        <AccountType/>
      </UserInfo>
    </SharedWithUsers>
    <lcf76f155ced4ddcb4097134ff3c332f xmlns="5f2f9e80-f74a-40c7-b145-b94d8e4966f0">
      <Terms xmlns="http://schemas.microsoft.com/office/infopath/2007/PartnerControls"/>
    </lcf76f155ced4ddcb4097134ff3c332f>
    <MediaLengthInSeconds xmlns="5f2f9e80-f74a-40c7-b145-b94d8e4966f0" xsi:nil="true"/>
  </documentManagement>
</p:properties>
</file>

<file path=customXml/itemProps1.xml><?xml version="1.0" encoding="utf-8"?>
<ds:datastoreItem xmlns:ds="http://schemas.openxmlformats.org/officeDocument/2006/customXml" ds:itemID="{1ADB2E00-6377-40F0-A27D-060918731770}"/>
</file>

<file path=customXml/itemProps2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43b908ec-9e92-424c-a4ad-3174bac6e888"/>
    <ds:schemaRef ds:uri="5f2f9e80-f74a-40c7-b145-b94d8e4966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Gestion Exigences</vt:lpstr>
      <vt:lpstr>Feuil1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Shaima Jallali</cp:lastModifiedBy>
  <cp:revision/>
  <dcterms:created xsi:type="dcterms:W3CDTF">2000-07-05T17:03:55Z</dcterms:created>
  <dcterms:modified xsi:type="dcterms:W3CDTF">2025-04-17T08:23:02Z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