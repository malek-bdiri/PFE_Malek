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momsoftware.sharepoint.com/sites/Commercial/Documents partages/04 Clients/009 COGITEL/20 Digitalisation Process NCs/2 Préparation Offre/"/>
    </mc:Choice>
  </mc:AlternateContent>
  <xr:revisionPtr revIDLastSave="97" documentId="14_{0F990078-26F7-4969-98CB-5941F3B349F0}" xr6:coauthVersionLast="47" xr6:coauthVersionMax="47" xr10:uidLastSave="{BAFCCFD1-E6CC-4C04-A11B-7B854A5CDD5D}"/>
  <bookViews>
    <workbookView xWindow="-110" yWindow="-110" windowWidth="19420" windowHeight="10300" tabRatio="620" firstSheet="1" xr2:uid="{00000000-000D-0000-FFFF-FFFF00000000}"/>
  </bookViews>
  <sheets>
    <sheet name="Gestion Exigences" sheetId="27" r:id="rId1"/>
    <sheet name="Modifs Doc" sheetId="29" r:id="rId2"/>
    <sheet name="Params" sheetId="30" r:id="rId3"/>
  </sheets>
  <definedNames>
    <definedName name="_xlnm.Print_Area" localSheetId="0">'Gestion Exigences'!$D$2:$J$27</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6" i="27" l="1"/>
  <c r="Q26" i="27" s="1"/>
  <c r="P19" i="27"/>
  <c r="Q19" i="27" s="1"/>
  <c r="O20" i="27"/>
  <c r="O28" i="27" s="1"/>
  <c r="P25" i="27"/>
  <c r="Q25" i="27"/>
  <c r="P22" i="27"/>
  <c r="Q22" i="27" s="1"/>
  <c r="P23" i="27"/>
  <c r="Q23" i="27"/>
  <c r="P24" i="27"/>
  <c r="Q24" i="27" s="1"/>
  <c r="P21" i="27"/>
  <c r="Q21" i="27" s="1"/>
  <c r="P17" i="27"/>
  <c r="Q17" i="27" s="1"/>
  <c r="P18" i="27"/>
  <c r="Q18" i="27" s="1"/>
  <c r="P27" i="27"/>
  <c r="Q27" i="27" s="1"/>
  <c r="P20" i="27"/>
  <c r="Q20" i="27" s="1"/>
  <c r="P16" i="27" l="1"/>
  <c r="Q16" i="27" s="1"/>
  <c r="P15" i="27"/>
  <c r="Q15" i="27" s="1"/>
  <c r="D8" i="29" l="1"/>
  <c r="D9" i="29"/>
  <c r="B6" i="29"/>
  <c r="D6" i="29"/>
  <c r="B7" i="29"/>
  <c r="D7" i="29"/>
  <c r="B8" i="29"/>
  <c r="B9" i="29"/>
  <c r="B11" i="29"/>
  <c r="D5" i="29"/>
  <c r="B5" i="29"/>
  <c r="P28" i="27" l="1"/>
  <c r="Q28" i="27" l="1"/>
</calcChain>
</file>

<file path=xl/sharedStrings.xml><?xml version="1.0" encoding="utf-8"?>
<sst xmlns="http://schemas.openxmlformats.org/spreadsheetml/2006/main" count="283" uniqueCount="150">
  <si>
    <t>Gestion Exigences Projet</t>
  </si>
  <si>
    <t>Chiffrage Réalisation/Analyse/Test</t>
  </si>
  <si>
    <t>Revue et Vérification Pendant la Conception</t>
  </si>
  <si>
    <t>BU</t>
  </si>
  <si>
    <t xml:space="preserve">SF </t>
  </si>
  <si>
    <t>Client</t>
  </si>
  <si>
    <t>Cogitel</t>
  </si>
  <si>
    <t>Projet</t>
  </si>
  <si>
    <t>Digitalisation Process NCs</t>
  </si>
  <si>
    <t>Confidentiel | Usage Client Limité</t>
  </si>
  <si>
    <t>Réf BPA du Devis</t>
  </si>
  <si>
    <t>TBC</t>
  </si>
  <si>
    <t>Réf BPA du Projet</t>
  </si>
  <si>
    <t>MD203:V1.1</t>
  </si>
  <si>
    <t>Id exigence</t>
  </si>
  <si>
    <t>Objectif client</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</si>
  <si>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</si>
  <si>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</si>
  <si>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</si>
  <si>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</si>
  <si>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</si>
  <si>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</si>
  <si>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</si>
  <si>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</si>
  <si>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</si>
  <si>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</si>
  <si>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</si>
  <si>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</si>
  <si>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</si>
  <si>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</si>
  <si>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</si>
  <si>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</si>
  <si>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</si>
  <si>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</si>
  <si>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</si>
  <si>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</si>
  <si>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</si>
  <si>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</si>
  <si>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Fonctionnelle</t>
  </si>
  <si>
    <t>SF-Fonctionnelle</t>
  </si>
  <si>
    <t>Commerciale</t>
  </si>
  <si>
    <t>Configuration complète et gestion d'usine</t>
  </si>
  <si>
    <t>Workshop/réunion client</t>
  </si>
  <si>
    <t>Standard</t>
  </si>
  <si>
    <t>La solution propose un module "Configuration" permettant la modélisation, la gestion et la planification d'une usine connectée :
*Modélisation hiérarchique de l'usine : sites, ateliers, lignes, postes, machines
*Gestion des produits
*Gestion des incidents et des défauts
*Gestion des utilisateurs et des autorisations : rôles et accès contrôlés
*Gestion des équipes
*Planification des lignes et des équipes</t>
  </si>
  <si>
    <t>RAS</t>
  </si>
  <si>
    <t>Validée</t>
  </si>
  <si>
    <t>Mahdi B.</t>
  </si>
  <si>
    <t>Validée par le client</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</si>
  <si>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</si>
  <si>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</si>
  <si>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</si>
  <si>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utilisateur,  gammes de contrôle et outillage, avec une gestion détaillée des erreurs pour l'intégration.</t>
  </si>
  <si>
    <t>E003</t>
  </si>
  <si>
    <t>Gestion des produits</t>
  </si>
  <si>
    <t>La solution comprend un module « Intégration »  utilisateur,  gammes de contrôle et outillage, avec une gestion détaillée des erreurs pour l'intégration.</t>
  </si>
  <si>
    <t>Adaptation</t>
  </si>
  <si>
    <t>Adapter la solution pour supporter la gestion des produits en multi-unités :
* Ajouter la possibilité de définir une deuxième unité avec ses tolérances.
* Ajouter le coefficient de conversion théorique entre les unités, avec ses tolérances.</t>
  </si>
  <si>
    <t>E004</t>
  </si>
  <si>
    <t>Chargement automatisé des produits dans la solution</t>
  </si>
  <si>
    <t>Adapter le template d’intégration des produits à partir de fichiers CSV en ajoutant la deuxième unité avec ses tolérances et le coefficient de conversion avec ses tolérances.</t>
  </si>
  <si>
    <t>E005</t>
  </si>
  <si>
    <t>Intégration des produits depuis SAGE X3</t>
  </si>
  <si>
    <t>SF-Intégration SI</t>
  </si>
  <si>
    <t>Ajouter une API permettant d’intégrer automatiquement les produits depuis SAGE X3 vers Smart Factory</t>
  </si>
  <si>
    <t>E006</t>
  </si>
  <si>
    <t>Intégration des réclamations clients vers Smart Factory</t>
  </si>
  <si>
    <t>Ajouter une API pour synchroniser Qualipro et Smart Factory, et lier les réclamations clients et fiches de non-conformité entre les deux systèmes.</t>
  </si>
  <si>
    <t>Ajouter une API permettant la synchronisation entre Qualipro et Smart Factory afin d’établir le lien entre la réclamation client (Qualipro), la fiche de non-conformité (Qualipro) et la fiche de non-conformité (Smart Factory).</t>
  </si>
  <si>
    <t>E007</t>
  </si>
  <si>
    <t>Fiche non conformité</t>
  </si>
  <si>
    <t>Déclaration et traitement des non-conformités détectées en interne et en externe.</t>
  </si>
  <si>
    <t xml:space="preserve">La solution propose une interface "Fiche Non-Conformité" pour identifier, documenter, analyser et résoudre les incidents de qualité en production, avec les fonctionnalités suivantes :
-Identification du problème : Tracer la pièce concernée, ajouter une photo et l’associer à la fiche.
Définir le lieu de détection, le type de défaut, et la quantité affectée,Analyser les causes racines (QQCQ), Indiquer le statut du produit (isolé, livré, bloqué).
-Actions immédiates :Définir les actions correctives, Décider si le produit sera livré après correction ou nécessite un traitement supplémentaire, Fournir une description complète de la non-conformité.
-Analyse des causes :Utiliser les méthodologies 5M (Ishikawa) et 5 Pourquoi.
-Actions définitives :Élaborer un plan pour traiter les causes profondes et prévenir la récurrence.
Attribuer les responsabilités, informer les parties concernées, et planifier les dates d'exécution.
-Historique et consultation :Maintenir un référentiel centralisé des fiches de non-conformité
</t>
  </si>
  <si>
    <t>E008</t>
  </si>
  <si>
    <t>Création automatique des fihces non-conformité depuis qualipro</t>
  </si>
  <si>
    <t>Ajouter l’option de création automatique d’une fiche de non-conformité à partir d’une réclamation client issue de Qualipro.
Assurer la gestion des non-conformités par défaut : chaque réclamation client peut correspondre à plusieurs fiches de non-conformité selon le nombre de défauts.</t>
  </si>
  <si>
    <t>E009</t>
  </si>
  <si>
    <t>Notification de cration des fiches non-conformité</t>
  </si>
  <si>
    <t>Notifier automatiquement le responsable qualité lors de la création d’une fiche de non-conformité.</t>
  </si>
  <si>
    <t>E010</t>
  </si>
  <si>
    <t>Liaison entre fiches non conformité et les réclamation client</t>
  </si>
  <si>
    <t>Onglet : Problème
-Ajouter la référence de la fiche de non-conformité et la référence de la réclamation client créée dans Qualipro.
-Intégrer de nouveaux types de non-conformités : externe, interne et rebut.
-Ajouter les champs supplémentaires :
Lot, bobine mère, bobine fille
Shift, process, machine, opérateur
-Permettre la déclaration de non-conformité dans deux unités : poids et mètre linéaire.
-Mettre en place une comparaison automatique entre le coefficient théorique et le coefficient réel.
Onglet : Action immédiate
-Ajouter la décision de correction par défaut basée sur la quantité (en deux unités).
-Permettre l’affectation du traitement à un ordre de fabrication (OF) de retouche via un champ libre.
-Ajouter la décision de libération après correction par défaut, exprimée en quantité (en deux unités).
-Ajouter la décision de non-libération par défaut, également exprimée en quantité (en deux unités).</t>
  </si>
  <si>
    <t>E011</t>
  </si>
  <si>
    <t>Suivi des délais de traitement des fiches non conformité</t>
  </si>
  <si>
    <t>Ajouter le suivi du délai de traitement des non-conformités par phase.</t>
  </si>
  <si>
    <t>E012</t>
  </si>
  <si>
    <t>Tableau de bord qualité</t>
  </si>
  <si>
    <t xml:space="preserve">
Historisation et visualisation des indicateurs de performance qualité</t>
  </si>
  <si>
    <t>La solution offre un tableau de bord qualité fournissant une visualisation flexible des performances qualité selon des intervalles flexibles (années, mois, semaines, jours, shifts) et des entitées (atelier, ligne, produit, client, opérateur) permettant de :
* Suivre les taux de qualité et les taux de rebut
* Suivre les quantités et les coûts des non-conformités
* Analyser les quantités de non-conformités par type de défaut
* Présenter des diagrammes de Pareto des défauts</t>
  </si>
  <si>
    <t>E013</t>
  </si>
  <si>
    <t>Envoi de la fiche de non-conformité traitée vers Qualipro</t>
  </si>
  <si>
    <t>Créer une API pour synchroniser Smart Factory et Qualipro et envoyer les fiches de non-conformité traitées vers Qualipro.</t>
  </si>
  <si>
    <t>Mettre en place une API pour synchroniser Smart Factory et Qualipro, permettant l’envoi des fiches de non-conformité traitées vers Qualipro.</t>
  </si>
  <si>
    <t xml:space="preserve"> </t>
  </si>
  <si>
    <t>Version</t>
  </si>
  <si>
    <t>Date</t>
  </si>
  <si>
    <t>Modifications</t>
  </si>
  <si>
    <t>Auteur(s)</t>
  </si>
  <si>
    <t>Vérificateur(s)</t>
  </si>
  <si>
    <t>Approbateur</t>
  </si>
  <si>
    <t>V1.0</t>
  </si>
  <si>
    <t>Version initiale</t>
  </si>
  <si>
    <t>Moatez D.</t>
  </si>
  <si>
    <t>N/A</t>
  </si>
  <si>
    <t>V1.1</t>
  </si>
  <si>
    <t>Ajouter une API d’intégration automatique des produits depuis SAGE X3 vers Smart Factory, ainsi qu’un mécanisme de filtrage des données dans le tableau de bord Qualité par opérateur, par produit et par client.</t>
  </si>
  <si>
    <t>Overhead Analyse</t>
  </si>
  <si>
    <t>Overhead Test</t>
  </si>
  <si>
    <t>Objectifs client</t>
  </si>
  <si>
    <t>Exigence identifiée pendant la phase</t>
  </si>
  <si>
    <t>Oui/Non</t>
  </si>
  <si>
    <t>Statut Interne</t>
  </si>
  <si>
    <t>A liste dans params</t>
  </si>
  <si>
    <t>CdC client</t>
  </si>
  <si>
    <t>Oui</t>
  </si>
  <si>
    <t>*** SF</t>
  </si>
  <si>
    <t>gestion des opérateurs et de plannification</t>
  </si>
  <si>
    <t>Services</t>
  </si>
  <si>
    <t>Performance</t>
  </si>
  <si>
    <t>Conception</t>
  </si>
  <si>
    <t>Non</t>
  </si>
  <si>
    <t>Non validée par client</t>
  </si>
  <si>
    <t>Non validée</t>
  </si>
  <si>
    <t>SF-Processus</t>
  </si>
  <si>
    <t>Détection automatique de la production</t>
  </si>
  <si>
    <t>A définir</t>
  </si>
  <si>
    <t>Reglementaire</t>
  </si>
  <si>
    <t>Réalisation</t>
  </si>
  <si>
    <t>Workshop/réunion Interne</t>
  </si>
  <si>
    <t>Exportation des données de production</t>
  </si>
  <si>
    <t>Sécurité</t>
  </si>
  <si>
    <t>Mise en œuvre</t>
  </si>
  <si>
    <t>Standards client</t>
  </si>
  <si>
    <t>SF-Connectivité Machine</t>
  </si>
  <si>
    <t>Suivi de rendement en temps réel</t>
  </si>
  <si>
    <t>Standard Client</t>
  </si>
  <si>
    <t>Support et maintenance</t>
  </si>
  <si>
    <t>Standards MOMSOFT</t>
  </si>
  <si>
    <t xml:space="preserve">Chargement des OF planifiés à partir de l'ERP </t>
  </si>
  <si>
    <t>Standard MOMSOFT</t>
  </si>
  <si>
    <t>Reglementation</t>
  </si>
  <si>
    <t>SF-Software</t>
  </si>
  <si>
    <t>Gestion et suivi  des ordres de fabrications</t>
  </si>
  <si>
    <t>Demande modification</t>
  </si>
  <si>
    <t>SF-Infra IT</t>
  </si>
  <si>
    <t>Gestion et suivi de la production</t>
  </si>
  <si>
    <t>Gestion de la consommation des ordres de fabrications</t>
  </si>
  <si>
    <t>*** Services</t>
  </si>
  <si>
    <t>Suivi  de la consommation des ordres de fabrications</t>
  </si>
  <si>
    <t>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</si>
</sst>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
      <sz val="10"/>
      <color theme="0"/>
      <name val="Calibri Light"/>
      <family val="2"/>
      <scheme val="major"/>
    </font>
    <font>
      <b/>
      <sz val="12"/>
      <color theme="0"/>
      <name val="Calibri Light"/>
      <family val="2"/>
    </font>
    <font>
      <b/>
      <sz val="11"/>
      <color theme="0"/>
      <name val="Calibri Light"/>
      <family val="2"/>
    </font>
    <font>
      <b/>
      <sz val="10"/>
      <color theme="0"/>
      <name val="Calibri Light"/>
      <family val="2"/>
      <scheme val="major"/>
    </font>
    <font>
      <sz val="10"/>
      <name val="Calibri Light"/>
      <family val="2"/>
    </font>
    <font>
      <sz val="3"/>
      <name val="Calibri Light"/>
      <family val="2"/>
    </font>
    <font>
      <sz val="11"/>
      <color rgb="FF000000"/>
      <name val="Calibri Light"/>
      <scheme val="major"/>
    </font>
    <font>
      <sz val="8"/>
      <name val="Arial"/>
    </font>
  </fonts>
  <fills count="6">
    <fill>
      <patternFill patternType="none"/>
    </fill>
    <fill>
      <patternFill patternType="gray125"/>
    </fill>
    <fill>
      <patternFill patternType="solid">
        <fgColor rgb="FF00E0B1"/>
        <bgColor indexed="64"/>
      </patternFill>
    </fill>
    <fill>
      <patternFill patternType="solid">
        <fgColor rgb="FF00425A"/>
        <bgColor indexed="64"/>
      </patternFill>
    </fill>
    <fill>
      <patternFill patternType="solid">
        <fgColor rgb="FF00B8FF"/>
        <bgColor indexed="64"/>
      </patternFill>
    </fill>
    <fill>
      <patternFill patternType="solid">
        <fgColor rgb="FFFF7F0B"/>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rgb="FF00425A"/>
      </left>
      <right/>
      <top style="medium">
        <color rgb="FF00425A"/>
      </top>
      <bottom style="medium">
        <color indexed="64"/>
      </bottom>
      <diagonal/>
    </border>
    <border>
      <left/>
      <right/>
      <top style="medium">
        <color rgb="FF00425A"/>
      </top>
      <bottom style="medium">
        <color indexed="64"/>
      </bottom>
      <diagonal/>
    </border>
    <border>
      <left/>
      <right style="medium">
        <color rgb="FF00425A"/>
      </right>
      <top style="medium">
        <color rgb="FF00425A"/>
      </top>
      <bottom style="medium">
        <color indexed="64"/>
      </bottom>
      <diagonal/>
    </border>
    <border>
      <left style="medium">
        <color rgb="FF00425A"/>
      </left>
      <right/>
      <top/>
      <bottom/>
      <diagonal/>
    </border>
    <border>
      <left/>
      <right style="medium">
        <color rgb="FF00425A"/>
      </right>
      <top/>
      <bottom/>
      <diagonal/>
    </border>
  </borders>
  <cellStyleXfs count="1">
    <xf numFmtId="0" fontId="0" fillId="0" borderId="0"/>
  </cellStyleXfs>
  <cellXfs count="50">
    <xf numFmtId="0" fontId="0" fillId="0" borderId="0" xfId="0"/>
    <xf numFmtId="0" fontId="1" fillId="0" borderId="0" xfId="0" applyFont="1" applyAlignment="1">
      <alignment wrapText="1"/>
    </xf>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left" vertical="center"/>
    </xf>
    <xf numFmtId="0" fontId="8" fillId="0" borderId="0" xfId="0" applyFont="1" applyAlignment="1">
      <alignment wrapText="1"/>
    </xf>
    <xf numFmtId="0" fontId="8" fillId="0" borderId="0" xfId="0" applyFont="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6" fillId="2" borderId="0" xfId="0" applyFont="1" applyFill="1" applyAlignment="1">
      <alignment horizontal="center" vertical="center" wrapText="1"/>
    </xf>
    <xf numFmtId="0" fontId="18" fillId="0" borderId="0" xfId="0" applyFont="1" applyAlignment="1">
      <alignment vertical="center" wrapText="1"/>
    </xf>
    <xf numFmtId="14" fontId="18" fillId="0" borderId="0" xfId="0" applyNumberFormat="1" applyFont="1" applyAlignment="1">
      <alignment vertical="center" wrapText="1"/>
    </xf>
    <xf numFmtId="14" fontId="1" fillId="0" borderId="0" xfId="0" applyNumberFormat="1" applyFont="1" applyAlignment="1">
      <alignment wrapText="1"/>
    </xf>
    <xf numFmtId="0" fontId="17" fillId="2" borderId="0" xfId="0" applyFont="1" applyFill="1" applyAlignment="1">
      <alignmen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9" fontId="1" fillId="0" borderId="0" xfId="0" applyNumberFormat="1" applyFont="1" applyAlignment="1">
      <alignment vertical="center" wrapText="1"/>
    </xf>
    <xf numFmtId="0" fontId="1" fillId="0" borderId="0" xfId="0" applyFont="1" applyAlignment="1">
      <alignment vertical="center"/>
    </xf>
    <xf numFmtId="0" fontId="19" fillId="0" borderId="0" xfId="0" applyFont="1" applyAlignment="1">
      <alignment horizontal="left" vertical="center"/>
    </xf>
    <xf numFmtId="0" fontId="14" fillId="4" borderId="4" xfId="0" applyFont="1" applyFill="1" applyBorder="1" applyAlignment="1">
      <alignment vertical="center" wrapText="1"/>
    </xf>
    <xf numFmtId="0" fontId="14" fillId="5" borderId="5" xfId="0" applyFont="1" applyFill="1" applyBorder="1" applyAlignment="1">
      <alignment vertical="center" wrapText="1"/>
    </xf>
    <xf numFmtId="0" fontId="14" fillId="5" borderId="6" xfId="0" applyFont="1" applyFill="1" applyBorder="1" applyAlignment="1">
      <alignment vertical="center" wrapText="1"/>
    </xf>
    <xf numFmtId="0" fontId="14" fillId="5" borderId="7" xfId="0" applyFont="1" applyFill="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horizontal="left" vertical="center" wrapText="1"/>
    </xf>
    <xf numFmtId="0" fontId="13" fillId="0" borderId="0" xfId="0" applyFont="1" applyAlignment="1">
      <alignment vertical="center"/>
    </xf>
    <xf numFmtId="0" fontId="11"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3" fillId="0" borderId="0" xfId="0" applyFont="1" applyAlignment="1">
      <alignment vertical="center" wrapText="1"/>
    </xf>
    <xf numFmtId="0" fontId="20" fillId="0" borderId="0" xfId="0" applyFont="1" applyAlignment="1">
      <alignmen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cellXfs>
  <cellStyles count="1">
    <cellStyle name="Normal" xfId="0" builtinId="0"/>
  </cellStyles>
  <dxfs count="55">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0"/>
        <name val="Calibri Light"/>
        <family val="2"/>
        <scheme val="none"/>
      </font>
      <fill>
        <patternFill patternType="solid">
          <fgColor indexed="64"/>
          <bgColor rgb="FF00E0B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right style="medium">
          <color rgb="FF00425A"/>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border diagonalUp="0" diagonalDown="0" outline="0">
        <left/>
        <right style="medium">
          <color rgb="FF00425A"/>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theme="0"/>
        <name val="Calibri Light"/>
        <family val="2"/>
        <scheme val="major"/>
      </font>
      <fill>
        <patternFill>
          <fgColor indexed="64"/>
          <bgColor rgb="FF00E0B1"/>
        </patternFill>
      </fill>
      <alignment horizontal="general" vertical="center" textRotation="0" wrapText="1" indent="0" justifyLastLine="0" shrinkToFit="0" readingOrder="0"/>
    </dxf>
  </dxfs>
  <tableStyles count="0" defaultTableStyle="TableStyleMedium2" defaultPivotStyle="PivotStyleLight16"/>
  <colors>
    <mruColors>
      <color rgb="FF00425A"/>
      <color rgb="FF00E0B1"/>
      <color rgb="FFFF7F0B"/>
      <color rgb="FF00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62754</xdr:colOff>
      <xdr:row>2</xdr:row>
      <xdr:rowOff>188259</xdr:rowOff>
    </xdr:from>
    <xdr:to>
      <xdr:col>2</xdr:col>
      <xdr:colOff>1353671</xdr:colOff>
      <xdr:row>2</xdr:row>
      <xdr:rowOff>807328</xdr:rowOff>
    </xdr:to>
    <xdr:pic>
      <xdr:nvPicPr>
        <xdr:cNvPr id="3" name="Image 2">
          <a:extLst>
            <a:ext uri="{FF2B5EF4-FFF2-40B4-BE49-F238E27FC236}">
              <a16:creationId xmlns:a16="http://schemas.microsoft.com/office/drawing/2014/main" id="{B796DF62-C2DE-4317-5F4D-42BBC1577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648" y="645459"/>
          <a:ext cx="1712258" cy="622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4:W28" totalsRowCount="1" headerRowDxfId="54" dataDxfId="53" totalsRowDxfId="52">
  <autoFilter ref="B14:W27" xr:uid="{DDEA2C8B-EE0D-4C55-9256-CCC64E002CE6}"/>
  <tableColumns count="22">
    <tableColumn id="1" xr3:uid="{E467E0EE-CDAA-4FF5-85A8-CDC0B23A5AD9}" name="Id exigence" dataDxfId="50" totalsRowDxfId="51"/>
    <tableColumn id="23" xr3:uid="{DB65C818-8EF5-4DCC-9DA7-4CD05A291796}" name="Objectif client"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MOMSOFT"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30"/>
  <sheetViews>
    <sheetView tabSelected="1" topLeftCell="H23" zoomScaleNormal="100" workbookViewId="0">
      <selection activeCell="A24" sqref="A24:XFD24"/>
    </sheetView>
  </sheetViews>
  <sheetFormatPr defaultColWidth="11.42578125" defaultRowHeight="12.75" customHeight="1"/>
  <cols>
    <col min="1" max="1" width="11.42578125" style="5"/>
    <col min="2" max="2" width="6.28515625" style="5" customWidth="1"/>
    <col min="3" max="3" width="37.28515625" style="5" customWidth="1"/>
    <col min="4" max="4" width="39.28515625" style="5" customWidth="1"/>
    <col min="5" max="6" width="18.28515625" style="5" customWidth="1"/>
    <col min="7" max="7" width="22.42578125" style="5" customWidth="1"/>
    <col min="8" max="8" width="56.5703125" style="5" customWidth="1"/>
    <col min="9" max="9" width="18.42578125" style="5" customWidth="1"/>
    <col min="10" max="10" width="56.5703125" style="5" customWidth="1"/>
    <col min="11" max="11" width="33.28515625" style="5" customWidth="1"/>
    <col min="12" max="13" width="13.5703125" style="5" customWidth="1"/>
    <col min="14" max="14" width="15.28515625" style="5" customWidth="1"/>
    <col min="15" max="15" width="11.7109375" style="5" customWidth="1"/>
    <col min="16" max="16" width="15.42578125" style="5" customWidth="1"/>
    <col min="17" max="17" width="13.7109375" style="5" customWidth="1"/>
    <col min="18" max="18" width="39.7109375" style="5" customWidth="1"/>
    <col min="19" max="19" width="15.7109375" style="5" customWidth="1"/>
    <col min="20" max="20" width="20.5703125" style="5" customWidth="1"/>
    <col min="21" max="21" width="20.28515625" style="5" customWidth="1"/>
    <col min="22" max="22" width="15.28515625" style="5" customWidth="1"/>
    <col min="23" max="23" width="30.7109375" style="5" customWidth="1"/>
    <col min="24" max="16384" width="11.42578125" style="5"/>
  </cols>
  <sheetData>
    <row r="1" spans="2:23" ht="12.95"/>
    <row r="2" spans="2:23" ht="33" customHeight="1">
      <c r="B2" s="41" t="s">
        <v>0</v>
      </c>
      <c r="C2" s="42"/>
      <c r="D2" s="42"/>
      <c r="E2" s="42"/>
      <c r="F2" s="42"/>
      <c r="G2" s="42"/>
      <c r="H2" s="42"/>
      <c r="I2" s="42"/>
      <c r="J2" s="42"/>
      <c r="K2" s="42"/>
      <c r="L2" s="42"/>
      <c r="M2" s="42"/>
      <c r="N2" s="43"/>
      <c r="O2" s="44" t="s">
        <v>1</v>
      </c>
      <c r="P2" s="45"/>
      <c r="Q2" s="46"/>
      <c r="R2" s="38" t="s">
        <v>2</v>
      </c>
      <c r="S2" s="39"/>
      <c r="T2" s="39"/>
      <c r="U2" s="39"/>
      <c r="V2" s="39"/>
      <c r="W2" s="40"/>
    </row>
    <row r="3" spans="2:23" ht="66" customHeight="1">
      <c r="D3" s="26"/>
      <c r="E3" s="26"/>
      <c r="F3" s="26"/>
      <c r="G3" s="26"/>
      <c r="H3" s="26"/>
      <c r="I3" s="26"/>
      <c r="J3" s="26"/>
    </row>
    <row r="4" spans="2:23" ht="24.75" customHeight="1">
      <c r="D4" s="26"/>
      <c r="E4" s="26"/>
      <c r="F4" s="26"/>
      <c r="G4" s="26"/>
      <c r="H4" s="26"/>
      <c r="I4" s="26"/>
      <c r="J4" s="26"/>
    </row>
    <row r="5" spans="2:23" ht="21" customHeight="1">
      <c r="B5" s="6" t="s">
        <v>3</v>
      </c>
      <c r="C5" s="6"/>
      <c r="D5" s="27" t="s">
        <v>4</v>
      </c>
      <c r="F5" s="26"/>
      <c r="G5" s="26"/>
      <c r="H5" s="26"/>
      <c r="I5" s="26"/>
      <c r="J5" s="26"/>
    </row>
    <row r="6" spans="2:23" ht="21.75" customHeight="1">
      <c r="B6" s="28" t="s">
        <v>5</v>
      </c>
      <c r="C6" s="28"/>
      <c r="D6" s="29" t="s">
        <v>6</v>
      </c>
      <c r="F6" s="29"/>
      <c r="H6" s="29"/>
      <c r="I6" s="29"/>
      <c r="J6" s="29"/>
    </row>
    <row r="7" spans="2:23" ht="21" customHeight="1">
      <c r="B7" s="28" t="s">
        <v>7</v>
      </c>
      <c r="C7" s="28"/>
      <c r="D7" s="29" t="s">
        <v>8</v>
      </c>
      <c r="F7" s="29"/>
      <c r="H7" s="30" t="s">
        <v>9</v>
      </c>
      <c r="I7" s="29"/>
      <c r="J7" s="29"/>
    </row>
    <row r="8" spans="2:23" ht="20.65" customHeight="1">
      <c r="B8" s="28" t="s">
        <v>10</v>
      </c>
      <c r="C8" s="28"/>
      <c r="D8" s="29" t="s">
        <v>11</v>
      </c>
      <c r="F8" s="29"/>
      <c r="G8" s="29"/>
      <c r="H8" s="29"/>
      <c r="I8" s="29"/>
      <c r="J8" s="29"/>
    </row>
    <row r="9" spans="2:23" ht="21.6" customHeight="1">
      <c r="B9" s="28" t="s">
        <v>12</v>
      </c>
      <c r="C9" s="28"/>
      <c r="D9" s="29" t="s">
        <v>11</v>
      </c>
      <c r="F9" s="29"/>
      <c r="G9" s="29"/>
      <c r="H9" s="29"/>
      <c r="I9" s="29"/>
      <c r="J9" s="29"/>
    </row>
    <row r="10" spans="2:23" ht="14.45">
      <c r="D10" s="29"/>
      <c r="E10" s="31"/>
      <c r="F10" s="31"/>
      <c r="G10" s="31"/>
      <c r="H10" s="31"/>
      <c r="I10" s="31"/>
      <c r="J10" s="31"/>
    </row>
    <row r="11" spans="2:23" ht="12.95">
      <c r="B11" s="32" t="s">
        <v>13</v>
      </c>
      <c r="C11" s="32"/>
      <c r="D11" s="20"/>
      <c r="E11" s="32"/>
      <c r="F11" s="33"/>
      <c r="G11" s="33"/>
    </row>
    <row r="12" spans="2:23" ht="12.95">
      <c r="B12" s="32"/>
      <c r="C12" s="32"/>
      <c r="D12" s="20"/>
      <c r="E12" s="32"/>
      <c r="F12" s="33"/>
      <c r="G12" s="33"/>
    </row>
    <row r="13" spans="2:23" ht="12.95"/>
    <row r="14" spans="2:23" ht="42" customHeight="1" thickBot="1">
      <c r="B14" s="17" t="s">
        <v>14</v>
      </c>
      <c r="C14" s="18" t="s">
        <v>15</v>
      </c>
      <c r="D14" s="10" t="s">
        <v>16</v>
      </c>
      <c r="E14" s="10" t="s">
        <v>17</v>
      </c>
      <c r="F14" s="10" t="s">
        <v>18</v>
      </c>
      <c r="G14" s="10" t="s">
        <v>19</v>
      </c>
      <c r="H14" s="10" t="s">
        <v>20</v>
      </c>
      <c r="I14" s="10" t="s">
        <v>21</v>
      </c>
      <c r="J14" s="10" t="s">
        <v>22</v>
      </c>
      <c r="K14" s="10" t="s">
        <v>23</v>
      </c>
      <c r="L14" s="10" t="s">
        <v>24</v>
      </c>
      <c r="M14" s="10" t="s">
        <v>25</v>
      </c>
      <c r="N14" s="11" t="s">
        <v>26</v>
      </c>
      <c r="O14" s="22" t="s">
        <v>27</v>
      </c>
      <c r="P14" s="22" t="s">
        <v>28</v>
      </c>
      <c r="Q14" s="22" t="s">
        <v>29</v>
      </c>
      <c r="R14" s="23" t="s">
        <v>30</v>
      </c>
      <c r="S14" s="24" t="s">
        <v>31</v>
      </c>
      <c r="T14" s="24" t="s">
        <v>32</v>
      </c>
      <c r="U14" s="24" t="s">
        <v>33</v>
      </c>
      <c r="V14" s="24" t="s">
        <v>34</v>
      </c>
      <c r="W14" s="25" t="s">
        <v>35</v>
      </c>
    </row>
    <row r="15" spans="2:23" ht="181.5" customHeight="1">
      <c r="B15" s="5" t="s">
        <v>36</v>
      </c>
      <c r="C15" s="5" t="s">
        <v>37</v>
      </c>
      <c r="D15" s="5" t="s">
        <v>38</v>
      </c>
      <c r="E15" s="5" t="s">
        <v>39</v>
      </c>
      <c r="F15" s="5" t="s">
        <v>40</v>
      </c>
      <c r="G15" s="5" t="s">
        <v>41</v>
      </c>
      <c r="H15" s="5" t="s">
        <v>42</v>
      </c>
      <c r="I15" s="5" t="s">
        <v>43</v>
      </c>
      <c r="J15" s="5" t="s">
        <v>44</v>
      </c>
      <c r="K15" s="5" t="s">
        <v>45</v>
      </c>
      <c r="L15" s="5" t="s">
        <v>46</v>
      </c>
      <c r="M15" s="5" t="s">
        <v>47</v>
      </c>
      <c r="N15" s="5" t="s">
        <v>48</v>
      </c>
      <c r="O15" s="5">
        <v>0</v>
      </c>
      <c r="P15" s="5">
        <f>Tableau3[[#This Row],[HJ Dev]]*(25%+25%)</f>
        <v>0</v>
      </c>
      <c r="Q15" s="5">
        <f>Tableau3[[#This Row],[HJ Analyse et Test]]+Tableau3[[#This Row],[HJ Dev]]</f>
        <v>0</v>
      </c>
    </row>
    <row r="16" spans="2:23" ht="108" customHeight="1">
      <c r="B16" s="5" t="s">
        <v>49</v>
      </c>
      <c r="C16" s="5" t="s">
        <v>50</v>
      </c>
      <c r="D16" s="5" t="s">
        <v>38</v>
      </c>
      <c r="E16" s="5" t="s">
        <v>39</v>
      </c>
      <c r="F16" s="5" t="s">
        <v>40</v>
      </c>
      <c r="G16" s="5" t="s">
        <v>51</v>
      </c>
      <c r="H16" s="5" t="s">
        <v>42</v>
      </c>
      <c r="I16" s="5" t="s">
        <v>43</v>
      </c>
      <c r="J16" s="5" t="s">
        <v>52</v>
      </c>
      <c r="K16" s="5" t="s">
        <v>45</v>
      </c>
      <c r="L16" s="5" t="s">
        <v>46</v>
      </c>
      <c r="M16" s="5" t="s">
        <v>47</v>
      </c>
      <c r="N16" s="5" t="s">
        <v>48</v>
      </c>
      <c r="O16" s="5">
        <v>0</v>
      </c>
      <c r="P16" s="5">
        <f>Tableau3[[#This Row],[HJ Dev]]*(25%+25%)</f>
        <v>0</v>
      </c>
      <c r="Q16" s="5">
        <f>Tableau3[[#This Row],[HJ Analyse et Test]]+Tableau3[[#This Row],[HJ Dev]]</f>
        <v>0</v>
      </c>
    </row>
    <row r="17" spans="2:23" ht="263.25" customHeight="1">
      <c r="B17" s="5" t="s">
        <v>53</v>
      </c>
      <c r="C17" s="5" t="s">
        <v>54</v>
      </c>
      <c r="D17" s="5" t="s">
        <v>38</v>
      </c>
      <c r="E17" s="5" t="s">
        <v>39</v>
      </c>
      <c r="F17" s="5" t="s">
        <v>40</v>
      </c>
      <c r="G17" s="5" t="s">
        <v>42</v>
      </c>
      <c r="H17" s="5" t="s">
        <v>55</v>
      </c>
      <c r="I17" s="5" t="s">
        <v>56</v>
      </c>
      <c r="J17" s="5" t="s">
        <v>57</v>
      </c>
      <c r="K17" s="5" t="s">
        <v>45</v>
      </c>
      <c r="L17" s="5" t="s">
        <v>46</v>
      </c>
      <c r="M17" s="5" t="s">
        <v>47</v>
      </c>
      <c r="N17" s="5" t="s">
        <v>48</v>
      </c>
      <c r="O17" s="5">
        <v>0.75</v>
      </c>
      <c r="P17" s="5">
        <f>Tableau3[[#This Row],[HJ Dev]]*(25%+25%)</f>
        <v>0.375</v>
      </c>
      <c r="Q17" s="35">
        <f>Tableau3[[#This Row],[HJ Analyse et Test]]+Tableau3[[#This Row],[HJ Dev]]</f>
        <v>1.125</v>
      </c>
      <c r="R17" s="34"/>
      <c r="W17" s="35"/>
    </row>
    <row r="18" spans="2:23" ht="200.45" customHeight="1">
      <c r="B18" s="5" t="s">
        <v>58</v>
      </c>
      <c r="C18" s="5" t="s">
        <v>50</v>
      </c>
      <c r="D18" s="5" t="s">
        <v>38</v>
      </c>
      <c r="E18" s="5" t="s">
        <v>39</v>
      </c>
      <c r="F18" s="5" t="s">
        <v>40</v>
      </c>
      <c r="G18" s="5" t="s">
        <v>42</v>
      </c>
      <c r="H18" s="5" t="s">
        <v>59</v>
      </c>
      <c r="I18" s="5" t="s">
        <v>56</v>
      </c>
      <c r="J18" s="5" t="s">
        <v>60</v>
      </c>
      <c r="K18" s="5" t="s">
        <v>45</v>
      </c>
      <c r="L18" s="5" t="s">
        <v>46</v>
      </c>
      <c r="M18" s="5" t="s">
        <v>47</v>
      </c>
      <c r="N18" s="5" t="s">
        <v>48</v>
      </c>
      <c r="O18" s="5">
        <v>1.25</v>
      </c>
      <c r="P18" s="5">
        <f>Tableau3[[#This Row],[HJ Dev]]*(25%+25%)</f>
        <v>0.625</v>
      </c>
      <c r="Q18" s="35">
        <f>Tableau3[[#This Row],[HJ Analyse et Test]]+Tableau3[[#This Row],[HJ Dev]]</f>
        <v>1.875</v>
      </c>
      <c r="R18" s="34"/>
      <c r="W18" s="35"/>
    </row>
    <row r="19" spans="2:23" ht="58.5" customHeight="1">
      <c r="B19" s="5" t="s">
        <v>61</v>
      </c>
      <c r="C19" s="5" t="s">
        <v>62</v>
      </c>
      <c r="D19" s="5" t="s">
        <v>38</v>
      </c>
      <c r="E19" s="5" t="s">
        <v>63</v>
      </c>
      <c r="F19" s="5" t="s">
        <v>40</v>
      </c>
      <c r="G19" s="5" t="s">
        <v>42</v>
      </c>
      <c r="H19" s="5" t="s">
        <v>64</v>
      </c>
      <c r="I19" s="5" t="s">
        <v>56</v>
      </c>
      <c r="J19" s="5" t="s">
        <v>64</v>
      </c>
      <c r="K19" s="5" t="s">
        <v>45</v>
      </c>
      <c r="L19" s="5" t="s">
        <v>46</v>
      </c>
      <c r="M19" s="5" t="s">
        <v>47</v>
      </c>
      <c r="N19" s="5" t="s">
        <v>48</v>
      </c>
      <c r="O19" s="34">
        <v>2</v>
      </c>
      <c r="P19" s="5">
        <f>Tableau3[[#This Row],[HJ Dev]]*(25%+25%)</f>
        <v>1</v>
      </c>
      <c r="Q19" s="35">
        <f>Tableau3[[#This Row],[HJ Analyse et Test]]+Tableau3[[#This Row],[HJ Dev]]</f>
        <v>3</v>
      </c>
      <c r="R19" s="34"/>
      <c r="W19" s="35"/>
    </row>
    <row r="20" spans="2:23" ht="363.95" customHeight="1">
      <c r="B20" s="5" t="s">
        <v>65</v>
      </c>
      <c r="C20" s="5" t="s">
        <v>66</v>
      </c>
      <c r="D20" s="5" t="s">
        <v>38</v>
      </c>
      <c r="E20" s="5" t="s">
        <v>63</v>
      </c>
      <c r="F20" s="5" t="s">
        <v>40</v>
      </c>
      <c r="G20" s="5" t="s">
        <v>42</v>
      </c>
      <c r="H20" s="5" t="s">
        <v>67</v>
      </c>
      <c r="I20" s="5" t="s">
        <v>56</v>
      </c>
      <c r="J20" s="5" t="s">
        <v>68</v>
      </c>
      <c r="K20" s="5" t="s">
        <v>45</v>
      </c>
      <c r="L20" s="5" t="s">
        <v>46</v>
      </c>
      <c r="M20" s="5" t="s">
        <v>47</v>
      </c>
      <c r="N20" s="5" t="s">
        <v>48</v>
      </c>
      <c r="O20" s="5">
        <f>1+0.5</f>
        <v>1.5</v>
      </c>
      <c r="P20" s="5">
        <f>Tableau3[[#This Row],[HJ Dev]]*(25%+25%)</f>
        <v>0.75</v>
      </c>
      <c r="Q20" s="35">
        <f>Tableau3[[#This Row],[HJ Analyse et Test]]+Tableau3[[#This Row],[HJ Dev]]</f>
        <v>2.25</v>
      </c>
      <c r="R20" s="34"/>
      <c r="W20" s="35"/>
    </row>
    <row r="21" spans="2:23" ht="150.75" customHeight="1">
      <c r="B21" s="5" t="s">
        <v>69</v>
      </c>
      <c r="C21" s="36" t="s">
        <v>70</v>
      </c>
      <c r="D21" s="36" t="s">
        <v>38</v>
      </c>
      <c r="E21" s="36" t="s">
        <v>39</v>
      </c>
      <c r="F21" s="36" t="s">
        <v>40</v>
      </c>
      <c r="G21" s="36" t="s">
        <v>42</v>
      </c>
      <c r="H21" s="36" t="s">
        <v>71</v>
      </c>
      <c r="I21" s="36" t="s">
        <v>43</v>
      </c>
      <c r="J21" s="37" t="s">
        <v>72</v>
      </c>
      <c r="K21" s="5" t="s">
        <v>45</v>
      </c>
      <c r="L21" s="5" t="s">
        <v>46</v>
      </c>
      <c r="M21" s="5" t="s">
        <v>47</v>
      </c>
      <c r="N21" s="5" t="s">
        <v>48</v>
      </c>
      <c r="O21" s="5">
        <v>0</v>
      </c>
      <c r="P21" s="5">
        <f>Tableau3[[#This Row],[HJ Dev]]*(25%+25%)</f>
        <v>0</v>
      </c>
      <c r="Q21" s="35">
        <f>Tableau3[[#This Row],[HJ Analyse et Test]]+Tableau3[[#This Row],[HJ Dev]]</f>
        <v>0</v>
      </c>
      <c r="R21" s="34"/>
      <c r="W21" s="35"/>
    </row>
    <row r="22" spans="2:23" ht="124.5" customHeight="1">
      <c r="B22" s="5" t="s">
        <v>73</v>
      </c>
      <c r="C22" s="36" t="s">
        <v>70</v>
      </c>
      <c r="D22" s="36" t="s">
        <v>38</v>
      </c>
      <c r="E22" s="36" t="s">
        <v>39</v>
      </c>
      <c r="F22" s="36" t="s">
        <v>40</v>
      </c>
      <c r="G22" s="36" t="s">
        <v>42</v>
      </c>
      <c r="H22" s="5" t="s">
        <v>74</v>
      </c>
      <c r="I22" s="5" t="s">
        <v>56</v>
      </c>
      <c r="J22" s="5" t="s">
        <v>75</v>
      </c>
      <c r="K22" s="5" t="s">
        <v>45</v>
      </c>
      <c r="L22" s="5" t="s">
        <v>46</v>
      </c>
      <c r="M22" s="5" t="s">
        <v>47</v>
      </c>
      <c r="N22" s="5" t="s">
        <v>48</v>
      </c>
      <c r="O22" s="34">
        <v>1</v>
      </c>
      <c r="P22" s="5">
        <f>Tableau3[[#This Row],[HJ Dev]]*(25%+25%)</f>
        <v>0.5</v>
      </c>
      <c r="Q22" s="35">
        <f>Tableau3[[#This Row],[HJ Analyse et Test]]+Tableau3[[#This Row],[HJ Dev]]</f>
        <v>1.5</v>
      </c>
      <c r="R22" s="34"/>
      <c r="W22" s="35"/>
    </row>
    <row r="23" spans="2:23" ht="342.75" customHeight="1">
      <c r="B23" s="5" t="s">
        <v>76</v>
      </c>
      <c r="C23" s="36" t="s">
        <v>70</v>
      </c>
      <c r="D23" s="36" t="s">
        <v>38</v>
      </c>
      <c r="E23" s="36" t="s">
        <v>39</v>
      </c>
      <c r="F23" s="36" t="s">
        <v>40</v>
      </c>
      <c r="G23" s="36" t="s">
        <v>42</v>
      </c>
      <c r="H23" s="5" t="s">
        <v>77</v>
      </c>
      <c r="I23" s="5" t="s">
        <v>56</v>
      </c>
      <c r="J23" s="5" t="s">
        <v>78</v>
      </c>
      <c r="K23" s="5" t="s">
        <v>45</v>
      </c>
      <c r="L23" s="5" t="s">
        <v>46</v>
      </c>
      <c r="M23" s="5" t="s">
        <v>47</v>
      </c>
      <c r="N23" s="5" t="s">
        <v>48</v>
      </c>
      <c r="O23" s="34">
        <v>1</v>
      </c>
      <c r="P23" s="5">
        <f>Tableau3[[#This Row],[HJ Dev]]*(25%+25%)</f>
        <v>0.5</v>
      </c>
      <c r="Q23" s="35">
        <f>Tableau3[[#This Row],[HJ Analyse et Test]]+Tableau3[[#This Row],[HJ Dev]]</f>
        <v>1.5</v>
      </c>
      <c r="R23" s="34"/>
      <c r="W23" s="35"/>
    </row>
    <row r="24" spans="2:23" ht="219" customHeight="1">
      <c r="B24" s="5" t="s">
        <v>79</v>
      </c>
      <c r="C24" s="36" t="s">
        <v>70</v>
      </c>
      <c r="D24" s="36" t="s">
        <v>38</v>
      </c>
      <c r="E24" s="36" t="s">
        <v>39</v>
      </c>
      <c r="F24" s="36" t="s">
        <v>40</v>
      </c>
      <c r="G24" s="36" t="s">
        <v>42</v>
      </c>
      <c r="H24" s="5" t="s">
        <v>80</v>
      </c>
      <c r="I24" s="5" t="s">
        <v>56</v>
      </c>
      <c r="J24" s="5" t="s">
        <v>81</v>
      </c>
      <c r="K24" s="5" t="s">
        <v>45</v>
      </c>
      <c r="L24" s="5" t="s">
        <v>46</v>
      </c>
      <c r="M24" s="5" t="s">
        <v>47</v>
      </c>
      <c r="N24" s="5" t="s">
        <v>48</v>
      </c>
      <c r="O24" s="34">
        <v>4.5</v>
      </c>
      <c r="P24" s="5">
        <f>Tableau3[[#This Row],[HJ Dev]]*(25%+25%)</f>
        <v>2.25</v>
      </c>
      <c r="Q24" s="35">
        <f>Tableau3[[#This Row],[HJ Analyse et Test]]+Tableau3[[#This Row],[HJ Dev]]</f>
        <v>6.75</v>
      </c>
      <c r="R24" s="34"/>
      <c r="W24" s="35"/>
    </row>
    <row r="25" spans="2:23" ht="219.95" customHeight="1">
      <c r="B25" s="5" t="s">
        <v>82</v>
      </c>
      <c r="C25" s="36" t="s">
        <v>70</v>
      </c>
      <c r="D25" s="36" t="s">
        <v>38</v>
      </c>
      <c r="E25" s="36" t="s">
        <v>39</v>
      </c>
      <c r="F25" s="36" t="s">
        <v>40</v>
      </c>
      <c r="G25" s="36" t="s">
        <v>42</v>
      </c>
      <c r="H25" s="5" t="s">
        <v>83</v>
      </c>
      <c r="I25" s="5" t="s">
        <v>56</v>
      </c>
      <c r="J25" s="5" t="s">
        <v>84</v>
      </c>
      <c r="K25" s="5" t="s">
        <v>45</v>
      </c>
      <c r="L25" s="5" t="s">
        <v>46</v>
      </c>
      <c r="M25" s="5" t="s">
        <v>47</v>
      </c>
      <c r="N25" s="5" t="s">
        <v>48</v>
      </c>
      <c r="O25" s="34">
        <v>1</v>
      </c>
      <c r="P25" s="5">
        <f>Tableau3[[#This Row],[HJ Dev]]*(25%+25%)</f>
        <v>0.5</v>
      </c>
      <c r="Q25" s="35">
        <f>Tableau3[[#This Row],[HJ Analyse et Test]]+Tableau3[[#This Row],[HJ Dev]]</f>
        <v>1.5</v>
      </c>
      <c r="R25" s="34"/>
      <c r="W25" s="35"/>
    </row>
    <row r="26" spans="2:23" ht="141.94999999999999" customHeight="1">
      <c r="B26" s="5" t="s">
        <v>85</v>
      </c>
      <c r="C26" s="5" t="s">
        <v>86</v>
      </c>
      <c r="D26" s="5" t="s">
        <v>38</v>
      </c>
      <c r="E26" s="36" t="s">
        <v>39</v>
      </c>
      <c r="F26" s="5" t="s">
        <v>40</v>
      </c>
      <c r="G26" s="5" t="s">
        <v>42</v>
      </c>
      <c r="H26" s="5" t="s">
        <v>87</v>
      </c>
      <c r="I26" s="5" t="s">
        <v>43</v>
      </c>
      <c r="J26" s="5" t="s">
        <v>88</v>
      </c>
      <c r="L26" s="5" t="s">
        <v>46</v>
      </c>
      <c r="M26" s="5" t="s">
        <v>47</v>
      </c>
      <c r="N26" s="5" t="s">
        <v>48</v>
      </c>
      <c r="O26" s="34">
        <v>3</v>
      </c>
      <c r="P26" s="5">
        <f>Tableau3[[#This Row],[HJ Dev]]*(25%+25%)</f>
        <v>1.5</v>
      </c>
      <c r="Q26" s="35">
        <f>Tableau3[[#This Row],[HJ Analyse et Test]]+Tableau3[[#This Row],[HJ Dev]]</f>
        <v>4.5</v>
      </c>
      <c r="R26" s="34"/>
      <c r="W26" s="35"/>
    </row>
    <row r="27" spans="2:23" ht="137.1" customHeight="1">
      <c r="B27" s="5" t="s">
        <v>89</v>
      </c>
      <c r="C27" s="5" t="s">
        <v>90</v>
      </c>
      <c r="D27" s="5" t="s">
        <v>38</v>
      </c>
      <c r="E27" s="5" t="s">
        <v>63</v>
      </c>
      <c r="F27" s="5" t="s">
        <v>40</v>
      </c>
      <c r="G27" s="5" t="s">
        <v>42</v>
      </c>
      <c r="H27" s="5" t="s">
        <v>91</v>
      </c>
      <c r="I27" s="5" t="s">
        <v>56</v>
      </c>
      <c r="J27" s="5" t="s">
        <v>92</v>
      </c>
      <c r="K27" s="5" t="s">
        <v>45</v>
      </c>
      <c r="L27" s="5" t="s">
        <v>46</v>
      </c>
      <c r="M27" s="5" t="s">
        <v>47</v>
      </c>
      <c r="N27" s="5" t="s">
        <v>48</v>
      </c>
      <c r="O27" s="5">
        <v>2</v>
      </c>
      <c r="P27" s="5">
        <f>Tableau3[[#This Row],[HJ Dev]]*(25%+25%)</f>
        <v>1</v>
      </c>
      <c r="Q27" s="35">
        <f>Tableau3[[#This Row],[HJ Analyse et Test]]+Tableau3[[#This Row],[HJ Dev]]</f>
        <v>3</v>
      </c>
      <c r="R27" s="34"/>
      <c r="W27" s="35"/>
    </row>
    <row r="28" spans="2:23" ht="102.95" customHeight="1">
      <c r="O28" s="5">
        <f>SUBTOTAL(109,Tableau3[HJ Dev])</f>
        <v>18</v>
      </c>
      <c r="P28" s="5">
        <f>SUBTOTAL(109,Tableau3[HJ Analyse et Test])</f>
        <v>9</v>
      </c>
      <c r="Q28" s="5">
        <f>SUBTOTAL(109,Tableau3[Total HJ])</f>
        <v>27</v>
      </c>
    </row>
    <row r="29" spans="2:23" ht="198.6" customHeight="1"/>
    <row r="30" spans="2:23" ht="142.5" customHeight="1"/>
  </sheetData>
  <mergeCells count="3">
    <mergeCell ref="R2:W2"/>
    <mergeCell ref="B2:N2"/>
    <mergeCell ref="O2:Q2"/>
  </mergeCells>
  <phoneticPr fontId="2" type="noConversion"/>
  <dataValidations count="2">
    <dataValidation type="whole" operator="greaterThanOrEqual" allowBlank="1" showInputMessage="1" showErrorMessage="1" sqref="O15 O23 P15:Q27" xr:uid="{10E2E794-3894-4CC1-AB1A-9BB5BF41EABB}">
      <formula1>0</formula1>
    </dataValidation>
    <dataValidation type="decimal" operator="greaterThanOrEqual" allowBlank="1" showInputMessage="1" showErrorMessage="1" sqref="O16:O22 O24:O27" xr:uid="{8B90C7D2-1194-4CEB-8672-6A35E98C4E63}">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Params!$C$6:$C$13</xm:f>
          </x14:formula1>
          <xm:sqref>D5</xm:sqref>
        </x14:dataValidation>
        <x14:dataValidation type="list" allowBlank="1" showInputMessage="1" showErrorMessage="1" xr:uid="{06B2A4DB-2A94-4B0B-971B-CDFF438E23BA}">
          <x14:formula1>
            <xm:f>Params!$H$6:$H$12</xm:f>
          </x14:formula1>
          <xm:sqref>N15:N27</xm:sqref>
        </x14:dataValidation>
        <x14:dataValidation type="list" allowBlank="1" showInputMessage="1" showErrorMessage="1" xr:uid="{1F2CF1C1-BE35-4DC9-A975-F49F788F3D6A}">
          <x14:formula1>
            <xm:f>Params!$I$6:$I$9</xm:f>
          </x14:formula1>
          <xm:sqref>L15:L27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8"/>
  <sheetViews>
    <sheetView zoomScale="80" zoomScaleNormal="80" workbookViewId="0">
      <selection activeCell="I17" sqref="I17"/>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93</v>
      </c>
      <c r="B3" s="47" t="s">
        <v>0</v>
      </c>
      <c r="C3" s="48"/>
      <c r="D3" s="48"/>
      <c r="E3" s="48"/>
      <c r="F3" s="48"/>
      <c r="G3" s="49"/>
    </row>
    <row r="4" spans="1:7">
      <c r="B4" s="3"/>
      <c r="C4" s="4"/>
      <c r="D4" s="4"/>
      <c r="E4" s="4"/>
      <c r="F4" s="4"/>
      <c r="G4" s="4"/>
    </row>
    <row r="5" spans="1:7">
      <c r="B5" s="7" t="str">
        <f>'Gestion Exigences'!B5</f>
        <v>BU</v>
      </c>
      <c r="C5" s="7"/>
      <c r="D5" s="7" t="str">
        <f>'Gestion Exigences'!D5</f>
        <v xml:space="preserve">SF </v>
      </c>
      <c r="E5" s="4"/>
      <c r="F5" s="4"/>
      <c r="G5" s="4"/>
    </row>
    <row r="6" spans="1:7">
      <c r="B6" s="7" t="str">
        <f>'Gestion Exigences'!B6</f>
        <v>Client</v>
      </c>
      <c r="C6" s="7"/>
      <c r="D6" s="7" t="str">
        <f>'Gestion Exigences'!D6</f>
        <v>Cogitel</v>
      </c>
      <c r="E6" s="4"/>
      <c r="F6" s="4"/>
      <c r="G6" s="4"/>
    </row>
    <row r="7" spans="1:7">
      <c r="B7" s="7" t="str">
        <f>'Gestion Exigences'!B7</f>
        <v>Projet</v>
      </c>
      <c r="C7" s="7"/>
      <c r="D7" s="7" t="str">
        <f>'Gestion Exigences'!D7</f>
        <v>Digitalisation Process NCs</v>
      </c>
      <c r="E7" s="4"/>
      <c r="F7" s="4"/>
      <c r="G7" s="4"/>
    </row>
    <row r="8" spans="1:7">
      <c r="B8" s="7" t="str">
        <f>'Gestion Exigences'!B8</f>
        <v>Réf BPA du Devis</v>
      </c>
      <c r="C8" s="7"/>
      <c r="D8" s="7" t="str">
        <f>'Gestion Exigences'!D8</f>
        <v>TBC</v>
      </c>
      <c r="E8" s="4"/>
      <c r="F8" s="4"/>
      <c r="G8" s="4"/>
    </row>
    <row r="9" spans="1:7">
      <c r="B9" s="7" t="str">
        <f>'Gestion Exigences'!B9</f>
        <v>Réf BPA du Projet</v>
      </c>
      <c r="C9" s="7"/>
      <c r="D9" s="7" t="str">
        <f>'Gestion Exigences'!D9</f>
        <v>TBC</v>
      </c>
      <c r="E9" s="4"/>
      <c r="F9" s="4"/>
      <c r="G9" s="4"/>
    </row>
    <row r="10" spans="1:7">
      <c r="B10" s="7"/>
      <c r="C10" s="7"/>
      <c r="D10" s="7"/>
      <c r="E10" s="4"/>
      <c r="F10" s="4"/>
      <c r="G10" s="4"/>
    </row>
    <row r="11" spans="1:7">
      <c r="B11" s="21" t="str">
        <f>'Gestion Exigences'!B11</f>
        <v>MD203:V1.1</v>
      </c>
      <c r="C11" s="21"/>
      <c r="D11" s="7"/>
      <c r="E11" s="4"/>
      <c r="F11" s="4"/>
      <c r="G11" s="4"/>
    </row>
    <row r="12" spans="1:7">
      <c r="B12" s="3"/>
      <c r="C12" s="4"/>
      <c r="D12" s="4"/>
      <c r="E12" s="4"/>
      <c r="F12" s="4"/>
      <c r="G12" s="4"/>
    </row>
    <row r="13" spans="1:7">
      <c r="B13" s="12" t="s">
        <v>94</v>
      </c>
      <c r="C13" s="12" t="s">
        <v>95</v>
      </c>
      <c r="D13" s="12" t="s">
        <v>96</v>
      </c>
      <c r="E13" s="12" t="s">
        <v>97</v>
      </c>
      <c r="F13" s="12" t="s">
        <v>98</v>
      </c>
      <c r="G13" s="12" t="s">
        <v>99</v>
      </c>
    </row>
    <row r="14" spans="1:7" ht="29.65" customHeight="1">
      <c r="B14" s="13" t="s">
        <v>100</v>
      </c>
      <c r="C14" s="14">
        <v>45950</v>
      </c>
      <c r="D14" s="9" t="s">
        <v>101</v>
      </c>
      <c r="E14" s="13" t="s">
        <v>102</v>
      </c>
      <c r="F14" s="8" t="s">
        <v>103</v>
      </c>
      <c r="G14" s="8" t="s">
        <v>103</v>
      </c>
    </row>
    <row r="15" spans="1:7" ht="39.6">
      <c r="B15" s="13" t="s">
        <v>104</v>
      </c>
      <c r="C15" s="15">
        <v>45983</v>
      </c>
      <c r="D15" s="1" t="s">
        <v>105</v>
      </c>
      <c r="E15" s="13" t="s">
        <v>102</v>
      </c>
      <c r="F15" s="8" t="s">
        <v>103</v>
      </c>
      <c r="G15" s="8" t="s">
        <v>103</v>
      </c>
    </row>
    <row r="16" spans="1:7">
      <c r="B16" s="1"/>
      <c r="C16" s="15"/>
      <c r="D16" s="1"/>
      <c r="E16" s="1"/>
      <c r="F16" s="1"/>
      <c r="G16" s="1"/>
    </row>
    <row r="17" spans="2:7">
      <c r="B17" s="1"/>
      <c r="C17" s="1"/>
      <c r="D17" s="1"/>
      <c r="E17" s="1"/>
      <c r="F17" s="1"/>
      <c r="G17" s="1"/>
    </row>
    <row r="18" spans="2:7">
      <c r="B18" s="1"/>
      <c r="C18" s="1"/>
      <c r="D18" s="1"/>
      <c r="E18" s="1"/>
      <c r="F18" s="1"/>
      <c r="G18" s="1"/>
    </row>
  </sheetData>
  <mergeCells count="1">
    <mergeCell ref="B3:G3"/>
  </mergeCells>
  <phoneticPr fontId="21"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15"/>
  <sheetViews>
    <sheetView topLeftCell="C1" workbookViewId="0">
      <selection activeCell="J10" sqref="J10"/>
    </sheetView>
  </sheetViews>
  <sheetFormatPr defaultColWidth="11.42578125" defaultRowHeight="12.95"/>
  <cols>
    <col min="1" max="3" width="11.42578125" style="5"/>
    <col min="4" max="5" width="19.7109375" style="5" customWidth="1"/>
    <col min="6" max="6" width="23.7109375" style="5" customWidth="1"/>
    <col min="7" max="7" width="14.42578125" style="5" customWidth="1"/>
    <col min="8" max="8" width="23.7109375" style="5" customWidth="1"/>
    <col min="9" max="9" width="25.28515625" style="5" customWidth="1"/>
    <col min="10" max="10" width="20.42578125" style="5" customWidth="1"/>
    <col min="11" max="16384" width="11.42578125" style="5"/>
  </cols>
  <sheetData>
    <row r="2" spans="2:10">
      <c r="B2" s="20" t="s">
        <v>106</v>
      </c>
      <c r="C2" s="20"/>
      <c r="D2" s="19">
        <v>0.25</v>
      </c>
    </row>
    <row r="3" spans="2:10">
      <c r="B3" s="20" t="s">
        <v>107</v>
      </c>
      <c r="C3" s="20"/>
      <c r="D3" s="19">
        <v>0.25</v>
      </c>
    </row>
    <row r="5" spans="2:10" ht="26.1">
      <c r="B5" s="16" t="s">
        <v>108</v>
      </c>
      <c r="C5" s="16" t="s">
        <v>3</v>
      </c>
      <c r="D5" s="16" t="s">
        <v>17</v>
      </c>
      <c r="E5" s="16" t="s">
        <v>109</v>
      </c>
      <c r="F5" s="16" t="s">
        <v>21</v>
      </c>
      <c r="G5" s="16" t="s">
        <v>110</v>
      </c>
      <c r="H5" s="16" t="s">
        <v>26</v>
      </c>
      <c r="I5" s="16" t="s">
        <v>111</v>
      </c>
      <c r="J5" s="16" t="s">
        <v>18</v>
      </c>
    </row>
    <row r="6" spans="2:10" ht="26.1">
      <c r="B6" s="5" t="s">
        <v>112</v>
      </c>
      <c r="C6" s="5" t="s">
        <v>4</v>
      </c>
      <c r="D6" s="5" t="s">
        <v>38</v>
      </c>
      <c r="E6" s="5" t="s">
        <v>40</v>
      </c>
      <c r="F6" s="5" t="s">
        <v>113</v>
      </c>
      <c r="G6" s="5" t="s">
        <v>114</v>
      </c>
      <c r="H6" s="5" t="s">
        <v>48</v>
      </c>
      <c r="I6" s="5" t="s">
        <v>46</v>
      </c>
      <c r="J6" s="5" t="s">
        <v>115</v>
      </c>
    </row>
    <row r="7" spans="2:10" ht="51.95">
      <c r="B7" s="5" t="s">
        <v>116</v>
      </c>
      <c r="C7" s="5" t="s">
        <v>117</v>
      </c>
      <c r="D7" s="5" t="s">
        <v>118</v>
      </c>
      <c r="E7" s="5" t="s">
        <v>119</v>
      </c>
      <c r="F7" s="5" t="s">
        <v>42</v>
      </c>
      <c r="G7" s="5" t="s">
        <v>120</v>
      </c>
      <c r="H7" s="5" t="s">
        <v>121</v>
      </c>
      <c r="I7" s="5" t="s">
        <v>122</v>
      </c>
      <c r="J7" s="5" t="s">
        <v>123</v>
      </c>
    </row>
    <row r="8" spans="2:10" ht="51.95">
      <c r="B8" s="5" t="s">
        <v>124</v>
      </c>
      <c r="C8" s="5" t="s">
        <v>125</v>
      </c>
      <c r="D8" s="5" t="s">
        <v>126</v>
      </c>
      <c r="E8" s="5" t="s">
        <v>127</v>
      </c>
      <c r="F8" s="5" t="s">
        <v>128</v>
      </c>
      <c r="G8" s="5" t="s">
        <v>103</v>
      </c>
      <c r="H8" s="5" t="s">
        <v>103</v>
      </c>
      <c r="I8" s="5" t="s">
        <v>103</v>
      </c>
      <c r="J8" s="5" t="s">
        <v>39</v>
      </c>
    </row>
    <row r="9" spans="2:10" ht="39">
      <c r="B9" s="5" t="s">
        <v>129</v>
      </c>
      <c r="D9" s="5" t="s">
        <v>130</v>
      </c>
      <c r="E9" s="5" t="s">
        <v>131</v>
      </c>
      <c r="F9" s="5" t="s">
        <v>132</v>
      </c>
      <c r="J9" s="5" t="s">
        <v>133</v>
      </c>
    </row>
    <row r="10" spans="2:10" ht="39">
      <c r="B10" s="5" t="s">
        <v>134</v>
      </c>
      <c r="D10" s="5" t="s">
        <v>135</v>
      </c>
      <c r="E10" s="5" t="s">
        <v>136</v>
      </c>
      <c r="F10" s="5" t="s">
        <v>137</v>
      </c>
      <c r="J10" s="5" t="s">
        <v>63</v>
      </c>
    </row>
    <row r="11" spans="2:10" ht="51.95">
      <c r="B11" s="5" t="s">
        <v>138</v>
      </c>
      <c r="D11" s="5" t="s">
        <v>139</v>
      </c>
      <c r="F11" s="5" t="s">
        <v>140</v>
      </c>
      <c r="J11" s="5" t="s">
        <v>141</v>
      </c>
    </row>
    <row r="12" spans="2:10" ht="51.95">
      <c r="B12" s="5" t="s">
        <v>142</v>
      </c>
      <c r="F12" s="5" t="s">
        <v>143</v>
      </c>
      <c r="J12" s="5" t="s">
        <v>144</v>
      </c>
    </row>
    <row r="13" spans="2:10" ht="39">
      <c r="B13" s="5" t="s">
        <v>145</v>
      </c>
    </row>
    <row r="14" spans="2:10" ht="65.099999999999994">
      <c r="B14" s="5" t="s">
        <v>146</v>
      </c>
      <c r="J14" s="5" t="s">
        <v>147</v>
      </c>
    </row>
    <row r="15" spans="2:10" ht="65.099999999999994">
      <c r="B15" s="5" t="s">
        <v>148</v>
      </c>
      <c r="J15" s="5" t="s">
        <v>149</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C8B5B-7A06-4686-9F8A-E8F24EECD8B3}"/>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5CB3B323-3952-4CE9-B1C9-B2B4C4081F5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2025-12-08T10:38:31Z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