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6 Prospects/019 CHO GROUP/22 Etiquetage - Colisage/2 Préparation Offre/"/>
    </mc:Choice>
  </mc:AlternateContent>
  <xr:revisionPtr revIDLastSave="90" documentId="8_{C828ADA0-498A-49E1-B466-44A6A9CD06AA}" xr6:coauthVersionLast="47" xr6:coauthVersionMax="47" xr10:uidLastSave="{F91A5AEE-2539-43B5-8A2B-D51C4EE37190}"/>
  <bookViews>
    <workbookView xWindow="-110" yWindow="-110" windowWidth="19420" windowHeight="10300" tabRatio="620" xr2:uid="{00000000-000D-0000-FFFF-FFFF00000000}"/>
  </bookViews>
  <sheets>
    <sheet name="Gestion Exigences" sheetId="27" r:id="rId1"/>
    <sheet name="Modifs Doc" sheetId="29" r:id="rId2"/>
    <sheet name="Params" sheetId="30" r:id="rId3"/>
  </sheets>
  <definedNames>
    <definedName name="_xlnm.Print_Area" localSheetId="0">'Gestion Exigences'!$C$2:$I$17</definedName>
    <definedName name="_xlnm.Print_Area" localSheetId="1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" i="27" l="1"/>
  <c r="P16" i="27" s="1"/>
  <c r="O14" i="27"/>
  <c r="O21" i="27"/>
  <c r="P21" i="27" s="1"/>
  <c r="O20" i="27" l="1"/>
  <c r="P20" i="27" s="1"/>
  <c r="O18" i="27"/>
  <c r="P18" i="27" s="1"/>
  <c r="O19" i="27"/>
  <c r="P19" i="27" s="1"/>
  <c r="N22" i="27"/>
  <c r="P14" i="27"/>
  <c r="O15" i="27"/>
  <c r="P15" i="27" s="1"/>
  <c r="O17" i="27"/>
  <c r="P17" i="27" s="1"/>
  <c r="D5" i="29"/>
  <c r="D6" i="29"/>
  <c r="D7" i="29"/>
  <c r="D8" i="29"/>
  <c r="C10" i="29"/>
  <c r="C11" i="29"/>
  <c r="B6" i="29"/>
  <c r="B7" i="29"/>
  <c r="B8" i="29"/>
  <c r="B10" i="29"/>
  <c r="B11" i="29"/>
  <c r="B5" i="29"/>
  <c r="O22" i="27" l="1"/>
  <c r="P22" i="27"/>
</calcChain>
</file>

<file path=xl/sharedStrings.xml><?xml version="1.0" encoding="utf-8"?>
<sst xmlns="http://schemas.openxmlformats.org/spreadsheetml/2006/main" count="223" uniqueCount="142">
  <si>
    <t>Gestion Exigences Projet</t>
  </si>
  <si>
    <t>Chiffrage Réalisation (SF only)</t>
  </si>
  <si>
    <t>Revue et Vérification Pendant la Conception</t>
  </si>
  <si>
    <t>BU</t>
  </si>
  <si>
    <t>SF</t>
  </si>
  <si>
    <t>Client</t>
  </si>
  <si>
    <t>CHO</t>
  </si>
  <si>
    <t>Projet</t>
  </si>
  <si>
    <t>Colisage</t>
  </si>
  <si>
    <t>Réf BPA du Devis</t>
  </si>
  <si>
    <t>S0-00xyz</t>
  </si>
  <si>
    <t>Réf BPA du Projet</t>
  </si>
  <si>
    <t>PR-22-0xyz</t>
  </si>
  <si>
    <t>Réf Modèle Document</t>
  </si>
  <si>
    <t>MD203</t>
  </si>
  <si>
    <t>Confidentiel | Usage Client Limité</t>
  </si>
  <si>
    <t>Version Modèle Document</t>
  </si>
  <si>
    <t>V1.5</t>
  </si>
  <si>
    <t>ID</t>
  </si>
  <si>
    <t>Intitulé Exigence</t>
  </si>
  <si>
    <t>Nature</t>
  </si>
  <si>
    <t>Catégorie</t>
  </si>
  <si>
    <t>Exigence indéfiée pendant la phase</t>
  </si>
  <si>
    <t>Description de l'exigence</t>
  </si>
  <si>
    <t>Source</t>
  </si>
  <si>
    <t>Description de la solution MOMSOFT</t>
  </si>
  <si>
    <t>Écart entre exigence client et la solution proposée - préciser aussi les limites et hypothèses si applicable</t>
  </si>
  <si>
    <t>Validation Interne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</si>
  <si>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</si>
  <si>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</si>
  <si>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</si>
  <si>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</si>
  <si>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</si>
  <si>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</si>
  <si>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</si>
  <si>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</si>
  <si>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</si>
  <si>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</si>
  <si>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</si>
  <si>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</si>
  <si>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>Configuration des données</t>
  </si>
  <si>
    <t>Fonctionnelle</t>
  </si>
  <si>
    <t>SF-Fonctionnelle</t>
  </si>
  <si>
    <t>Commerciale</t>
  </si>
  <si>
    <t>Configuration complète et gestion de l'usine</t>
  </si>
  <si>
    <t>Workshop/réunion client</t>
  </si>
  <si>
    <t>La solution offre un Module Core permettant la modélisation, gestion et planification pour une usine connectée:
• Modélisation hiérarchique de l'usine:  Ateliers, lignes, postes, machines, .
• Gestion des produits
• Gestion des causes d'arrêts
• Gestion des utilisateurs et des autorisations: Rôles et accès contrôlés.
• Planification des lignes et des équipes: Cycles, équipes, calendrier de travail.</t>
  </si>
  <si>
    <t>RAS</t>
  </si>
  <si>
    <t>Validée</t>
  </si>
  <si>
    <t>Mahdi B.</t>
  </si>
  <si>
    <t>N/A</t>
  </si>
  <si>
    <t>E002</t>
  </si>
  <si>
    <t xml:space="preserve">Chargement des données au niveau de Smart Factory </t>
  </si>
  <si>
    <t xml:space="preserve"> Automatisation de l'importation de données dans la solution</t>
  </si>
  <si>
    <r>
      <t xml:space="preserve">La solution comprend un module "Intégration SI" permettant l'intégration automatisée de données: Chargement automatique de données depuis des fichiers CSV ou des systèmes d'information clients. En supportant les entités produits, utilisateurs avec une gestion détaillée des erreurs d'intégration.
</t>
    </r>
    <r>
      <rPr>
        <b/>
        <sz val="10"/>
        <rFont val="Calibri Light"/>
        <family val="2"/>
        <scheme val="major"/>
      </rPr>
      <t xml:space="preserve">Adaptation :
</t>
    </r>
    <r>
      <rPr>
        <sz val="10"/>
        <rFont val="Calibri Light"/>
        <family val="2"/>
        <scheme val="major"/>
      </rPr>
      <t xml:space="preserve">
Permettre le chargement des codes bouteilles dans la Base de données</t>
    </r>
  </si>
  <si>
    <t>E003</t>
  </si>
  <si>
    <t>SF-Connectivité Machine</t>
  </si>
  <si>
    <t>Après chargement des Datamatrix dans la base de données Smart Factory, l'utilisateur peut imprimer un nombre N d'étiquettes.
Il est aussi possible de réimprimer un code s'il a été déclaré comme non-conforme (Supprimé de l'interface historique des étiquettes)</t>
  </si>
  <si>
    <t>E004</t>
  </si>
  <si>
    <t>Interface Contrôle Bouteille</t>
  </si>
  <si>
    <t>Permettre le contrôle du code à barres pour chaque bouteille</t>
  </si>
  <si>
    <t>E005</t>
  </si>
  <si>
    <t>Rapport Contrôle Bouteille</t>
  </si>
  <si>
    <t>Extraire un rapport des Codes à barres scannés et des codes à barres non scannés</t>
  </si>
  <si>
    <t>E006</t>
  </si>
  <si>
    <t>Impression étiquette carton</t>
  </si>
  <si>
    <t>Permettre l'impression d'une étiquette carton</t>
  </si>
  <si>
    <t>Après scan d'un nombre X paramètrable de bouteilles sur un poste défini, imprimer une étiquette carton.
Il est possible de re-imprimer l'étiquette au besoin.</t>
  </si>
  <si>
    <t>E007</t>
  </si>
  <si>
    <t>Impression étiquette palette</t>
  </si>
  <si>
    <t>Permettre l'impression d'une étiquette palette</t>
  </si>
  <si>
    <t>Après scan d'un nombre X paramètrable de carton sur un poste défini, imprimer une étiquette palette.
Il est possible de re-imprimer l'étiquette au besoin.</t>
  </si>
  <si>
    <t>E008</t>
  </si>
  <si>
    <t>Interface Gestion de production</t>
  </si>
  <si>
    <t>Permettre l'enregistrement des bouteilles par colis</t>
  </si>
  <si>
    <t>La solution propose une interface permettant aux utilisateurs de :
Consulter l'historique des bouteilles, des cartons et des palettes.
Mise à jour du contenu du carton (Suppression dela bouteille du carton).
Mise à jour du contenu de la palette (Suppression du carton de la palette).
Réactivation des codes DataMatrix pour leur réutilisation.
Exporter l’historique au format Excel.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</si>
  <si>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</si>
  <si>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</si>
  <si>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</si>
  <si>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</si>
  <si>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</si>
  <si>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</si>
  <si>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</si>
  <si>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V1.0</t>
  </si>
  <si>
    <t xml:space="preserve">Version initiale </t>
  </si>
  <si>
    <t>Nihel k.</t>
  </si>
  <si>
    <t xml:space="preserve">Mahdi B. </t>
  </si>
  <si>
    <t>Imed A.</t>
  </si>
  <si>
    <t>V1.1</t>
  </si>
  <si>
    <t>Version adaptée avec l’ajout des exigences d’impression des étiquettes carton et des étiquettes bouteilles.</t>
  </si>
  <si>
    <t>Moatez D.</t>
  </si>
  <si>
    <t>Exigence identifiée pendant la phase</t>
  </si>
  <si>
    <t>Oui/Non</t>
  </si>
  <si>
    <t>Statut Interne</t>
  </si>
  <si>
    <t>SE</t>
  </si>
  <si>
    <t>CdC client</t>
  </si>
  <si>
    <t>Oui</t>
  </si>
  <si>
    <t>Validée par le client</t>
  </si>
  <si>
    <t>*** SE</t>
  </si>
  <si>
    <t>SE-TN</t>
  </si>
  <si>
    <t>Performance</t>
  </si>
  <si>
    <t>Conception</t>
  </si>
  <si>
    <t>Non</t>
  </si>
  <si>
    <t>Non validée par client</t>
  </si>
  <si>
    <t>Non validée</t>
  </si>
  <si>
    <t>SE-Processus</t>
  </si>
  <si>
    <t>SE-MA</t>
  </si>
  <si>
    <t>Reglementaire</t>
  </si>
  <si>
    <t>Réalisation</t>
  </si>
  <si>
    <t>Workshop/réunion Interne</t>
  </si>
  <si>
    <t>SE-Mécanique</t>
  </si>
  <si>
    <t>Sécurité</t>
  </si>
  <si>
    <t>Mise en œuvre</t>
  </si>
  <si>
    <t>Standards client</t>
  </si>
  <si>
    <t>SE-Electrique</t>
  </si>
  <si>
    <t>R&amp;D</t>
  </si>
  <si>
    <t>Standard Client</t>
  </si>
  <si>
    <t>Support et maintenance</t>
  </si>
  <si>
    <t>Standards ADDIXO</t>
  </si>
  <si>
    <t>SE-Soft</t>
  </si>
  <si>
    <t>LOOYAS</t>
  </si>
  <si>
    <t>Standard ADDIXO</t>
  </si>
  <si>
    <t>Reglementation</t>
  </si>
  <si>
    <t>SE-Auto</t>
  </si>
  <si>
    <t>A définir</t>
  </si>
  <si>
    <t>Demande modification</t>
  </si>
  <si>
    <t>SE-Fabrication</t>
  </si>
  <si>
    <t>SE-Intégration</t>
  </si>
  <si>
    <t>SE-Achats</t>
  </si>
  <si>
    <t>*** SF</t>
  </si>
  <si>
    <t>SF-Processus</t>
  </si>
  <si>
    <t>SF-Intégration SI</t>
  </si>
  <si>
    <t>SF-Software</t>
  </si>
  <si>
    <t>SF-Infra IT</t>
  </si>
  <si>
    <t>*** TC</t>
  </si>
  <si>
    <t>TC-Prestations sur site client</t>
  </si>
  <si>
    <t>V1.2</t>
  </si>
  <si>
    <t>Version adaptée avec l’ajout de l'exigence de l'automatisation de l'action d'impression du code datamatrix sur les bouteilles.</t>
  </si>
  <si>
    <t>La solution propose une interface qui permet aux utilisateurs de :
Visualiser les codes à barre déjà utilisés et de les exporter sous format Excel.
Visualiser les codes à barre non encore utilisés et de les exporter sous format Excel.</t>
  </si>
  <si>
    <t>Intégration des codes DataMatrix depuis SmartFactory vers l’imprimante</t>
  </si>
  <si>
    <t>Envoi des codes DataMatrix prêts à être imprimés depuis SmartFactory vers l’imprimante</t>
  </si>
  <si>
    <t>La solution propose une interface qui permet aux utilisateurs de :
Gérer la production par ligne par produit.
Scanner le code à barres de chaque bouteille.
Vérifier si le Code à barre existe dans la base de données, Sinon afficher un message "Code à barres inexistant".
Vérifier si le Code à barre n'était pas scanné, sinon afficher un message "Code à barre déjà utilisé".
Mettre à jour le statut de chaque code à barres en fonction du contrôle qualité.
Écarter les bouteilles non conformes (code DataMatrix lisible mais aspect visuel non acceptable) via un bouton.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</si>
</sst>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2" tint="-0.89999084444715716"/>
      <name val="Calibri Light"/>
      <family val="2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</font>
    <font>
      <sz val="4"/>
      <name val="Calibri Light"/>
      <family val="2"/>
      <scheme val="major"/>
    </font>
    <font>
      <sz val="10"/>
      <color rgb="FF000000"/>
      <name val="Calibri Light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5" fillId="0" borderId="0" xfId="0" applyFont="1"/>
    <xf numFmtId="0" fontId="17" fillId="0" borderId="0" xfId="0" applyFont="1"/>
    <xf numFmtId="0" fontId="1" fillId="0" borderId="0" xfId="0" applyFo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left" wrapText="1"/>
    </xf>
    <xf numFmtId="0" fontId="10" fillId="5" borderId="1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vertical="center" wrapText="1"/>
    </xf>
    <xf numFmtId="0" fontId="18" fillId="0" borderId="0" xfId="0" applyFont="1" applyAlignment="1">
      <alignment vertical="center"/>
    </xf>
    <xf numFmtId="0" fontId="1" fillId="6" borderId="0" xfId="0" applyFont="1" applyFill="1" applyAlignment="1">
      <alignment vertical="center" wrapText="1"/>
    </xf>
    <xf numFmtId="0" fontId="12" fillId="2" borderId="1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17929</xdr:colOff>
      <xdr:row>2</xdr:row>
      <xdr:rowOff>161363</xdr:rowOff>
    </xdr:from>
    <xdr:to>
      <xdr:col>2</xdr:col>
      <xdr:colOff>2368873</xdr:colOff>
      <xdr:row>2</xdr:row>
      <xdr:rowOff>597460</xdr:rowOff>
    </xdr:to>
    <xdr:pic>
      <xdr:nvPicPr>
        <xdr:cNvPr id="3" name="Image 2" descr="Une image contenant Graphique, graphisme, capture d’écran, Caractère coloré&#10;&#10;Description générée automatiquement">
          <a:extLst>
            <a:ext uri="{FF2B5EF4-FFF2-40B4-BE49-F238E27FC236}">
              <a16:creationId xmlns:a16="http://schemas.microsoft.com/office/drawing/2014/main" id="{7966670B-FD7D-478A-B1C8-F131A4F63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823" y="618563"/>
          <a:ext cx="2729143" cy="4392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3:V22" totalsRowCount="1" headerRowDxfId="51" dataDxfId="50">
  <autoFilter ref="B13:V21" xr:uid="{DDEA2C8B-EE0D-4C55-9256-CCC64E002CE6}"/>
  <tableColumns count="21">
    <tableColumn id="1" xr3:uid="{E467E0EE-CDAA-4FF5-85A8-CDC0B23A5AD9}" name="ID" dataDxfId="49" totalsRowDxfId="20"/>
    <tableColumn id="2" xr3:uid="{E53952AC-4972-47BD-8B1D-C7EF23088D0D}" name="Intitulé Exigence" dataDxfId="48" totalsRowDxfId="19"/>
    <tableColumn id="8" xr3:uid="{B2D0BC2C-C803-4015-8FA6-70F84517BDB2}" name="Nature" dataDxfId="47" totalsRowDxfId="18"/>
    <tableColumn id="7" xr3:uid="{24F2F0ED-022E-4EC1-91D8-BFE0E4F2FD36}" name="Catégorie" dataDxfId="46" totalsRowDxfId="17"/>
    <tableColumn id="10" xr3:uid="{1FF81CF1-6D35-421C-8767-9E7FA06FEE6A}" name="Exigence indéfiée pendant la phase" dataDxfId="45" totalsRowDxfId="16"/>
    <tableColumn id="3" xr3:uid="{E7621A68-9552-4853-96A5-92A226EA42DD}" name="Description de l'exigence" dataDxfId="44" totalsRowDxfId="15"/>
    <tableColumn id="9" xr3:uid="{E6EEEC82-3576-4980-94B3-1423906CE531}" name="Source" dataDxfId="43" totalsRowDxfId="14"/>
    <tableColumn id="16" xr3:uid="{1441554A-79F9-4040-9CF5-AEBFF7ADF7D1}" name="Description de la solution MOMSOFT" dataDxfId="42" totalsRowDxfId="13"/>
    <tableColumn id="17" xr3:uid="{D1BC9C86-C3CE-417F-AC83-FC4786A7656D}" name="Écart entre exigence client et la solution proposée - préciser aussi les limites et hypothèses si applicable" dataDxfId="41" totalsRowDxfId="12"/>
    <tableColumn id="5" xr3:uid="{2649C3B7-E8B9-44F9-8883-E5BB6F91B4B1}" name="Validation Interne" dataDxfId="40" totalsRowDxfId="11"/>
    <tableColumn id="6" xr3:uid="{8CC493F8-0886-498D-AB98-B77300CC6510}" name="Validation Interne par:" dataDxfId="39" totalsRowDxfId="10"/>
    <tableColumn id="15" xr3:uid="{78231C60-0932-4386-925D-4C689A91C0E3}" name="Statut Client" dataDxfId="38" totalsRowDxfId="9"/>
    <tableColumn id="22" xr3:uid="{D944A0FD-E468-407F-91A6-BD8A29086A7B}" name="HJ Dev" totalsRowFunction="sum" dataDxfId="37" totalsRowDxfId="8"/>
    <tableColumn id="21" xr3:uid="{818C68C5-1CC3-4DC9-9BB8-2CB7816ABE9F}" name="HJ Analyse et Test" totalsRowFunction="sum" dataDxfId="36" totalsRowDxfId="7">
      <calculatedColumnFormula>Tableau3[[#This Row],[HJ Dev]]*(25%+25%)</calculatedColumnFormula>
    </tableColumn>
    <tableColumn id="20" xr3:uid="{81CB5860-4285-4425-ABF9-C91F3323BF25}" name="Total HJ" totalsRowFunction="sum" dataDxfId="35" totalsRowDxfId="6">
      <calculatedColumnFormula>Tableau3[[#This Row],[HJ Analyse et Test]]+Tableau3[[#This Row],[HJ Dev]]</calculatedColumnFormula>
    </tableColumn>
    <tableColumn id="11" xr3:uid="{20685332-73A9-4B9D-874E-F1C9F770405F}" name="Description comment la conception de la solution prend en compte l'exigence client" dataDxfId="34" totalsRowDxfId="5"/>
    <tableColumn id="12" xr3:uid="{36B390F4-625A-46E1-864B-7108903FFD96}" name="Conception réalisée par:" dataDxfId="33" totalsRowDxfId="4"/>
    <tableColumn id="13" xr3:uid="{9016419E-83A5-4950-AB28-EA27A0D72FAD}" name="Revue conception réalisée par" dataDxfId="32" totalsRowDxfId="3"/>
    <tableColumn id="14" xr3:uid="{B5F29B7E-09EB-43EF-BD3D-9ADF38F7CC12}" name="Vérification de la conception réalisée par" dataDxfId="31" totalsRowDxfId="2"/>
    <tableColumn id="18" xr3:uid="{0CA25C90-64D6-43D5-90C8-CE6D70CCA638}" name="Preuve de vérification " dataDxfId="30" totalsRowDxfId="1"/>
    <tableColumn id="4" xr3:uid="{B7406A3A-A365-4F76-9A20-372573D19BC9}" name="Notes" dataDxfId="29" totalsRow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28" dataDxfId="27">
  <autoFilter ref="B13:G18" xr:uid="{96AD1385-A1F5-4391-ABC2-C9F250557626}"/>
  <tableColumns count="6">
    <tableColumn id="1" xr3:uid="{56DA355E-F205-482A-9CF1-CA3361A1D801}" name="Version" dataDxfId="26"/>
    <tableColumn id="2" xr3:uid="{C9D8A0D7-1D6E-479B-AF74-6D39D19E4653}" name="Date" dataDxfId="25"/>
    <tableColumn id="3" xr3:uid="{79109713-8A38-4162-A269-136157905B75}" name="Modifications" dataDxfId="24"/>
    <tableColumn id="4" xr3:uid="{AC928B3E-399C-4A3D-9FB5-9CD96F5D4745}" name="Auteur(s)" dataDxfId="23"/>
    <tableColumn id="5" xr3:uid="{0D0A428D-4F18-4D4E-A0CB-4D1A5057B6E9}" name="Vérificateur(s)" dataDxfId="22"/>
    <tableColumn id="6" xr3:uid="{D81EAB57-FBCA-44D9-8F45-58AF13AA08B6}" name="Approbateur" dataDxfId="2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V22"/>
  <sheetViews>
    <sheetView tabSelected="1" topLeftCell="E17" zoomScale="90" zoomScaleNormal="90" workbookViewId="0">
      <selection activeCell="H17" sqref="H17"/>
    </sheetView>
  </sheetViews>
  <sheetFormatPr baseColWidth="10" defaultColWidth="11.453125" defaultRowHeight="13" x14ac:dyDescent="0.3"/>
  <cols>
    <col min="1" max="1" width="11.453125" style="1"/>
    <col min="2" max="2" width="6.1796875" style="1" customWidth="1"/>
    <col min="3" max="3" width="41.7265625" style="1" customWidth="1"/>
    <col min="4" max="4" width="33.54296875" style="1" customWidth="1"/>
    <col min="5" max="5" width="18.26953125" style="1" customWidth="1"/>
    <col min="6" max="6" width="19.453125" style="1" customWidth="1"/>
    <col min="7" max="7" width="56.54296875" style="1" customWidth="1"/>
    <col min="8" max="8" width="31.26953125" style="1" customWidth="1"/>
    <col min="9" max="9" width="56.54296875" style="1" customWidth="1"/>
    <col min="10" max="10" width="33.1796875" style="1" customWidth="1"/>
    <col min="11" max="12" width="13.54296875" style="1" customWidth="1"/>
    <col min="13" max="13" width="15.26953125" style="1" customWidth="1"/>
    <col min="14" max="14" width="11.81640625" style="1" customWidth="1"/>
    <col min="15" max="15" width="15.453125" style="1" customWidth="1"/>
    <col min="16" max="16" width="13.7265625" style="1" customWidth="1"/>
    <col min="17" max="17" width="39.81640625" style="1" customWidth="1"/>
    <col min="18" max="18" width="15.7265625" style="1" customWidth="1"/>
    <col min="19" max="19" width="20.54296875" style="1" customWidth="1"/>
    <col min="20" max="20" width="20.1796875" style="1" customWidth="1"/>
    <col min="21" max="21" width="15.1796875" style="1" customWidth="1"/>
    <col min="22" max="22" width="30.81640625" style="1" customWidth="1"/>
    <col min="23" max="16384" width="11.453125" style="1"/>
  </cols>
  <sheetData>
    <row r="1" spans="2:22" ht="13.5" thickBot="1" x14ac:dyDescent="0.35"/>
    <row r="2" spans="2:22" ht="21.75" customHeight="1" thickBot="1" x14ac:dyDescent="0.5">
      <c r="B2" s="36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  <c r="N2" s="39" t="s">
        <v>1</v>
      </c>
      <c r="O2" s="40"/>
      <c r="P2" s="41"/>
      <c r="Q2" s="33" t="s">
        <v>2</v>
      </c>
      <c r="R2" s="34"/>
      <c r="S2" s="34"/>
      <c r="T2" s="34"/>
      <c r="U2" s="34"/>
      <c r="V2" s="35"/>
    </row>
    <row r="3" spans="2:22" ht="53.25" customHeight="1" x14ac:dyDescent="0.3">
      <c r="C3" s="8"/>
      <c r="D3" s="8"/>
      <c r="E3" s="8"/>
      <c r="F3" s="8"/>
      <c r="G3" s="8"/>
      <c r="H3" s="8"/>
      <c r="I3" s="8"/>
    </row>
    <row r="4" spans="2:22" ht="21" customHeight="1" x14ac:dyDescent="0.3">
      <c r="B4" s="26" t="s">
        <v>3</v>
      </c>
      <c r="C4" s="8"/>
      <c r="D4" s="27" t="s">
        <v>4</v>
      </c>
      <c r="E4" s="8"/>
      <c r="F4" s="8"/>
      <c r="G4" s="8"/>
      <c r="H4" s="8"/>
      <c r="I4" s="8"/>
    </row>
    <row r="5" spans="2:22" ht="21.75" customHeight="1" x14ac:dyDescent="0.35">
      <c r="B5" s="23" t="s">
        <v>5</v>
      </c>
      <c r="D5" s="3" t="s">
        <v>6</v>
      </c>
      <c r="E5" s="3"/>
      <c r="F5" s="3"/>
      <c r="G5" s="3"/>
      <c r="H5" s="3"/>
      <c r="I5" s="3"/>
    </row>
    <row r="6" spans="2:22" ht="58.15" customHeight="1" x14ac:dyDescent="0.35">
      <c r="B6" s="23" t="s">
        <v>7</v>
      </c>
      <c r="D6" s="3" t="s">
        <v>8</v>
      </c>
      <c r="E6" s="3"/>
      <c r="F6" s="3"/>
      <c r="G6" s="3"/>
      <c r="H6" s="3"/>
      <c r="I6" s="3"/>
    </row>
    <row r="7" spans="2:22" ht="20.5" customHeight="1" x14ac:dyDescent="0.35">
      <c r="B7" s="23" t="s">
        <v>9</v>
      </c>
      <c r="D7" s="3" t="s">
        <v>10</v>
      </c>
      <c r="E7" s="3"/>
      <c r="F7" s="3"/>
      <c r="G7" s="3"/>
      <c r="H7" s="3"/>
      <c r="I7" s="3"/>
    </row>
    <row r="8" spans="2:22" ht="21.65" customHeight="1" x14ac:dyDescent="0.35">
      <c r="B8" s="23" t="s">
        <v>11</v>
      </c>
      <c r="D8" s="3" t="s">
        <v>12</v>
      </c>
      <c r="E8" s="3"/>
      <c r="F8" s="3"/>
      <c r="G8" s="3"/>
      <c r="H8" s="3"/>
      <c r="I8" s="3"/>
    </row>
    <row r="9" spans="2:22" ht="14.5" x14ac:dyDescent="0.35">
      <c r="C9" s="3"/>
      <c r="D9" s="20"/>
      <c r="E9" s="20"/>
      <c r="F9" s="20"/>
      <c r="G9" s="20"/>
      <c r="H9" s="20"/>
      <c r="I9" s="20"/>
    </row>
    <row r="10" spans="2:22" x14ac:dyDescent="0.3">
      <c r="B10" s="24" t="s">
        <v>13</v>
      </c>
      <c r="C10" s="25"/>
      <c r="D10" s="24" t="s">
        <v>14</v>
      </c>
      <c r="E10" s="9"/>
      <c r="F10" s="9"/>
      <c r="I10" s="18" t="s">
        <v>15</v>
      </c>
    </row>
    <row r="11" spans="2:22" x14ac:dyDescent="0.3">
      <c r="B11" s="24" t="s">
        <v>16</v>
      </c>
      <c r="C11" s="25"/>
      <c r="D11" s="24" t="s">
        <v>17</v>
      </c>
      <c r="E11" s="9"/>
      <c r="F11" s="9"/>
    </row>
    <row r="12" spans="2:22" ht="13.5" thickBot="1" x14ac:dyDescent="0.35"/>
    <row r="13" spans="2:22" s="10" customFormat="1" ht="39.5" thickBot="1" x14ac:dyDescent="0.3">
      <c r="B13" s="28" t="s">
        <v>18</v>
      </c>
      <c r="C13" s="29" t="s">
        <v>19</v>
      </c>
      <c r="D13" s="29" t="s">
        <v>20</v>
      </c>
      <c r="E13" s="29" t="s">
        <v>21</v>
      </c>
      <c r="F13" s="29" t="s">
        <v>22</v>
      </c>
      <c r="G13" s="29" t="s">
        <v>23</v>
      </c>
      <c r="H13" s="29" t="s">
        <v>24</v>
      </c>
      <c r="I13" s="29" t="s">
        <v>25</v>
      </c>
      <c r="J13" s="29" t="s">
        <v>26</v>
      </c>
      <c r="K13" s="29" t="s">
        <v>27</v>
      </c>
      <c r="L13" s="29" t="s">
        <v>28</v>
      </c>
      <c r="M13" s="30" t="s">
        <v>29</v>
      </c>
      <c r="N13" s="14" t="s">
        <v>30</v>
      </c>
      <c r="O13" s="14" t="s">
        <v>31</v>
      </c>
      <c r="P13" s="14" t="s">
        <v>32</v>
      </c>
      <c r="Q13" s="15" t="s">
        <v>33</v>
      </c>
      <c r="R13" s="16" t="s">
        <v>34</v>
      </c>
      <c r="S13" s="16" t="s">
        <v>35</v>
      </c>
      <c r="T13" s="16" t="s">
        <v>36</v>
      </c>
      <c r="U13" s="16" t="s">
        <v>37</v>
      </c>
      <c r="V13" s="17" t="s">
        <v>38</v>
      </c>
    </row>
    <row r="14" spans="2:22" s="10" customFormat="1" ht="202.15" customHeight="1" x14ac:dyDescent="0.25">
      <c r="B14" s="10" t="s">
        <v>39</v>
      </c>
      <c r="C14" s="31" t="s">
        <v>40</v>
      </c>
      <c r="D14" s="10" t="s">
        <v>41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46</v>
      </c>
      <c r="J14" s="10" t="s">
        <v>47</v>
      </c>
      <c r="K14" s="10" t="s">
        <v>48</v>
      </c>
      <c r="L14" s="10" t="s">
        <v>49</v>
      </c>
      <c r="M14" s="10" t="s">
        <v>50</v>
      </c>
      <c r="N14" s="10">
        <v>0</v>
      </c>
      <c r="O14" s="10">
        <f>Tableau3[[#This Row],[HJ Dev]]*(25%+25%)</f>
        <v>0</v>
      </c>
      <c r="P14" s="10">
        <f>Tableau3[[#This Row],[HJ Analyse et Test]]+Tableau3[[#This Row],[HJ Dev]]</f>
        <v>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</row>
    <row r="15" spans="2:22" s="10" customFormat="1" ht="131.5" customHeight="1" x14ac:dyDescent="0.25">
      <c r="B15" s="10" t="s">
        <v>51</v>
      </c>
      <c r="C15" s="10" t="s">
        <v>52</v>
      </c>
      <c r="D15" s="10" t="s">
        <v>41</v>
      </c>
      <c r="E15" s="10" t="s">
        <v>42</v>
      </c>
      <c r="F15" s="10" t="s">
        <v>43</v>
      </c>
      <c r="G15" s="10" t="s">
        <v>53</v>
      </c>
      <c r="H15" s="10" t="s">
        <v>45</v>
      </c>
      <c r="I15" s="10" t="s">
        <v>54</v>
      </c>
      <c r="J15" s="10" t="s">
        <v>47</v>
      </c>
      <c r="K15" s="10" t="s">
        <v>48</v>
      </c>
      <c r="L15" s="10" t="s">
        <v>49</v>
      </c>
      <c r="M15" s="10" t="s">
        <v>50</v>
      </c>
      <c r="N15" s="10">
        <v>2</v>
      </c>
      <c r="O15" s="10">
        <f>Tableau3[[#This Row],[HJ Dev]]*(25%+25%)</f>
        <v>1</v>
      </c>
      <c r="P15" s="10">
        <f>Tableau3[[#This Row],[HJ Analyse et Test]]+Tableau3[[#This Row],[HJ Dev]]</f>
        <v>3</v>
      </c>
    </row>
    <row r="16" spans="2:22" s="10" customFormat="1" ht="140.65" customHeight="1" x14ac:dyDescent="0.25">
      <c r="B16" s="10" t="s">
        <v>55</v>
      </c>
      <c r="C16" s="10" t="s">
        <v>139</v>
      </c>
      <c r="D16" s="10" t="s">
        <v>41</v>
      </c>
      <c r="E16" s="10" t="s">
        <v>56</v>
      </c>
      <c r="F16" s="10" t="s">
        <v>43</v>
      </c>
      <c r="G16" s="10" t="s">
        <v>140</v>
      </c>
      <c r="H16" s="10" t="s">
        <v>45</v>
      </c>
      <c r="I16" s="10" t="s">
        <v>57</v>
      </c>
      <c r="J16" s="10" t="s">
        <v>47</v>
      </c>
      <c r="K16" s="10" t="s">
        <v>48</v>
      </c>
      <c r="L16" s="10" t="s">
        <v>49</v>
      </c>
      <c r="M16" s="10" t="s">
        <v>50</v>
      </c>
      <c r="N16" s="10">
        <v>4</v>
      </c>
      <c r="O16" s="10">
        <f>Tableau3[[#This Row],[HJ Dev]]*(25%+25%)</f>
        <v>2</v>
      </c>
      <c r="P16" s="10">
        <f>Tableau3[[#This Row],[HJ Analyse et Test]]+Tableau3[[#This Row],[HJ Dev]]</f>
        <v>6</v>
      </c>
    </row>
    <row r="17" spans="2:22" s="10" customFormat="1" ht="164" customHeight="1" x14ac:dyDescent="0.25">
      <c r="B17" s="10" t="s">
        <v>58</v>
      </c>
      <c r="C17" s="10" t="s">
        <v>59</v>
      </c>
      <c r="D17" s="10" t="s">
        <v>41</v>
      </c>
      <c r="E17" s="10" t="s">
        <v>42</v>
      </c>
      <c r="F17" s="10" t="s">
        <v>43</v>
      </c>
      <c r="G17" s="10" t="s">
        <v>60</v>
      </c>
      <c r="H17" s="10" t="s">
        <v>45</v>
      </c>
      <c r="I17" s="32" t="s">
        <v>141</v>
      </c>
      <c r="J17" s="10" t="s">
        <v>47</v>
      </c>
      <c r="K17" s="10" t="s">
        <v>48</v>
      </c>
      <c r="L17" s="10" t="s">
        <v>49</v>
      </c>
      <c r="M17" s="10" t="s">
        <v>50</v>
      </c>
      <c r="N17" s="10">
        <v>3.5</v>
      </c>
      <c r="O17" s="10">
        <f>Tableau3[[#This Row],[HJ Dev]]*(25%+25%)</f>
        <v>1.75</v>
      </c>
      <c r="P17" s="10">
        <f>Tableau3[[#This Row],[HJ Analyse et Test]]+Tableau3[[#This Row],[HJ Dev]]</f>
        <v>5.25</v>
      </c>
    </row>
    <row r="18" spans="2:22" ht="39" x14ac:dyDescent="0.3">
      <c r="B18" s="10" t="s">
        <v>61</v>
      </c>
      <c r="C18" s="10" t="s">
        <v>65</v>
      </c>
      <c r="D18" s="10" t="s">
        <v>41</v>
      </c>
      <c r="E18" s="10" t="s">
        <v>42</v>
      </c>
      <c r="F18" s="10" t="s">
        <v>43</v>
      </c>
      <c r="G18" s="10" t="s">
        <v>66</v>
      </c>
      <c r="H18" s="10" t="s">
        <v>45</v>
      </c>
      <c r="I18" s="10" t="s">
        <v>67</v>
      </c>
      <c r="J18" s="10" t="s">
        <v>47</v>
      </c>
      <c r="K18" s="10" t="s">
        <v>48</v>
      </c>
      <c r="L18" s="10" t="s">
        <v>49</v>
      </c>
      <c r="M18" s="10" t="s">
        <v>50</v>
      </c>
      <c r="N18" s="10">
        <v>1</v>
      </c>
      <c r="O18" s="10">
        <f>Tableau3[[#This Row],[HJ Dev]]*(25%+25%)</f>
        <v>0.5</v>
      </c>
      <c r="P18" s="10">
        <f>Tableau3[[#This Row],[HJ Analyse et Test]]+Tableau3[[#This Row],[HJ Dev]]</f>
        <v>1.5</v>
      </c>
      <c r="Q18" s="10"/>
      <c r="R18" s="10"/>
      <c r="S18" s="10"/>
      <c r="T18" s="10"/>
      <c r="U18" s="10"/>
      <c r="V18" s="10"/>
    </row>
    <row r="19" spans="2:22" ht="76" customHeight="1" x14ac:dyDescent="0.3">
      <c r="B19" s="10" t="s">
        <v>64</v>
      </c>
      <c r="C19" s="10" t="s">
        <v>69</v>
      </c>
      <c r="D19" s="10" t="s">
        <v>41</v>
      </c>
      <c r="E19" s="10" t="s">
        <v>42</v>
      </c>
      <c r="F19" s="10" t="s">
        <v>43</v>
      </c>
      <c r="G19" s="10" t="s">
        <v>70</v>
      </c>
      <c r="H19" s="10" t="s">
        <v>45</v>
      </c>
      <c r="I19" s="10" t="s">
        <v>71</v>
      </c>
      <c r="J19" s="10" t="s">
        <v>47</v>
      </c>
      <c r="K19" s="10" t="s">
        <v>48</v>
      </c>
      <c r="L19" s="10" t="s">
        <v>49</v>
      </c>
      <c r="M19" s="10" t="s">
        <v>50</v>
      </c>
      <c r="N19" s="10">
        <v>1</v>
      </c>
      <c r="O19" s="10">
        <f>Tableau3[[#This Row],[HJ Dev]]*(25%+25%)</f>
        <v>0.5</v>
      </c>
      <c r="P19" s="10">
        <f>Tableau3[[#This Row],[HJ Analyse et Test]]+Tableau3[[#This Row],[HJ Dev]]</f>
        <v>1.5</v>
      </c>
      <c r="Q19" s="10"/>
      <c r="R19" s="10"/>
      <c r="S19" s="10"/>
      <c r="T19" s="10"/>
      <c r="U19" s="10"/>
      <c r="V19" s="10"/>
    </row>
    <row r="20" spans="2:22" ht="91.5" customHeight="1" x14ac:dyDescent="0.3">
      <c r="B20" s="10" t="s">
        <v>68</v>
      </c>
      <c r="C20" s="10" t="s">
        <v>73</v>
      </c>
      <c r="D20" s="10" t="s">
        <v>41</v>
      </c>
      <c r="E20" s="10" t="s">
        <v>42</v>
      </c>
      <c r="F20" s="10" t="s">
        <v>43</v>
      </c>
      <c r="G20" s="10" t="s">
        <v>74</v>
      </c>
      <c r="H20" s="10" t="s">
        <v>45</v>
      </c>
      <c r="I20" s="32" t="s">
        <v>75</v>
      </c>
      <c r="J20" s="10" t="s">
        <v>47</v>
      </c>
      <c r="K20" s="10" t="s">
        <v>48</v>
      </c>
      <c r="L20" s="10" t="s">
        <v>49</v>
      </c>
      <c r="M20" s="10" t="s">
        <v>50</v>
      </c>
      <c r="N20" s="10">
        <v>3</v>
      </c>
      <c r="O20" s="10">
        <f>Tableau3[[#This Row],[HJ Dev]]*(25%+25%)</f>
        <v>1.5</v>
      </c>
      <c r="P20" s="10">
        <f>Tableau3[[#This Row],[HJ Analyse et Test]]+Tableau3[[#This Row],[HJ Dev]]</f>
        <v>4.5</v>
      </c>
      <c r="Q20" s="10"/>
      <c r="R20" s="10"/>
      <c r="S20" s="10"/>
      <c r="T20" s="10"/>
      <c r="U20" s="10"/>
      <c r="V20" s="10"/>
    </row>
    <row r="21" spans="2:22" ht="104.25" customHeight="1" x14ac:dyDescent="0.3">
      <c r="B21" s="10" t="s">
        <v>72</v>
      </c>
      <c r="C21" s="10" t="s">
        <v>62</v>
      </c>
      <c r="D21" s="10" t="s">
        <v>41</v>
      </c>
      <c r="E21" s="10" t="s">
        <v>42</v>
      </c>
      <c r="F21" s="10" t="s">
        <v>43</v>
      </c>
      <c r="G21" s="10" t="s">
        <v>63</v>
      </c>
      <c r="H21" s="10" t="s">
        <v>45</v>
      </c>
      <c r="I21" s="32" t="s">
        <v>138</v>
      </c>
      <c r="J21" s="10" t="s">
        <v>47</v>
      </c>
      <c r="K21" s="10" t="s">
        <v>48</v>
      </c>
      <c r="L21" s="10" t="s">
        <v>49</v>
      </c>
      <c r="M21" s="10" t="s">
        <v>50</v>
      </c>
      <c r="N21" s="10">
        <v>1</v>
      </c>
      <c r="O21" s="10">
        <f>Tableau3[[#This Row],[HJ Dev]]*(25%+25%)</f>
        <v>0.5</v>
      </c>
      <c r="P21" s="10">
        <f>Tableau3[[#This Row],[HJ Analyse et Test]]+Tableau3[[#This Row],[HJ Dev]]</f>
        <v>1.5</v>
      </c>
      <c r="Q21" s="10"/>
      <c r="R21" s="10"/>
      <c r="S21" s="10"/>
      <c r="T21" s="10"/>
      <c r="U21" s="10"/>
      <c r="V21" s="10"/>
    </row>
    <row r="22" spans="2:22" x14ac:dyDescent="0.3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>
        <f>SUBTOTAL(109,Tableau3[HJ Dev])</f>
        <v>15.5</v>
      </c>
      <c r="O22" s="10">
        <f>SUBTOTAL(109,Tableau3[HJ Analyse et Test])</f>
        <v>7.75</v>
      </c>
      <c r="P22" s="10">
        <f>SUBTOTAL(109,Tableau3[Total HJ])</f>
        <v>23.25</v>
      </c>
      <c r="Q22" s="10"/>
      <c r="R22" s="10"/>
      <c r="S22" s="10"/>
      <c r="T22" s="10"/>
      <c r="U22" s="10"/>
      <c r="V22" s="10"/>
    </row>
  </sheetData>
  <mergeCells count="3">
    <mergeCell ref="Q2:V2"/>
    <mergeCell ref="B2:M2"/>
    <mergeCell ref="N2:P2"/>
  </mergeCells>
  <phoneticPr fontId="2" type="noConversion"/>
  <dataValidations count="2">
    <dataValidation type="whole" operator="greaterThanOrEqual" allowBlank="1" showInputMessage="1" showErrorMessage="1" sqref="O14:P21" xr:uid="{10E2E794-3894-4CC1-AB1A-9BB5BF41EABB}">
      <formula1>0</formula1>
    </dataValidation>
    <dataValidation type="decimal" operator="greaterThanOrEqual" allowBlank="1" showInputMessage="1" showErrorMessage="1" sqref="N14:N21" xr:uid="{7A3F89F7-3459-4C02-B3E5-6C8E00637FD7}">
      <formula1>0</formula1>
    </dataValidation>
  </dataValidations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9E253E9F-6967-4CE3-BEC2-E6EF086F8550}">
          <x14:formula1>
            <xm:f>Params!$B$3:$B$10</xm:f>
          </x14:formula1>
          <xm:sqref>D4</xm:sqref>
        </x14:dataValidation>
        <x14:dataValidation type="list" allowBlank="1" showInputMessage="1" showErrorMessage="1" xr:uid="{63E576AD-8CDE-4B1B-8DEC-1BE67CC8DE6D}">
          <x14:formula1>
            <xm:f>Params!$D$3:$D$10</xm:f>
          </x14:formula1>
          <xm:sqref>F14:F21</xm:sqref>
        </x14:dataValidation>
        <x14:dataValidation type="list" allowBlank="1" showInputMessage="1" showErrorMessage="1" xr:uid="{C43D2377-E8A5-4EC4-8F56-2516FCD07F2A}">
          <x14:formula1>
            <xm:f>Params!$E$3:$E$12</xm:f>
          </x14:formula1>
          <xm:sqref>H14:H21</xm:sqref>
        </x14:dataValidation>
        <x14:dataValidation type="list" allowBlank="1" showInputMessage="1" showErrorMessage="1" xr:uid="{06B2A4DB-2A94-4B0B-971B-CDFF438E23BA}">
          <x14:formula1>
            <xm:f>Params!$G$3:$G$9</xm:f>
          </x14:formula1>
          <xm:sqref>M14:M21</xm:sqref>
        </x14:dataValidation>
        <x14:dataValidation type="list" allowBlank="1" showInputMessage="1" showErrorMessage="1" xr:uid="{1F2CF1C1-BE35-4DC9-A975-F49F788F3D6A}">
          <x14:formula1>
            <xm:f>Params!$H$3:$H$6</xm:f>
          </x14:formula1>
          <xm:sqref>K14:K21</xm:sqref>
        </x14:dataValidation>
        <x14:dataValidation type="list" allowBlank="1" showInputMessage="1" showErrorMessage="1" xr:uid="{63FB3CBD-0303-4DD5-A1D9-0AE10EE7B36C}">
          <x14:formula1>
            <xm:f>Params!$C$3:$C$10</xm:f>
          </x14:formula1>
          <xm:sqref>D14:D21</xm:sqref>
        </x14:dataValidation>
        <x14:dataValidation type="list" allowBlank="1" showInputMessage="1" showErrorMessage="1" xr:uid="{ACD971DD-EBC0-49A2-8B0F-955749BFC348}">
          <x14:formula1>
            <xm:f>Params!$I$3:$I$19</xm:f>
          </x14:formula1>
          <xm:sqref>E14:E21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zoomScale="80" zoomScaleNormal="80" workbookViewId="0">
      <selection activeCell="F31" sqref="F31"/>
    </sheetView>
  </sheetViews>
  <sheetFormatPr baseColWidth="10" defaultColWidth="11.453125" defaultRowHeight="14.5" x14ac:dyDescent="0.35"/>
  <cols>
    <col min="1" max="1" width="12" style="2" customWidth="1"/>
    <col min="2" max="2" width="10.1796875" style="2" customWidth="1"/>
    <col min="3" max="3" width="11.453125" style="2"/>
    <col min="4" max="4" width="58.26953125" style="2" customWidth="1"/>
    <col min="5" max="5" width="15.81640625" style="2" customWidth="1"/>
    <col min="6" max="6" width="22.26953125" style="2" customWidth="1"/>
    <col min="7" max="7" width="16.54296875" style="2" customWidth="1"/>
    <col min="8" max="16384" width="11.453125" style="2"/>
  </cols>
  <sheetData>
    <row r="2" spans="1:7" ht="15" thickBot="1" x14ac:dyDescent="0.4"/>
    <row r="3" spans="1:7" ht="24" customHeight="1" thickBot="1" x14ac:dyDescent="0.4">
      <c r="A3" s="2" t="s">
        <v>76</v>
      </c>
      <c r="B3" s="42" t="s">
        <v>0</v>
      </c>
      <c r="C3" s="43"/>
      <c r="D3" s="43"/>
      <c r="E3" s="43"/>
      <c r="F3" s="43"/>
      <c r="G3" s="44"/>
    </row>
    <row r="4" spans="1:7" x14ac:dyDescent="0.35">
      <c r="B4" s="4"/>
      <c r="C4" s="5"/>
      <c r="D4" s="5"/>
      <c r="E4" s="5"/>
      <c r="F4" s="5"/>
      <c r="G4" s="5"/>
    </row>
    <row r="5" spans="1:7" x14ac:dyDescent="0.35">
      <c r="B5" s="12" t="str">
        <f>'Gestion Exigences'!B5</f>
        <v>Client</v>
      </c>
      <c r="D5" s="12" t="str">
        <f>'Gestion Exigences'!D5</f>
        <v>CHO</v>
      </c>
      <c r="E5" s="5"/>
      <c r="F5" s="5"/>
      <c r="G5" s="5"/>
    </row>
    <row r="6" spans="1:7" x14ac:dyDescent="0.35">
      <c r="B6" s="12" t="str">
        <f>'Gestion Exigences'!B6</f>
        <v>Projet</v>
      </c>
      <c r="D6" s="12" t="str">
        <f>'Gestion Exigences'!D6</f>
        <v>Colisage</v>
      </c>
      <c r="E6" s="5"/>
      <c r="F6" s="5"/>
      <c r="G6" s="5"/>
    </row>
    <row r="7" spans="1:7" x14ac:dyDescent="0.35">
      <c r="B7" s="12" t="str">
        <f>'Gestion Exigences'!B7</f>
        <v>Réf BPA du Devis</v>
      </c>
      <c r="D7" s="12" t="str">
        <f>'Gestion Exigences'!D7</f>
        <v>S0-00xyz</v>
      </c>
      <c r="E7" s="5"/>
      <c r="F7" s="5"/>
      <c r="G7" s="5"/>
    </row>
    <row r="8" spans="1:7" x14ac:dyDescent="0.35">
      <c r="B8" s="12" t="str">
        <f>'Gestion Exigences'!B8</f>
        <v>Réf BPA du Projet</v>
      </c>
      <c r="D8" s="12" t="str">
        <f>'Gestion Exigences'!D8</f>
        <v>PR-22-0xyz</v>
      </c>
      <c r="E8" s="5"/>
      <c r="F8" s="5"/>
      <c r="G8" s="5"/>
    </row>
    <row r="9" spans="1:7" x14ac:dyDescent="0.35">
      <c r="B9" s="4"/>
      <c r="C9" s="12"/>
      <c r="D9" s="5"/>
      <c r="E9" s="5"/>
      <c r="F9" s="5"/>
      <c r="G9" s="5"/>
    </row>
    <row r="10" spans="1:7" x14ac:dyDescent="0.35">
      <c r="B10" s="21" t="str">
        <f>'Gestion Exigences'!B10</f>
        <v>Réf Modèle Document</v>
      </c>
      <c r="C10" s="22" t="str">
        <f>'Gestion Exigences'!D10</f>
        <v>MD203</v>
      </c>
      <c r="D10" s="5"/>
      <c r="E10" s="5"/>
      <c r="F10" s="5"/>
      <c r="G10" s="5"/>
    </row>
    <row r="11" spans="1:7" x14ac:dyDescent="0.35">
      <c r="B11" s="21" t="str">
        <f>'Gestion Exigences'!B11</f>
        <v>Version Modèle Document</v>
      </c>
      <c r="C11" s="22" t="str">
        <f>'Gestion Exigences'!D11</f>
        <v>V1.5</v>
      </c>
      <c r="D11" s="5"/>
      <c r="E11" s="5"/>
      <c r="F11" s="5"/>
      <c r="G11" s="5"/>
    </row>
    <row r="12" spans="1:7" x14ac:dyDescent="0.35">
      <c r="B12" s="4"/>
      <c r="C12" s="5"/>
      <c r="D12" s="5"/>
      <c r="E12" s="5"/>
      <c r="F12" s="5"/>
      <c r="G12" s="5"/>
    </row>
    <row r="13" spans="1:7" x14ac:dyDescent="0.35">
      <c r="B13" s="13" t="s">
        <v>77</v>
      </c>
      <c r="C13" s="13" t="s">
        <v>78</v>
      </c>
      <c r="D13" s="13" t="s">
        <v>79</v>
      </c>
      <c r="E13" s="13" t="s">
        <v>80</v>
      </c>
      <c r="F13" s="13" t="s">
        <v>81</v>
      </c>
      <c r="G13" s="13" t="s">
        <v>82</v>
      </c>
    </row>
    <row r="14" spans="1:7" ht="29.5" customHeight="1" x14ac:dyDescent="0.35">
      <c r="B14" s="6" t="s">
        <v>83</v>
      </c>
      <c r="C14" s="7">
        <v>45586</v>
      </c>
      <c r="D14" s="19" t="s">
        <v>84</v>
      </c>
      <c r="E14" s="6" t="s">
        <v>85</v>
      </c>
      <c r="F14" s="19" t="s">
        <v>86</v>
      </c>
      <c r="G14" s="6" t="s">
        <v>87</v>
      </c>
    </row>
    <row r="15" spans="1:7" ht="26" x14ac:dyDescent="0.35">
      <c r="B15" s="6" t="s">
        <v>88</v>
      </c>
      <c r="C15" s="7">
        <v>45763</v>
      </c>
      <c r="D15" s="19" t="s">
        <v>89</v>
      </c>
      <c r="E15" s="6" t="s">
        <v>90</v>
      </c>
      <c r="F15" s="19" t="s">
        <v>86</v>
      </c>
      <c r="G15" s="6" t="s">
        <v>87</v>
      </c>
    </row>
    <row r="16" spans="1:7" ht="26" x14ac:dyDescent="0.35">
      <c r="B16" s="6" t="s">
        <v>136</v>
      </c>
      <c r="C16" s="7">
        <v>45818</v>
      </c>
      <c r="D16" s="19" t="s">
        <v>137</v>
      </c>
      <c r="E16" s="6" t="s">
        <v>90</v>
      </c>
      <c r="F16" s="19" t="s">
        <v>86</v>
      </c>
      <c r="G16" s="6" t="s">
        <v>87</v>
      </c>
    </row>
  </sheetData>
  <mergeCells count="1">
    <mergeCell ref="B3:G3"/>
  </mergeCells>
  <phoneticPr fontId="19" type="noConversion"/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I22"/>
  <sheetViews>
    <sheetView workbookViewId="0">
      <selection activeCell="B4" sqref="B4"/>
    </sheetView>
  </sheetViews>
  <sheetFormatPr baseColWidth="10" defaultColWidth="11.453125" defaultRowHeight="13" x14ac:dyDescent="0.25"/>
  <cols>
    <col min="1" max="2" width="11.453125" style="10"/>
    <col min="3" max="4" width="19.7265625" style="10" customWidth="1"/>
    <col min="5" max="5" width="23.81640625" style="10" customWidth="1"/>
    <col min="6" max="6" width="14.453125" style="10" customWidth="1"/>
    <col min="7" max="7" width="23.81640625" style="10" customWidth="1"/>
    <col min="8" max="8" width="25.1796875" style="10" customWidth="1"/>
    <col min="9" max="9" width="20.453125" style="10" customWidth="1"/>
    <col min="10" max="16384" width="11.453125" style="10"/>
  </cols>
  <sheetData>
    <row r="2" spans="2:9" ht="26" x14ac:dyDescent="0.25">
      <c r="B2" s="11" t="s">
        <v>3</v>
      </c>
      <c r="C2" s="11" t="s">
        <v>20</v>
      </c>
      <c r="D2" s="11" t="s">
        <v>91</v>
      </c>
      <c r="E2" s="11" t="s">
        <v>24</v>
      </c>
      <c r="F2" s="11" t="s">
        <v>92</v>
      </c>
      <c r="G2" s="11" t="s">
        <v>29</v>
      </c>
      <c r="H2" s="11" t="s">
        <v>93</v>
      </c>
      <c r="I2" s="11" t="s">
        <v>21</v>
      </c>
    </row>
    <row r="3" spans="2:9" x14ac:dyDescent="0.25">
      <c r="B3" s="10" t="s">
        <v>94</v>
      </c>
      <c r="C3" s="10" t="s">
        <v>41</v>
      </c>
      <c r="D3" s="10" t="s">
        <v>43</v>
      </c>
      <c r="E3" s="10" t="s">
        <v>95</v>
      </c>
      <c r="F3" s="10" t="s">
        <v>96</v>
      </c>
      <c r="G3" s="10" t="s">
        <v>97</v>
      </c>
      <c r="H3" s="10" t="s">
        <v>48</v>
      </c>
      <c r="I3" s="10" t="s">
        <v>98</v>
      </c>
    </row>
    <row r="4" spans="2:9" x14ac:dyDescent="0.25">
      <c r="B4" s="10" t="s">
        <v>99</v>
      </c>
      <c r="C4" s="10" t="s">
        <v>100</v>
      </c>
      <c r="D4" s="10" t="s">
        <v>101</v>
      </c>
      <c r="E4" s="10" t="s">
        <v>45</v>
      </c>
      <c r="F4" s="10" t="s">
        <v>102</v>
      </c>
      <c r="G4" s="10" t="s">
        <v>103</v>
      </c>
      <c r="H4" s="10" t="s">
        <v>104</v>
      </c>
      <c r="I4" s="10" t="s">
        <v>105</v>
      </c>
    </row>
    <row r="5" spans="2:9" x14ac:dyDescent="0.25">
      <c r="B5" s="10" t="s">
        <v>106</v>
      </c>
      <c r="C5" s="10" t="s">
        <v>107</v>
      </c>
      <c r="D5" s="10" t="s">
        <v>108</v>
      </c>
      <c r="E5" s="10" t="s">
        <v>109</v>
      </c>
      <c r="F5" s="10" t="s">
        <v>50</v>
      </c>
      <c r="G5" s="10" t="s">
        <v>50</v>
      </c>
      <c r="H5" s="10" t="s">
        <v>50</v>
      </c>
      <c r="I5" s="10" t="s">
        <v>110</v>
      </c>
    </row>
    <row r="6" spans="2:9" x14ac:dyDescent="0.25">
      <c r="B6" s="10" t="s">
        <v>4</v>
      </c>
      <c r="C6" s="10" t="s">
        <v>111</v>
      </c>
      <c r="D6" s="10" t="s">
        <v>112</v>
      </c>
      <c r="E6" s="10" t="s">
        <v>113</v>
      </c>
      <c r="I6" s="10" t="s">
        <v>114</v>
      </c>
    </row>
    <row r="7" spans="2:9" x14ac:dyDescent="0.25">
      <c r="B7" s="10" t="s">
        <v>115</v>
      </c>
      <c r="C7" s="10" t="s">
        <v>116</v>
      </c>
      <c r="D7" s="10" t="s">
        <v>117</v>
      </c>
      <c r="E7" s="10" t="s">
        <v>118</v>
      </c>
      <c r="I7" s="10" t="s">
        <v>119</v>
      </c>
    </row>
    <row r="8" spans="2:9" x14ac:dyDescent="0.25">
      <c r="B8" s="10" t="s">
        <v>120</v>
      </c>
      <c r="C8" s="10" t="s">
        <v>121</v>
      </c>
      <c r="E8" s="10" t="s">
        <v>122</v>
      </c>
      <c r="I8" s="10" t="s">
        <v>123</v>
      </c>
    </row>
    <row r="9" spans="2:9" x14ac:dyDescent="0.25">
      <c r="B9" s="10" t="s">
        <v>124</v>
      </c>
      <c r="E9" s="10" t="s">
        <v>125</v>
      </c>
      <c r="I9" s="10" t="s">
        <v>126</v>
      </c>
    </row>
    <row r="10" spans="2:9" x14ac:dyDescent="0.25">
      <c r="I10" s="10" t="s">
        <v>127</v>
      </c>
    </row>
    <row r="11" spans="2:9" x14ac:dyDescent="0.25">
      <c r="I11" s="10" t="s">
        <v>128</v>
      </c>
    </row>
    <row r="13" spans="2:9" x14ac:dyDescent="0.25">
      <c r="I13" s="10" t="s">
        <v>129</v>
      </c>
    </row>
    <row r="14" spans="2:9" x14ac:dyDescent="0.25">
      <c r="I14" s="10" t="s">
        <v>130</v>
      </c>
    </row>
    <row r="15" spans="2:9" x14ac:dyDescent="0.25">
      <c r="I15" s="10" t="s">
        <v>42</v>
      </c>
    </row>
    <row r="16" spans="2:9" x14ac:dyDescent="0.25">
      <c r="I16" s="10" t="s">
        <v>56</v>
      </c>
    </row>
    <row r="17" spans="9:9" x14ac:dyDescent="0.25">
      <c r="I17" s="10" t="s">
        <v>131</v>
      </c>
    </row>
    <row r="18" spans="9:9" x14ac:dyDescent="0.25">
      <c r="I18" s="10" t="s">
        <v>132</v>
      </c>
    </row>
    <row r="19" spans="9:9" x14ac:dyDescent="0.25">
      <c r="I19" s="10" t="s">
        <v>133</v>
      </c>
    </row>
    <row r="21" spans="9:9" x14ac:dyDescent="0.25">
      <c r="I21" s="10" t="s">
        <v>134</v>
      </c>
    </row>
    <row r="22" spans="9:9" ht="26" x14ac:dyDescent="0.25">
      <c r="I22" s="10" t="s">
        <v>135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9e80-f74a-40c7-b145-b94d8e4966f0">
      <Terms xmlns="http://schemas.microsoft.com/office/infopath/2007/PartnerControls"/>
    </lcf76f155ced4ddcb4097134ff3c332f>
    <TaxCatchAll xmlns="43b908ec-9e92-424c-a4ad-3174bac6e88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1C8B5B-7A06-4686-9F8A-E8F24EECD8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503822-DF13-4051-A489-72B75648E37A}">
  <ds:schemaRefs>
    <ds:schemaRef ds:uri="http://schemas.microsoft.com/office/2006/metadata/properties"/>
    <ds:schemaRef ds:uri="http://schemas.microsoft.com/office/infopath/2007/PartnerControls"/>
    <ds:schemaRef ds:uri="5f2f9e80-f74a-40c7-b145-b94d8e4966f0"/>
    <ds:schemaRef ds:uri="43b908ec-9e92-424c-a4ad-3174bac6e888"/>
  </ds:schemaRefs>
</ds:datastoreItem>
</file>

<file path=customXml/itemProps3.xml><?xml version="1.0" encoding="utf-8"?>
<ds:datastoreItem xmlns:ds="http://schemas.openxmlformats.org/officeDocument/2006/customXml" ds:itemID="{F1500833-D9EA-4A5B-9A3A-D91C0C91B4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Gestion Exigences</vt:lpstr>
      <vt:lpstr>Modifs Doc</vt:lpstr>
      <vt:lpstr>Params</vt:lpstr>
      <vt:lpstr>'Gestion Exigences'!Zone_d_impression</vt:lpstr>
      <vt:lpstr>'Modifs Doc'!Zone_d_impression</vt:lpstr>
    </vt:vector>
  </TitlesOfParts>
  <Manager/>
  <Company>DACTEM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Moatez Derbala</cp:lastModifiedBy>
  <cp:revision/>
  <dcterms:created xsi:type="dcterms:W3CDTF">2000-07-05T17:03:55Z</dcterms:created>
  <dcterms:modified xsi:type="dcterms:W3CDTF">2025-07-11T11:43:35Z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