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SystmeQualit/Documents partages/1 Système Qualité/00 Général/1 En utilisation/0 Modèles &amp; Ressources/00 Gestion Projet/"/>
    </mc:Choice>
  </mc:AlternateContent>
  <xr:revisionPtr revIDLastSave="1" documentId="14_{D0E712BB-8801-47A2-8D1B-877E765DF3ED}" xr6:coauthVersionLast="47" xr6:coauthVersionMax="47" xr10:uidLastSave="{6F5C0F31-F418-48D7-81F8-5AFA609F95DD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Exigences'!$C$2:$I$20</definedName>
    <definedName name="_xlnm.Print_Area" localSheetId="1">'Modifs Doc'!$B$2:$G$18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27" l="1"/>
  <c r="O14" i="27"/>
  <c r="P14" i="27" s="1"/>
  <c r="O15" i="27"/>
  <c r="P15" i="27" s="1"/>
  <c r="O16" i="27"/>
  <c r="P16" i="27" s="1"/>
  <c r="O17" i="27"/>
  <c r="P17" i="27" s="1"/>
  <c r="O18" i="27"/>
  <c r="P18" i="27" s="1"/>
  <c r="O19" i="27"/>
  <c r="P19" i="27" s="1"/>
  <c r="O20" i="27"/>
  <c r="P20" i="27" s="1"/>
  <c r="O21" i="27"/>
  <c r="P21" i="27" s="1"/>
  <c r="D5" i="29"/>
  <c r="D6" i="29"/>
  <c r="D7" i="29"/>
  <c r="D8" i="29"/>
  <c r="C10" i="29"/>
  <c r="C11" i="29"/>
  <c r="B6" i="29"/>
  <c r="B7" i="29"/>
  <c r="B8" i="29"/>
  <c r="B10" i="29"/>
  <c r="B11" i="29"/>
  <c r="B5" i="29"/>
</calcChain>
</file>

<file path=xl/sharedStrings.xml><?xml version="1.0" encoding="utf-8"?>
<sst xmlns="http://schemas.openxmlformats.org/spreadsheetml/2006/main" count="123" uniqueCount="110">
  <si>
    <t>Gestion Exigences Projet</t>
  </si>
  <si>
    <t>Chiffrage Réalisation (SF only)</t>
  </si>
  <si>
    <t>Revue et Vérification Pendant la Conception</t>
  </si>
  <si>
    <t>BU</t>
  </si>
  <si>
    <t>A définir</t>
  </si>
  <si>
    <t>Client</t>
  </si>
  <si>
    <t>Projet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</si>
  <si>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</si>
  <si>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</si>
  <si>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</si>
  <si>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</si>
  <si>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</si>
  <si>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</si>
  <si>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</si>
  <si>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</si>
  <si>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</si>
  <si>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</si>
  <si>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</si>
  <si>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</si>
  <si>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</si>
  <si>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</si>
  <si>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</si>
  <si>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</si>
  <si>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</si>
  <si>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</si>
  <si>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</si>
  <si>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</si>
  <si>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</si>
  <si>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</si>
  <si>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</si>
  <si>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</si>
  <si>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</si>
  <si>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</si>
  <si>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</si>
  <si>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</si>
  <si>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</si>
  <si>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</si>
  <si>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</si>
  <si>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</si>
  <si>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N/A</t>
  </si>
  <si>
    <t>E002</t>
  </si>
  <si>
    <t>E003</t>
  </si>
  <si>
    <t>E004</t>
  </si>
  <si>
    <t>E005</t>
  </si>
  <si>
    <t>E006</t>
  </si>
  <si>
    <t>E007</t>
  </si>
  <si>
    <t>E008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</si>
  <si>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</si>
  <si>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</si>
  <si>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</si>
  <si>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</si>
  <si>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</si>
  <si>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</si>
  <si>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</si>
  <si>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Imed A.</t>
  </si>
  <si>
    <t>Exigence identifiée pendant la phase</t>
  </si>
  <si>
    <t>Oui/Non</t>
  </si>
  <si>
    <t>Statut Interne</t>
  </si>
  <si>
    <t>SE</t>
  </si>
  <si>
    <t>Fonctionnelle</t>
  </si>
  <si>
    <t>Commerciale</t>
  </si>
  <si>
    <t>CdC client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</si>
  <si>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</si>
  <si>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</si>
  <si>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</si>
  <si>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</si>
  <si>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</si>
  <si>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</si>
  <si>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</si>
  <si>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</si>
  <si>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</si>
  <si>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</si>
  <si>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</si>
  <si>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</si>
  <si>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</si>
  <si>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</si>
  <si>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</si>
  <si>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</si>
  <si>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</si>
  <si>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SF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</si>
  <si>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</si>
  <si>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</si>
  <si>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</si>
  <si>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</si>
  <si>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</si>
  <si>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</si>
  <si>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</si>
  <si>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</si>
  <si>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</si>
  <si>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</si>
  <si>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</si>
  <si>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</si>
  <si>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</si>
  <si>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</si>
  <si>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</si>
  <si>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</si>
  <si>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</si>
  <si>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</si>
  <si>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</si>
  <si>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</si>
  <si>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</si>
  <si>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</si>
  <si>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</si>
  <si>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</si>
  <si>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</si>
  <si>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</si>
  <si>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V1.0</t>
  </si>
  <si>
    <t xml:space="preserve">Version initiale </t>
  </si>
  <si>
    <t>Nihel K.</t>
  </si>
  <si>
    <t xml:space="preserve">Mahdi B. + Ferjania 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</si>
</sst>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179294</xdr:colOff>
      <xdr:row>2</xdr:row>
      <xdr:rowOff>152400</xdr:rowOff>
    </xdr:from>
    <xdr:to>
      <xdr:col>2</xdr:col>
      <xdr:colOff>900810</xdr:colOff>
      <xdr:row>2</xdr:row>
      <xdr:rowOff>800019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F22D523-E68E-4358-0988-CFAF4E013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188" y="609600"/>
          <a:ext cx="1142857" cy="6476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2" totalsRowCount="1" headerRowDxfId="51" dataDxfId="50">
  <autoFilter ref="B13:V21" xr:uid="{DDEA2C8B-EE0D-4C55-9256-CCC64E002CE6}"/>
  <tableColumns count="21">
    <tableColumn id="1" xr3:uid="{E467E0EE-CDAA-4FF5-85A8-CDC0B23A5AD9}" name="ID" dataDxfId="49" totalsRowDxfId="48"/>
    <tableColumn id="2" xr3:uid="{E53952AC-4972-47BD-8B1D-C7EF23088D0D}" name="Intitulé Exigence" dataDxfId="47" totalsRowDxfId="46"/>
    <tableColumn id="8" xr3:uid="{B2D0BC2C-C803-4015-8FA6-70F84517BDB2}" name="Nature" dataDxfId="45" totalsRowDxfId="44"/>
    <tableColumn id="7" xr3:uid="{24F2F0ED-022E-4EC1-91D8-BFE0E4F2FD36}" name="Catégorie" dataDxfId="43" totalsRowDxfId="42"/>
    <tableColumn id="10" xr3:uid="{1FF81CF1-6D35-421C-8767-9E7FA06FEE6A}" name="Exigence idenfiée pendant la phase" dataDxfId="41" totalsRowDxfId="40"/>
    <tableColumn id="3" xr3:uid="{E7621A68-9552-4853-96A5-92A226EA42DD}" name="Description de l'exigence" dataDxfId="39" totalsRowDxfId="38"/>
    <tableColumn id="9" xr3:uid="{E6EEEC82-3576-4980-94B3-1423906CE531}" name="Source" dataDxfId="37" totalsRowDxfId="36"/>
    <tableColumn id="16" xr3:uid="{1441554A-79F9-4040-9CF5-AEBFF7ADF7D1}" name="Desciption de la solution ADDIXO" dataDxfId="35" totalsRowDxfId="34"/>
    <tableColumn id="17" xr3:uid="{D1BC9C86-C3CE-417F-AC83-FC4786A7656D}" name="Ecart entre exigence client et la solution proposée - préciser aussi les limites et hypothèses si applicable" dataDxfId="33" totalsRowDxfId="32"/>
    <tableColumn id="5" xr3:uid="{2649C3B7-E8B9-44F9-8883-E5BB6F91B4B1}" name="Validation Interne" dataDxfId="31" totalsRowDxfId="30"/>
    <tableColumn id="6" xr3:uid="{8CC493F8-0886-498D-AB98-B77300CC6510}" name="Validation Interne par:" dataDxfId="29" totalsRowDxfId="28"/>
    <tableColumn id="15" xr3:uid="{78231C60-0932-4386-925D-4C689A91C0E3}" name="Statut Client" dataDxfId="27" totalsRowDxfId="26"/>
    <tableColumn id="22" xr3:uid="{D944A0FD-E468-407F-91A6-BD8A29086A7B}" name="HJ Dev" dataDxfId="25" totalsRowDxfId="24"/>
    <tableColumn id="21" xr3:uid="{818C68C5-1CC3-4DC9-9BB8-2CB7816ABE9F}" name="HJ Analyse et Test" dataDxfId="23" totalsRowDxfId="22">
      <calculatedColumnFormula>Tableau3[[#This Row],[HJ Dev]]*(25%+25%)</calculatedColumnFormula>
    </tableColumn>
    <tableColumn id="20" xr3:uid="{81CB5860-4285-4425-ABF9-C91F3323BF25}" name="Total HJ" totalsRowFunction="sum" dataDxfId="21" totalsRowDxfId="20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9" totalsRowDxfId="18"/>
    <tableColumn id="12" xr3:uid="{36B390F4-625A-46E1-864B-7108903FFD96}" name="Conception réalisée par:" dataDxfId="17" totalsRowDxfId="16"/>
    <tableColumn id="13" xr3:uid="{9016419E-83A5-4950-AB28-EA27A0D72FAD}" name="Revue conception réalisée par" dataDxfId="15" totalsRowDxfId="14"/>
    <tableColumn id="14" xr3:uid="{B5F29B7E-09EB-43EF-BD3D-9ADF38F7CC12}" name="Vérification de la conception réalisée par" dataDxfId="13" totalsRowDxfId="12"/>
    <tableColumn id="18" xr3:uid="{0CA25C90-64D6-43D5-90C8-CE6D70CCA638}" name="Preuve de vérification " dataDxfId="11" totalsRowDxfId="10"/>
    <tableColumn id="4" xr3:uid="{B7406A3A-A365-4F76-9A20-372573D19BC9}" name="Notes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2"/>
  <sheetViews>
    <sheetView tabSelected="1" zoomScale="85" zoomScaleNormal="85" workbookViewId="0">
      <selection activeCell="B13" sqref="B13:M13"/>
    </sheetView>
  </sheetViews>
  <sheetFormatPr baseColWidth="10" defaultColWidth="11.44140625" defaultRowHeight="13.8" x14ac:dyDescent="0.3"/>
  <cols>
    <col min="1" max="1" width="11.44140625" style="1"/>
    <col min="2" max="2" width="6.109375" style="1" customWidth="1"/>
    <col min="3" max="3" width="27.44140625" style="1" customWidth="1"/>
    <col min="4" max="5" width="18.33203125" style="1" customWidth="1"/>
    <col min="6" max="6" width="19.44140625" style="1" customWidth="1"/>
    <col min="7" max="7" width="56.5546875" style="1" customWidth="1"/>
    <col min="8" max="8" width="18.44140625" style="1" customWidth="1"/>
    <col min="9" max="9" width="56.5546875" style="1" customWidth="1"/>
    <col min="10" max="10" width="33.109375" style="1" customWidth="1"/>
    <col min="11" max="12" width="13.5546875" style="1" customWidth="1"/>
    <col min="13" max="13" width="15.33203125" style="1" customWidth="1"/>
    <col min="14" max="14" width="11.88671875" style="1" customWidth="1"/>
    <col min="15" max="15" width="15.44140625" style="1" customWidth="1"/>
    <col min="16" max="16" width="13.6640625" style="1" customWidth="1"/>
    <col min="17" max="17" width="39.88671875" style="1" customWidth="1"/>
    <col min="18" max="18" width="15.6640625" style="1" customWidth="1"/>
    <col min="19" max="19" width="20.5546875" style="1" customWidth="1"/>
    <col min="20" max="20" width="20.109375" style="1" customWidth="1"/>
    <col min="21" max="21" width="15.109375" style="1" customWidth="1"/>
    <col min="22" max="22" width="30.88671875" style="1" customWidth="1"/>
    <col min="23" max="16384" width="11.44140625" style="1"/>
  </cols>
  <sheetData>
    <row r="1" spans="2:22" ht="14.4" thickBot="1" x14ac:dyDescent="0.35"/>
    <row r="2" spans="2:22" ht="21.75" customHeight="1" thickBot="1" x14ac:dyDescent="0.4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2"/>
      <c r="N2" s="34" t="s">
        <v>1</v>
      </c>
      <c r="O2" s="35"/>
      <c r="P2" s="36"/>
      <c r="Q2" s="31" t="s">
        <v>2</v>
      </c>
      <c r="R2" s="32"/>
      <c r="S2" s="32"/>
      <c r="T2" s="32"/>
      <c r="U2" s="32"/>
      <c r="V2" s="33"/>
    </row>
    <row r="3" spans="2:22" ht="66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7" t="s">
        <v>3</v>
      </c>
      <c r="C4" s="8"/>
      <c r="D4" s="29"/>
      <c r="E4" s="8"/>
      <c r="F4" s="8"/>
      <c r="G4" s="8"/>
      <c r="H4" s="8"/>
      <c r="I4" s="8"/>
    </row>
    <row r="5" spans="2:22" ht="21.75" customHeight="1" x14ac:dyDescent="0.3">
      <c r="B5" s="24" t="s">
        <v>5</v>
      </c>
      <c r="D5" s="3"/>
      <c r="E5" s="3"/>
      <c r="F5" s="3"/>
      <c r="G5" s="3"/>
      <c r="H5" s="3"/>
      <c r="I5" s="3"/>
    </row>
    <row r="6" spans="2:22" ht="21" customHeight="1" x14ac:dyDescent="0.3">
      <c r="B6" s="24" t="s">
        <v>6</v>
      </c>
      <c r="D6" s="3"/>
      <c r="E6" s="3"/>
      <c r="F6" s="3"/>
      <c r="G6" s="3"/>
      <c r="H6" s="3"/>
      <c r="I6" s="3"/>
    </row>
    <row r="7" spans="2:22" ht="20.399999999999999" customHeight="1" thickBot="1" x14ac:dyDescent="0.35">
      <c r="B7" s="24" t="s">
        <v>7</v>
      </c>
      <c r="D7" s="3" t="s">
        <v>8</v>
      </c>
      <c r="E7" s="3"/>
      <c r="F7" s="3"/>
      <c r="G7" s="28" t="s">
        <v>9</v>
      </c>
      <c r="H7" s="3"/>
      <c r="I7" s="3"/>
    </row>
    <row r="8" spans="2:22" ht="21.6" customHeight="1" x14ac:dyDescent="0.3">
      <c r="B8" s="24" t="s">
        <v>10</v>
      </c>
      <c r="D8" s="3" t="s">
        <v>11</v>
      </c>
      <c r="E8" s="3"/>
      <c r="F8" s="3"/>
      <c r="G8" s="3"/>
      <c r="H8" s="3"/>
      <c r="I8" s="3"/>
    </row>
    <row r="9" spans="2:22" ht="14.4" x14ac:dyDescent="0.3">
      <c r="C9" s="3"/>
      <c r="D9" s="21"/>
      <c r="E9" s="21"/>
      <c r="F9" s="21"/>
      <c r="G9" s="21"/>
      <c r="H9" s="21"/>
      <c r="I9" s="21"/>
    </row>
    <row r="10" spans="2:22" x14ac:dyDescent="0.3">
      <c r="B10" s="25" t="s">
        <v>12</v>
      </c>
      <c r="C10" s="26"/>
      <c r="D10" s="25" t="s">
        <v>13</v>
      </c>
      <c r="E10" s="9"/>
      <c r="F10" s="9"/>
      <c r="I10" s="18" t="s">
        <v>14</v>
      </c>
    </row>
    <row r="11" spans="2:22" x14ac:dyDescent="0.3">
      <c r="B11" s="25" t="s">
        <v>15</v>
      </c>
      <c r="C11" s="26"/>
      <c r="D11" s="25" t="s">
        <v>16</v>
      </c>
      <c r="E11" s="9"/>
      <c r="F11" s="9"/>
    </row>
    <row r="12" spans="2:22" ht="14.4" thickBot="1" x14ac:dyDescent="0.35"/>
    <row r="13" spans="2:22" s="10" customFormat="1" ht="42" thickBot="1" x14ac:dyDescent="0.3">
      <c r="B13" s="43" t="s">
        <v>17</v>
      </c>
      <c r="C13" s="44" t="s">
        <v>18</v>
      </c>
      <c r="D13" s="44" t="s">
        <v>19</v>
      </c>
      <c r="E13" s="44" t="s">
        <v>20</v>
      </c>
      <c r="F13" s="44" t="s">
        <v>21</v>
      </c>
      <c r="G13" s="44" t="s">
        <v>22</v>
      </c>
      <c r="H13" s="44" t="s">
        <v>23</v>
      </c>
      <c r="I13" s="44" t="s">
        <v>24</v>
      </c>
      <c r="J13" s="44" t="s">
        <v>25</v>
      </c>
      <c r="K13" s="44" t="s">
        <v>26</v>
      </c>
      <c r="L13" s="44" t="s">
        <v>27</v>
      </c>
      <c r="M13" s="45" t="s">
        <v>28</v>
      </c>
      <c r="N13" s="14" t="s">
        <v>29</v>
      </c>
      <c r="O13" s="14" t="s">
        <v>30</v>
      </c>
      <c r="P13" s="14" t="s">
        <v>31</v>
      </c>
      <c r="Q13" s="15" t="s">
        <v>32</v>
      </c>
      <c r="R13" s="16" t="s">
        <v>33</v>
      </c>
      <c r="S13" s="16" t="s">
        <v>34</v>
      </c>
      <c r="T13" s="16" t="s">
        <v>35</v>
      </c>
      <c r="U13" s="16" t="s">
        <v>36</v>
      </c>
      <c r="V13" s="17" t="s">
        <v>37</v>
      </c>
    </row>
    <row r="14" spans="2:22" s="10" customFormat="1" ht="36" customHeight="1" x14ac:dyDescent="0.25">
      <c r="B14" s="10" t="s">
        <v>38</v>
      </c>
      <c r="N14" s="10">
        <v>3</v>
      </c>
      <c r="O14" s="10">
        <f>Tableau3[[#This Row],[HJ Dev]]*(25%+25%)</f>
        <v>1.5</v>
      </c>
      <c r="P14" s="10">
        <f>Tableau3[[#This Row],[HJ Analyse et Test]]+Tableau3[[#This Row],[HJ Dev]]</f>
        <v>4.5</v>
      </c>
      <c r="Q14" s="10" t="s">
        <v>39</v>
      </c>
      <c r="R14" s="10" t="s">
        <v>39</v>
      </c>
      <c r="S14" s="10" t="s">
        <v>39</v>
      </c>
      <c r="T14" s="10" t="s">
        <v>39</v>
      </c>
      <c r="U14" s="10" t="s">
        <v>39</v>
      </c>
    </row>
    <row r="15" spans="2:22" s="10" customFormat="1" ht="36" customHeight="1" x14ac:dyDescent="0.25">
      <c r="B15" s="10" t="s">
        <v>40</v>
      </c>
      <c r="N15" s="10">
        <v>2</v>
      </c>
      <c r="O15" s="10">
        <f>Tableau3[[#This Row],[HJ Dev]]*(25%+25%)</f>
        <v>1</v>
      </c>
      <c r="P15" s="10">
        <f>Tableau3[[#This Row],[HJ Analyse et Test]]+Tableau3[[#This Row],[HJ Dev]]</f>
        <v>3</v>
      </c>
    </row>
    <row r="16" spans="2:22" s="10" customFormat="1" ht="36" customHeight="1" x14ac:dyDescent="0.25">
      <c r="B16" s="10" t="s">
        <v>41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36" customHeight="1" x14ac:dyDescent="0.25">
      <c r="B17" s="10" t="s">
        <v>42</v>
      </c>
      <c r="N17" s="10">
        <v>0</v>
      </c>
      <c r="O17" s="10">
        <f>Tableau3[[#This Row],[HJ Dev]]*(25%+25%)</f>
        <v>0</v>
      </c>
      <c r="P17" s="10">
        <f>Tableau3[[#This Row],[HJ Analyse et Test]]+Tableau3[[#This Row],[HJ Dev]]</f>
        <v>0</v>
      </c>
    </row>
    <row r="18" spans="2:22" s="10" customFormat="1" ht="36" customHeight="1" x14ac:dyDescent="0.25">
      <c r="B18" s="10" t="s">
        <v>43</v>
      </c>
      <c r="N18" s="10">
        <v>0</v>
      </c>
      <c r="O18" s="10">
        <f>Tableau3[[#This Row],[HJ Dev]]*(25%+25%)</f>
        <v>0</v>
      </c>
      <c r="P18" s="10">
        <f>Tableau3[[#This Row],[HJ Analyse et Test]]+Tableau3[[#This Row],[HJ Dev]]</f>
        <v>0</v>
      </c>
    </row>
    <row r="19" spans="2:22" s="10" customFormat="1" ht="36" customHeight="1" x14ac:dyDescent="0.25">
      <c r="B19" s="10" t="s">
        <v>44</v>
      </c>
      <c r="N19" s="10">
        <v>0</v>
      </c>
      <c r="O19" s="10">
        <f>Tableau3[[#This Row],[HJ Dev]]*(25%+25%)</f>
        <v>0</v>
      </c>
      <c r="P19" s="10">
        <f>Tableau3[[#This Row],[HJ Analyse et Test]]+Tableau3[[#This Row],[HJ Dev]]</f>
        <v>0</v>
      </c>
    </row>
    <row r="20" spans="2:22" s="10" customFormat="1" ht="36" customHeight="1" x14ac:dyDescent="0.25">
      <c r="B20" s="10" t="s">
        <v>45</v>
      </c>
      <c r="N20" s="10">
        <v>0</v>
      </c>
      <c r="O20" s="10">
        <f>Tableau3[[#This Row],[HJ Dev]]*(25%+25%)</f>
        <v>0</v>
      </c>
      <c r="P20" s="10">
        <f>Tableau3[[#This Row],[HJ Analyse et Test]]+Tableau3[[#This Row],[HJ Dev]]</f>
        <v>0</v>
      </c>
    </row>
    <row r="21" spans="2:22" s="10" customFormat="1" ht="36" customHeight="1" x14ac:dyDescent="0.25">
      <c r="B21" s="10" t="s">
        <v>46</v>
      </c>
      <c r="N21" s="10">
        <v>0</v>
      </c>
      <c r="O21" s="10">
        <f>Tableau3[[#This Row],[HJ Dev]]*(25%+25%)</f>
        <v>0</v>
      </c>
      <c r="P21" s="10">
        <f>Tableau3[[#This Row],[HJ Analyse et Test]]+Tableau3[[#This Row],[HJ Dev]]</f>
        <v>0</v>
      </c>
    </row>
    <row r="22" spans="2:22" ht="36" customHeigh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f>SUBTOTAL(109,Tableau3[Total HJ])</f>
        <v>7.5</v>
      </c>
      <c r="Q22" s="10"/>
      <c r="R22" s="10"/>
      <c r="S22" s="10"/>
      <c r="T22" s="10"/>
      <c r="U22" s="10"/>
      <c r="V22" s="10"/>
    </row>
  </sheetData>
  <mergeCells count="3">
    <mergeCell ref="Q2:V2"/>
    <mergeCell ref="B2:M2"/>
    <mergeCell ref="N2:P2"/>
  </mergeCells>
  <phoneticPr fontId="2" type="noConversion"/>
  <dataValidations count="1">
    <dataValidation type="whole" operator="greaterThanOrEqual" allowBlank="1" showInputMessage="1" showErrorMessage="1" sqref="N14:P21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3E576AD-8CDE-4B1B-8DEC-1BE67CC8DE6D}">
          <x14:formula1>
            <xm:f>Params!$D$3:$D$10</xm:f>
          </x14:formula1>
          <xm:sqref>F14:F21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H14:H21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M14:M21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K14:K21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D14:D21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E14:E21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F15" sqref="F15"/>
    </sheetView>
  </sheetViews>
  <sheetFormatPr baseColWidth="10" defaultColWidth="11.44140625" defaultRowHeight="14.4" x14ac:dyDescent="0.3"/>
  <cols>
    <col min="1" max="1" width="12" style="2" customWidth="1"/>
    <col min="2" max="2" width="10.109375" style="2" customWidth="1"/>
    <col min="3" max="3" width="11.44140625" style="2"/>
    <col min="4" max="4" width="58.33203125" style="2" customWidth="1"/>
    <col min="5" max="5" width="15.88671875" style="2" customWidth="1"/>
    <col min="6" max="6" width="22.33203125" style="2" customWidth="1"/>
    <col min="7" max="7" width="16.5546875" style="2" customWidth="1"/>
    <col min="8" max="16384" width="11.44140625" style="2"/>
  </cols>
  <sheetData>
    <row r="2" spans="1:7" ht="15" thickBot="1" x14ac:dyDescent="0.35"/>
    <row r="3" spans="1:7" ht="24" customHeight="1" thickBot="1" x14ac:dyDescent="0.35">
      <c r="A3" s="2" t="s">
        <v>47</v>
      </c>
      <c r="B3" s="37" t="s">
        <v>0</v>
      </c>
      <c r="C3" s="38"/>
      <c r="D3" s="38"/>
      <c r="E3" s="38"/>
      <c r="F3" s="38"/>
      <c r="G3" s="39"/>
    </row>
    <row r="4" spans="1:7" x14ac:dyDescent="0.3">
      <c r="B4" s="4"/>
      <c r="C4" s="5"/>
      <c r="D4" s="5"/>
      <c r="E4" s="5"/>
      <c r="F4" s="5"/>
      <c r="G4" s="5"/>
    </row>
    <row r="5" spans="1:7" x14ac:dyDescent="0.3">
      <c r="B5" s="12" t="str">
        <f>'Gestion Exigences'!B5</f>
        <v>Client</v>
      </c>
      <c r="D5" s="12">
        <f>'Gestion Exigences'!D5</f>
        <v>0</v>
      </c>
      <c r="E5" s="5"/>
      <c r="F5" s="5"/>
      <c r="G5" s="5"/>
    </row>
    <row r="6" spans="1:7" x14ac:dyDescent="0.3">
      <c r="B6" s="12" t="str">
        <f>'Gestion Exigences'!B6</f>
        <v>Projet</v>
      </c>
      <c r="D6" s="12">
        <f>'Gestion Exigences'!D6</f>
        <v>0</v>
      </c>
      <c r="E6" s="5"/>
      <c r="F6" s="5"/>
      <c r="G6" s="5"/>
    </row>
    <row r="7" spans="1:7" x14ac:dyDescent="0.3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">
      <c r="B9" s="4"/>
      <c r="C9" s="12"/>
      <c r="D9" s="5"/>
      <c r="E9" s="5"/>
      <c r="F9" s="5"/>
      <c r="G9" s="5"/>
    </row>
    <row r="10" spans="1:7" x14ac:dyDescent="0.3">
      <c r="B10" s="22" t="str">
        <f>'Gestion Exigences'!B10</f>
        <v>Réf Modèle Document</v>
      </c>
      <c r="C10" s="23" t="str">
        <f>'Gestion Exigences'!D10</f>
        <v>MD203</v>
      </c>
      <c r="D10" s="5"/>
      <c r="E10" s="5"/>
      <c r="F10" s="5"/>
      <c r="G10" s="5"/>
    </row>
    <row r="11" spans="1:7" x14ac:dyDescent="0.3">
      <c r="B11" s="22" t="str">
        <f>'Gestion Exigences'!B11</f>
        <v>Version Modèle Document</v>
      </c>
      <c r="C11" s="23" t="str">
        <f>'Gestion Exigences'!D11</f>
        <v>V1.5</v>
      </c>
      <c r="D11" s="5"/>
      <c r="E11" s="5"/>
      <c r="F11" s="5"/>
      <c r="G11" s="5"/>
    </row>
    <row r="12" spans="1:7" x14ac:dyDescent="0.3">
      <c r="B12" s="4"/>
      <c r="C12" s="5"/>
      <c r="D12" s="5"/>
      <c r="E12" s="5"/>
      <c r="F12" s="5"/>
      <c r="G12" s="5"/>
    </row>
    <row r="13" spans="1:7" x14ac:dyDescent="0.3">
      <c r="B13" s="13" t="s">
        <v>48</v>
      </c>
      <c r="C13" s="13" t="s">
        <v>49</v>
      </c>
      <c r="D13" s="13" t="s">
        <v>50</v>
      </c>
      <c r="E13" s="13" t="s">
        <v>51</v>
      </c>
      <c r="F13" s="13" t="s">
        <v>52</v>
      </c>
      <c r="G13" s="13" t="s">
        <v>53</v>
      </c>
    </row>
    <row r="14" spans="1:7" ht="29.4" customHeight="1" x14ac:dyDescent="0.3">
      <c r="B14" s="6" t="s">
        <v>106</v>
      </c>
      <c r="C14" s="7">
        <v>45342</v>
      </c>
      <c r="D14" s="20" t="s">
        <v>107</v>
      </c>
      <c r="E14" s="6" t="s">
        <v>108</v>
      </c>
      <c r="F14" s="19" t="s">
        <v>109</v>
      </c>
      <c r="G14" s="6" t="s">
        <v>54</v>
      </c>
    </row>
    <row r="15" spans="1:7" x14ac:dyDescent="0.3">
      <c r="C15" s="30"/>
    </row>
    <row r="16" spans="1:7" x14ac:dyDescent="0.3">
      <c r="C16" s="30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4140625" defaultRowHeight="13.8" x14ac:dyDescent="0.25"/>
  <cols>
    <col min="1" max="2" width="11.44140625" style="10"/>
    <col min="3" max="4" width="19.6640625" style="10" customWidth="1"/>
    <col min="5" max="5" width="23.88671875" style="10" customWidth="1"/>
    <col min="6" max="6" width="14.44140625" style="10" customWidth="1"/>
    <col min="7" max="7" width="23.88671875" style="10" customWidth="1"/>
    <col min="8" max="8" width="25.109375" style="10" customWidth="1"/>
    <col min="9" max="9" width="20.44140625" style="10" customWidth="1"/>
    <col min="10" max="16384" width="11.44140625" style="10"/>
  </cols>
  <sheetData>
    <row r="2" spans="2:9" ht="27.6" x14ac:dyDescent="0.25">
      <c r="B2" s="11" t="s">
        <v>3</v>
      </c>
      <c r="C2" s="11" t="s">
        <v>19</v>
      </c>
      <c r="D2" s="11" t="s">
        <v>55</v>
      </c>
      <c r="E2" s="11" t="s">
        <v>23</v>
      </c>
      <c r="F2" s="11" t="s">
        <v>56</v>
      </c>
      <c r="G2" s="11" t="s">
        <v>28</v>
      </c>
      <c r="H2" s="11" t="s">
        <v>57</v>
      </c>
      <c r="I2" s="11" t="s">
        <v>20</v>
      </c>
    </row>
    <row r="3" spans="2:9" x14ac:dyDescent="0.25">
      <c r="B3" s="10" t="s">
        <v>58</v>
      </c>
      <c r="C3" s="10" t="s">
        <v>59</v>
      </c>
      <c r="D3" s="10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0" t="s">
        <v>65</v>
      </c>
    </row>
    <row r="4" spans="2:9" x14ac:dyDescent="0.25">
      <c r="B4" s="10" t="s">
        <v>66</v>
      </c>
      <c r="C4" s="10" t="s">
        <v>67</v>
      </c>
      <c r="D4" s="10" t="s">
        <v>68</v>
      </c>
      <c r="E4" s="10" t="s">
        <v>69</v>
      </c>
      <c r="F4" s="10" t="s">
        <v>70</v>
      </c>
      <c r="G4" s="10" t="s">
        <v>71</v>
      </c>
      <c r="H4" s="10" t="s">
        <v>72</v>
      </c>
      <c r="I4" s="10" t="s">
        <v>73</v>
      </c>
    </row>
    <row r="5" spans="2:9" x14ac:dyDescent="0.25">
      <c r="B5" s="10" t="s">
        <v>74</v>
      </c>
      <c r="C5" s="10" t="s">
        <v>75</v>
      </c>
      <c r="D5" s="10" t="s">
        <v>76</v>
      </c>
      <c r="E5" s="10" t="s">
        <v>77</v>
      </c>
      <c r="F5" s="10" t="s">
        <v>39</v>
      </c>
      <c r="G5" s="10" t="s">
        <v>39</v>
      </c>
      <c r="H5" s="10" t="s">
        <v>39</v>
      </c>
      <c r="I5" s="10" t="s">
        <v>78</v>
      </c>
    </row>
    <row r="6" spans="2:9" x14ac:dyDescent="0.25">
      <c r="B6" s="10" t="s">
        <v>79</v>
      </c>
      <c r="C6" s="10" t="s">
        <v>80</v>
      </c>
      <c r="D6" s="10" t="s">
        <v>81</v>
      </c>
      <c r="E6" s="10" t="s">
        <v>82</v>
      </c>
      <c r="I6" s="10" t="s">
        <v>83</v>
      </c>
    </row>
    <row r="7" spans="2:9" x14ac:dyDescent="0.25">
      <c r="B7" s="10" t="s">
        <v>84</v>
      </c>
      <c r="C7" s="10" t="s">
        <v>85</v>
      </c>
      <c r="D7" s="10" t="s">
        <v>86</v>
      </c>
      <c r="E7" s="10" t="s">
        <v>87</v>
      </c>
      <c r="I7" s="10" t="s">
        <v>88</v>
      </c>
    </row>
    <row r="8" spans="2:9" x14ac:dyDescent="0.25">
      <c r="B8" s="10" t="s">
        <v>89</v>
      </c>
      <c r="C8" s="10" t="s">
        <v>90</v>
      </c>
      <c r="E8" s="10" t="s">
        <v>91</v>
      </c>
      <c r="I8" s="10" t="s">
        <v>92</v>
      </c>
    </row>
    <row r="9" spans="2:9" x14ac:dyDescent="0.25">
      <c r="B9" s="10" t="s">
        <v>4</v>
      </c>
      <c r="E9" s="10" t="s">
        <v>93</v>
      </c>
      <c r="I9" s="10" t="s">
        <v>94</v>
      </c>
    </row>
    <row r="10" spans="2:9" x14ac:dyDescent="0.25">
      <c r="I10" s="10" t="s">
        <v>95</v>
      </c>
    </row>
    <row r="11" spans="2:9" x14ac:dyDescent="0.25">
      <c r="I11" s="10" t="s">
        <v>96</v>
      </c>
    </row>
    <row r="13" spans="2:9" x14ac:dyDescent="0.25">
      <c r="I13" s="10" t="s">
        <v>97</v>
      </c>
    </row>
    <row r="14" spans="2:9" x14ac:dyDescent="0.25">
      <c r="I14" s="10" t="s">
        <v>98</v>
      </c>
    </row>
    <row r="15" spans="2:9" x14ac:dyDescent="0.25">
      <c r="I15" s="10" t="s">
        <v>99</v>
      </c>
    </row>
    <row r="16" spans="2:9" x14ac:dyDescent="0.25">
      <c r="I16" s="10" t="s">
        <v>100</v>
      </c>
    </row>
    <row r="17" spans="9:9" x14ac:dyDescent="0.25">
      <c r="I17" s="10" t="s">
        <v>101</v>
      </c>
    </row>
    <row r="18" spans="9:9" x14ac:dyDescent="0.25">
      <c r="I18" s="10" t="s">
        <v>102</v>
      </c>
    </row>
    <row r="19" spans="9:9" x14ac:dyDescent="0.25">
      <c r="I19" s="10" t="s">
        <v>103</v>
      </c>
    </row>
    <row r="21" spans="9:9" x14ac:dyDescent="0.25">
      <c r="I21" s="10" t="s">
        <v>104</v>
      </c>
    </row>
    <row r="22" spans="9:9" ht="27.6" x14ac:dyDescent="0.25">
      <c r="I22" s="10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f681d081-fe2e-4389-8dd1-c7421b0f7b61"/>
    <ds:schemaRef ds:uri="87650698-4fd2-45bf-9a4d-503a2431e4fc"/>
    <ds:schemaRef ds:uri="5f2f9e80-f74a-40c7-b145-b94d8e4966f0"/>
    <ds:schemaRef ds:uri="43b908ec-9e92-424c-a4ad-3174bac6e888"/>
  </ds:schemaRefs>
</ds:datastoreItem>
</file>

<file path=customXml/itemProps3.xml><?xml version="1.0" encoding="utf-8"?>
<ds:datastoreItem xmlns:ds="http://schemas.openxmlformats.org/officeDocument/2006/customXml" ds:itemID="{FBACE407-AC32-451A-AAA3-7B29737C9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Besbes</cp:lastModifiedBy>
  <cp:revision/>
  <dcterms:created xsi:type="dcterms:W3CDTF">2000-07-05T17:03:55Z</dcterms:created>
  <dcterms:modified xsi:type="dcterms:W3CDTF">2025-04-29T17:19:26Z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