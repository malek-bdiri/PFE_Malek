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19 CHO GROUP/22 Projet Colisage/2 Préparation Offre/Z Archive/"/>
    </mc:Choice>
  </mc:AlternateContent>
  <xr:revisionPtr revIDLastSave="0" documentId="14_{3F7656F8-1F56-4FDC-AED9-44DBC3C9AA50}" xr6:coauthVersionLast="47" xr6:coauthVersionMax="47" xr10:uidLastSave="{00000000-0000-0000-0000-000000000000}"/>
  <bookViews>
    <workbookView minimized="1" xWindow="1050" yWindow="-9500" windowWidth="17260" windowHeight="887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Exigences'!$C$2:$I$16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27" l="1"/>
  <c r="P17" i="27" s="1"/>
  <c r="N18" i="27"/>
  <c r="O14" i="27"/>
  <c r="P14" i="27" s="1"/>
  <c r="O15" i="27"/>
  <c r="P15" i="27" s="1"/>
  <c r="O16" i="27"/>
  <c r="P16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O18" i="27" l="1"/>
  <c r="P18" i="27"/>
</calcChain>
</file>

<file path=xl/sharedStrings.xml><?xml version="1.0" encoding="utf-8"?>
<sst xmlns="http://schemas.openxmlformats.org/spreadsheetml/2006/main" count="161" uniqueCount="120">
  <si>
    <t>Gestion Exigences Projet</t>
  </si>
  <si>
    <t>Chiffrage Réalisation (SF only)</t>
  </si>
  <si>
    <t>Revue et Vérification Pendant la Conception</t>
  </si>
  <si>
    <t>BU</t>
  </si>
  <si>
    <t>SF</t>
  </si>
  <si>
    <t>Client</t>
  </si>
  <si>
    <t>CHO</t>
  </si>
  <si>
    <t>Projet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</si>
  <si>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</si>
  <si>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</si>
  <si>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</si>
  <si>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</si>
  <si>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</si>
  <si>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</si>
  <si>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</si>
  <si>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</si>
  <si>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</si>
  <si>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</si>
  <si>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</si>
  <si>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</si>
  <si>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</si>
  <si>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indéfiée pendant la phase</t>
  </si>
  <si>
    <t>Description de l'exigence</t>
  </si>
  <si>
    <t>Source</t>
  </si>
  <si>
    <t>Écart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</si>
  <si>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</si>
  <si>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</si>
  <si>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</si>
  <si>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</si>
  <si>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</si>
  <si>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</si>
  <si>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</si>
  <si>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</si>
  <si>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</si>
  <si>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</si>
  <si>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</si>
  <si>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</si>
  <si>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</si>
  <si>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Configuration des données</t>
  </si>
  <si>
    <t>Fonctionnelle</t>
  </si>
  <si>
    <t>SF-Fonctionnelle</t>
  </si>
  <si>
    <t>Commerciale</t>
  </si>
  <si>
    <t>Configuration complète et gestion de l'usine</t>
  </si>
  <si>
    <t>Workshop/réunion client</t>
  </si>
  <si>
    <t>RAS</t>
  </si>
  <si>
    <t>Validée</t>
  </si>
  <si>
    <t>Mahdi B.</t>
  </si>
  <si>
    <t>N/A</t>
  </si>
  <si>
    <t>E003</t>
  </si>
  <si>
    <t xml:space="preserve">Chargement des données </t>
  </si>
  <si>
    <t xml:space="preserve"> Automatisation de l'importation de données dans la solution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</si>
  <si>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</si>
  <si>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</si>
  <si>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</si>
  <si>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</si>
  <si>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</si>
  <si>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</si>
  <si>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</si>
  <si>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 xml:space="preserve">Version initiale </t>
  </si>
  <si>
    <t>Nihel k.</t>
  </si>
  <si>
    <t xml:space="preserve">Mahdi B. </t>
  </si>
  <si>
    <t>Imed A.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</si>
  <si>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</si>
  <si>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</si>
  <si>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</si>
  <si>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</si>
  <si>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</si>
  <si>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</si>
  <si>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</si>
  <si>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</si>
  <si>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</si>
  <si>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</si>
  <si>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</si>
  <si>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</si>
  <si>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</si>
  <si>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</si>
  <si>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</si>
  <si>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</si>
  <si>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</si>
  <si>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</si>
  <si>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</si>
  <si>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</si>
  <si>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</si>
  <si>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</si>
  <si>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</si>
  <si>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</si>
  <si>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</si>
  <si>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</si>
  <si>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</si>
  <si>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</si>
  <si>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</si>
  <si>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</si>
  <si>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</si>
  <si>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</si>
  <si>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</si>
  <si>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</si>
  <si>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</si>
  <si>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</si>
  <si>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</si>
  <si>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</si>
  <si>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</si>
  <si>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</si>
  <si>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</si>
  <si>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</si>
  <si>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</si>
  <si>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</si>
  <si>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</si>
  <si>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</si>
  <si>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La solution offre un Module Core permettant la modélisation, gestion et planification pour une usine connectée:
• Modélisation hiérarchique de l'usine:  Ateliers, lignes, postes, machines, .
• Gestion des produits
• Gestion des causes d'arrêts
• Gestion des utilisateurs et des autorisations: Rôles et accès contrôlés.
• Planification des lignes et des équipes: Cycles, équipes, calendrier de travail.</t>
  </si>
  <si>
    <r>
      <t xml:space="preserve">La solution comprend un module "Intégration SI" permettant l'intégration automatisée de données: Chargement automatique de données depuis des fichiers CSV ou des systèmes d'information clients. En supportant les entités produits, utilisateurs avec une gestion détaillée des erreurs d'intégration.
</t>
    </r>
    <r>
      <rPr>
        <b/>
        <sz val="10"/>
        <rFont val="Calibri Light"/>
        <family val="2"/>
        <scheme val="major"/>
      </rPr>
      <t xml:space="preserve">Adaptation :
</t>
    </r>
    <r>
      <rPr>
        <sz val="10"/>
        <rFont val="Calibri Light"/>
        <family val="2"/>
        <scheme val="major"/>
      </rPr>
      <t xml:space="preserve">
Permettre le chargement des codes bouteilles dans la Base de données</t>
    </r>
  </si>
  <si>
    <t>Interface Contrôle Bouteille</t>
  </si>
  <si>
    <t>Permettre le contrôle du code à barres pour chaque bouteille</t>
  </si>
  <si>
    <t>E002</t>
  </si>
  <si>
    <t>Colisage</t>
  </si>
  <si>
    <t>La solution propose une interface qui permet aux utilisateurs de 
• Scanner le code à barres de chaque bouteille
• Vérifier si le Code à barre existe dans la base de données, Sinon afficher un message "Code à barres inexistant"
• Vérifier si le Code à barre n'était pas scanné, sinon afficher un message "Code à barre déjà utilisé"
• Mettre à jour le statut de chaque code à barres en fonction du contrôle qualité</t>
  </si>
  <si>
    <t>Rapport Contrôle Bouteille</t>
  </si>
  <si>
    <t>Extraire un rapport des Codes à barres scannés et des codes à barres non scannés</t>
  </si>
  <si>
    <t>• Ajouter un bouton permettant de visualiser les codes à barre déjà utilisés et de les exporter sous format Excel.
• Ajouter un bouton permettant de visualiser les codes à barre non encore utilisés et de les exporter sous format Excel.</t>
  </si>
  <si>
    <t>E004</t>
  </si>
  <si>
    <t>Description de la solution MOMSOFT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</si>
</sst>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2</xdr:col>
      <xdr:colOff>2367603</xdr:colOff>
      <xdr:row>2</xdr:row>
      <xdr:rowOff>600000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18" totalsRowCount="1" headerRowDxfId="51" dataDxfId="50">
  <autoFilter ref="B13:V17" xr:uid="{DDEA2C8B-EE0D-4C55-9256-CCC64E002CE6}"/>
  <tableColumns count="21">
    <tableColumn id="1" xr3:uid="{E467E0EE-CDAA-4FF5-85A8-CDC0B23A5AD9}" name="ID" dataDxfId="49" totalsRowDxfId="48"/>
    <tableColumn id="2" xr3:uid="{E53952AC-4972-47BD-8B1D-C7EF23088D0D}" name="Intitulé Exigence" dataDxfId="47" totalsRowDxfId="46"/>
    <tableColumn id="8" xr3:uid="{B2D0BC2C-C803-4015-8FA6-70F84517BDB2}" name="Nature" dataDxfId="45" totalsRowDxfId="44"/>
    <tableColumn id="7" xr3:uid="{24F2F0ED-022E-4EC1-91D8-BFE0E4F2FD36}" name="Catégorie" dataDxfId="43" totalsRowDxfId="42"/>
    <tableColumn id="10" xr3:uid="{1FF81CF1-6D35-421C-8767-9E7FA06FEE6A}" name="Exigence indéfiée pendant la phase" dataDxfId="41" totalsRowDxfId="40"/>
    <tableColumn id="3" xr3:uid="{E7621A68-9552-4853-96A5-92A226EA42DD}" name="Description de l'exigence" dataDxfId="39" totalsRowDxfId="38"/>
    <tableColumn id="9" xr3:uid="{E6EEEC82-3576-4980-94B3-1423906CE531}" name="Source" dataDxfId="37" totalsRowDxfId="36"/>
    <tableColumn id="16" xr3:uid="{1441554A-79F9-4040-9CF5-AEBFF7ADF7D1}" name="Description de la solution MOMSOFT" dataDxfId="35" totalsRowDxfId="34"/>
    <tableColumn id="17" xr3:uid="{D1BC9C86-C3CE-417F-AC83-FC4786A7656D}" name="Écart entre exigence client et la solution proposée - préciser aussi les limites et hypothèses si applicable" dataDxfId="33" totalsRowDxfId="32"/>
    <tableColumn id="5" xr3:uid="{2649C3B7-E8B9-44F9-8883-E5BB6F91B4B1}" name="Validation Interne" dataDxfId="31" totalsRowDxfId="30"/>
    <tableColumn id="6" xr3:uid="{8CC493F8-0886-498D-AB98-B77300CC6510}" name="Validation Interne par:" dataDxfId="29" totalsRowDxfId="28"/>
    <tableColumn id="15" xr3:uid="{78231C60-0932-4386-925D-4C689A91C0E3}" name="Statut Client" dataDxfId="27" totalsRowDxfId="26"/>
    <tableColumn id="22" xr3:uid="{D944A0FD-E468-407F-91A6-BD8A29086A7B}" name="HJ Dev" totalsRowFunction="sum" dataDxfId="25" totalsRowDxfId="24"/>
    <tableColumn id="21" xr3:uid="{818C68C5-1CC3-4DC9-9BB8-2CB7816ABE9F}" name="HJ Analyse et Test" totalsRowFunction="sum" dataDxfId="23" totalsRowDxfId="22">
      <calculatedColumnFormula>Tableau3[[#This Row],[HJ Dev]]*(25%+25%)</calculatedColumnFormula>
    </tableColumn>
    <tableColumn id="20" xr3:uid="{81CB5860-4285-4425-ABF9-C91F3323BF25}" name="Total HJ" totalsRowFunction="sum" dataDxfId="21" totalsRowDxfId="20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9" totalsRowDxfId="18"/>
    <tableColumn id="12" xr3:uid="{36B390F4-625A-46E1-864B-7108903FFD96}" name="Conception réalisée par:" dataDxfId="17" totalsRowDxfId="16"/>
    <tableColumn id="13" xr3:uid="{9016419E-83A5-4950-AB28-EA27A0D72FAD}" name="Revue conception réalisée par" dataDxfId="15" totalsRowDxfId="14"/>
    <tableColumn id="14" xr3:uid="{B5F29B7E-09EB-43EF-BD3D-9ADF38F7CC12}" name="Vérification de la conception réalisée par" dataDxfId="13" totalsRowDxfId="12"/>
    <tableColumn id="18" xr3:uid="{0CA25C90-64D6-43D5-90C8-CE6D70CCA638}" name="Preuve de vérification " dataDxfId="11" totalsRowDxfId="10"/>
    <tableColumn id="4" xr3:uid="{B7406A3A-A365-4F76-9A20-372573D19BC9}" name="Notes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5"/>
  <sheetViews>
    <sheetView tabSelected="1" topLeftCell="D11" zoomScale="55" zoomScaleNormal="90" workbookViewId="0">
      <selection activeCell="G15" sqref="G15"/>
    </sheetView>
  </sheetViews>
  <sheetFormatPr baseColWidth="10" defaultColWidth="11.44140625" defaultRowHeight="13.8" x14ac:dyDescent="0.3"/>
  <cols>
    <col min="1" max="1" width="11.44140625" style="1"/>
    <col min="2" max="2" width="6.109375" style="1" customWidth="1"/>
    <col min="3" max="3" width="41.6640625" style="1" customWidth="1"/>
    <col min="4" max="4" width="33.5546875" style="1" customWidth="1"/>
    <col min="5" max="5" width="18.33203125" style="1" customWidth="1"/>
    <col min="6" max="6" width="19.44140625" style="1" customWidth="1"/>
    <col min="7" max="7" width="56.5546875" style="1" customWidth="1"/>
    <col min="8" max="8" width="31.33203125" style="1" customWidth="1"/>
    <col min="9" max="9" width="56.5546875" style="1" customWidth="1"/>
    <col min="10" max="10" width="33.109375" style="1" customWidth="1"/>
    <col min="11" max="12" width="13.5546875" style="1" customWidth="1"/>
    <col min="13" max="13" width="15.33203125" style="1" customWidth="1"/>
    <col min="14" max="14" width="11.88671875" style="1" customWidth="1"/>
    <col min="15" max="15" width="15.44140625" style="1" customWidth="1"/>
    <col min="16" max="16" width="13.6640625" style="1" customWidth="1"/>
    <col min="17" max="17" width="39.88671875" style="1" customWidth="1"/>
    <col min="18" max="18" width="15.6640625" style="1" customWidth="1"/>
    <col min="19" max="19" width="20.5546875" style="1" customWidth="1"/>
    <col min="20" max="20" width="20.109375" style="1" customWidth="1"/>
    <col min="21" max="21" width="15.109375" style="1" customWidth="1"/>
    <col min="22" max="22" width="30.88671875" style="1" customWidth="1"/>
    <col min="23" max="16384" width="11.44140625" style="1"/>
  </cols>
  <sheetData>
    <row r="1" spans="2:22" ht="14.4" thickBot="1" x14ac:dyDescent="0.35"/>
    <row r="2" spans="2:22" ht="21.75" customHeight="1" thickBot="1" x14ac:dyDescent="0.4"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39" t="s">
        <v>1</v>
      </c>
      <c r="O2" s="40"/>
      <c r="P2" s="41"/>
      <c r="Q2" s="33" t="s">
        <v>2</v>
      </c>
      <c r="R2" s="34"/>
      <c r="S2" s="34"/>
      <c r="T2" s="34"/>
      <c r="U2" s="34"/>
      <c r="V2" s="35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6" t="s">
        <v>3</v>
      </c>
      <c r="C4" s="8"/>
      <c r="D4" s="27" t="s">
        <v>4</v>
      </c>
      <c r="E4" s="8"/>
      <c r="F4" s="8"/>
      <c r="G4" s="8"/>
      <c r="H4" s="8"/>
      <c r="I4" s="8"/>
    </row>
    <row r="5" spans="2:22" ht="21.75" customHeight="1" x14ac:dyDescent="0.3">
      <c r="B5" s="23" t="s">
        <v>5</v>
      </c>
      <c r="D5" s="3" t="s">
        <v>6</v>
      </c>
      <c r="E5" s="3"/>
      <c r="F5" s="3"/>
      <c r="G5" s="3"/>
      <c r="H5" s="3"/>
      <c r="I5" s="3"/>
    </row>
    <row r="6" spans="2:22" ht="58.2" customHeight="1" x14ac:dyDescent="0.3">
      <c r="B6" s="23" t="s">
        <v>7</v>
      </c>
      <c r="D6" s="3" t="s">
        <v>113</v>
      </c>
      <c r="E6" s="3"/>
      <c r="F6" s="3"/>
      <c r="G6" s="3"/>
      <c r="H6" s="3"/>
      <c r="I6" s="3"/>
    </row>
    <row r="7" spans="2:22" ht="20.399999999999999" customHeight="1" x14ac:dyDescent="0.3">
      <c r="B7" s="23" t="s">
        <v>8</v>
      </c>
      <c r="D7" s="3" t="s">
        <v>9</v>
      </c>
      <c r="E7" s="3"/>
      <c r="F7" s="3"/>
      <c r="G7" s="3"/>
      <c r="H7" s="3"/>
      <c r="I7" s="3"/>
    </row>
    <row r="8" spans="2:22" ht="21.6" customHeight="1" x14ac:dyDescent="0.3">
      <c r="B8" s="23" t="s">
        <v>10</v>
      </c>
      <c r="D8" s="3" t="s">
        <v>11</v>
      </c>
      <c r="E8" s="3"/>
      <c r="F8" s="3"/>
      <c r="G8" s="3"/>
      <c r="H8" s="3"/>
      <c r="I8" s="3"/>
    </row>
    <row r="9" spans="2:22" ht="14.4" x14ac:dyDescent="0.3">
      <c r="C9" s="3"/>
      <c r="D9" s="20"/>
      <c r="E9" s="20"/>
      <c r="F9" s="20"/>
      <c r="G9" s="20"/>
      <c r="H9" s="20"/>
      <c r="I9" s="20"/>
    </row>
    <row r="10" spans="2:22" x14ac:dyDescent="0.3">
      <c r="B10" s="24" t="s">
        <v>12</v>
      </c>
      <c r="C10" s="25"/>
      <c r="D10" s="24" t="s">
        <v>13</v>
      </c>
      <c r="E10" s="9"/>
      <c r="F10" s="9"/>
      <c r="I10" s="18" t="s">
        <v>14</v>
      </c>
    </row>
    <row r="11" spans="2:22" x14ac:dyDescent="0.3">
      <c r="B11" s="24" t="s">
        <v>15</v>
      </c>
      <c r="C11" s="25"/>
      <c r="D11" s="24" t="s">
        <v>16</v>
      </c>
      <c r="E11" s="9"/>
      <c r="F11" s="9"/>
    </row>
    <row r="12" spans="2:22" ht="14.4" thickBot="1" x14ac:dyDescent="0.35"/>
    <row r="13" spans="2:22" s="10" customFormat="1" ht="42" thickBot="1" x14ac:dyDescent="0.3">
      <c r="B13" s="29" t="s">
        <v>17</v>
      </c>
      <c r="C13" s="30" t="s">
        <v>18</v>
      </c>
      <c r="D13" s="30" t="s">
        <v>19</v>
      </c>
      <c r="E13" s="30" t="s">
        <v>20</v>
      </c>
      <c r="F13" s="30" t="s">
        <v>21</v>
      </c>
      <c r="G13" s="30" t="s">
        <v>22</v>
      </c>
      <c r="H13" s="30" t="s">
        <v>23</v>
      </c>
      <c r="I13" s="30" t="s">
        <v>119</v>
      </c>
      <c r="J13" s="30" t="s">
        <v>24</v>
      </c>
      <c r="K13" s="30" t="s">
        <v>25</v>
      </c>
      <c r="L13" s="30" t="s">
        <v>26</v>
      </c>
      <c r="M13" s="31" t="s">
        <v>27</v>
      </c>
      <c r="N13" s="14" t="s">
        <v>28</v>
      </c>
      <c r="O13" s="14" t="s">
        <v>29</v>
      </c>
      <c r="P13" s="14" t="s">
        <v>30</v>
      </c>
      <c r="Q13" s="15" t="s">
        <v>31</v>
      </c>
      <c r="R13" s="16" t="s">
        <v>32</v>
      </c>
      <c r="S13" s="16" t="s">
        <v>33</v>
      </c>
      <c r="T13" s="16" t="s">
        <v>34</v>
      </c>
      <c r="U13" s="16" t="s">
        <v>35</v>
      </c>
      <c r="V13" s="17" t="s">
        <v>36</v>
      </c>
    </row>
    <row r="14" spans="2:22" s="10" customFormat="1" ht="202.2" customHeight="1" x14ac:dyDescent="0.25">
      <c r="B14" s="10" t="s">
        <v>37</v>
      </c>
      <c r="C14" s="32" t="s">
        <v>38</v>
      </c>
      <c r="D14" s="10" t="s">
        <v>39</v>
      </c>
      <c r="E14" s="10" t="s">
        <v>40</v>
      </c>
      <c r="F14" s="10" t="s">
        <v>41</v>
      </c>
      <c r="G14" s="10" t="s">
        <v>42</v>
      </c>
      <c r="H14" s="10" t="s">
        <v>43</v>
      </c>
      <c r="I14" s="10" t="s">
        <v>108</v>
      </c>
      <c r="J14" s="10" t="s">
        <v>44</v>
      </c>
      <c r="K14" s="10" t="s">
        <v>45</v>
      </c>
      <c r="L14" s="10" t="s">
        <v>46</v>
      </c>
      <c r="N14" s="10">
        <v>0</v>
      </c>
      <c r="O14" s="10">
        <f>Tableau3[[#This Row],[HJ Dev]]*(25%+25%)</f>
        <v>0</v>
      </c>
      <c r="P14" s="10">
        <f>Tableau3[[#This Row],[HJ Analyse et Test]]+Tableau3[[#This Row],[HJ Dev]]</f>
        <v>0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</row>
    <row r="15" spans="2:22" s="10" customFormat="1" ht="131.4" customHeight="1" x14ac:dyDescent="0.25">
      <c r="B15" s="10" t="s">
        <v>112</v>
      </c>
      <c r="C15" s="10" t="s">
        <v>49</v>
      </c>
      <c r="D15" s="10" t="s">
        <v>39</v>
      </c>
      <c r="E15" s="10" t="s">
        <v>40</v>
      </c>
      <c r="F15" s="10" t="s">
        <v>41</v>
      </c>
      <c r="G15" s="10" t="s">
        <v>50</v>
      </c>
      <c r="H15" s="10" t="s">
        <v>43</v>
      </c>
      <c r="I15" s="10" t="s">
        <v>109</v>
      </c>
      <c r="J15" s="10" t="s">
        <v>44</v>
      </c>
      <c r="K15" s="10" t="s">
        <v>45</v>
      </c>
      <c r="L15" s="10" t="s">
        <v>46</v>
      </c>
      <c r="N15" s="10">
        <v>3</v>
      </c>
      <c r="O15" s="10">
        <f>Tableau3[[#This Row],[HJ Dev]]*(25%+25%)</f>
        <v>1.5</v>
      </c>
      <c r="P15" s="10">
        <f>Tableau3[[#This Row],[HJ Analyse et Test]]+Tableau3[[#This Row],[HJ Dev]]</f>
        <v>4.5</v>
      </c>
    </row>
    <row r="16" spans="2:22" s="10" customFormat="1" ht="124.8" customHeight="1" x14ac:dyDescent="0.25">
      <c r="B16" s="10" t="s">
        <v>48</v>
      </c>
      <c r="C16" s="10" t="s">
        <v>110</v>
      </c>
      <c r="D16" s="10" t="s">
        <v>39</v>
      </c>
      <c r="E16" s="10" t="s">
        <v>40</v>
      </c>
      <c r="F16" s="10" t="s">
        <v>41</v>
      </c>
      <c r="G16" s="10" t="s">
        <v>111</v>
      </c>
      <c r="H16" s="10" t="s">
        <v>43</v>
      </c>
      <c r="I16" s="10" t="s">
        <v>114</v>
      </c>
      <c r="J16" s="10" t="s">
        <v>44</v>
      </c>
      <c r="K16" s="10" t="s">
        <v>45</v>
      </c>
      <c r="L16" s="10" t="s">
        <v>46</v>
      </c>
      <c r="N16" s="10">
        <v>2</v>
      </c>
      <c r="O16" s="10">
        <f>Tableau3[[#This Row],[HJ Dev]]*(25%+25%)</f>
        <v>1</v>
      </c>
      <c r="P16" s="10">
        <f>Tableau3[[#This Row],[HJ Analyse et Test]]+Tableau3[[#This Row],[HJ Dev]]</f>
        <v>3</v>
      </c>
    </row>
    <row r="17" spans="2:22" s="10" customFormat="1" ht="124.8" customHeight="1" x14ac:dyDescent="0.25">
      <c r="B17" s="10" t="s">
        <v>118</v>
      </c>
      <c r="C17" s="10" t="s">
        <v>115</v>
      </c>
      <c r="D17" s="10" t="s">
        <v>39</v>
      </c>
      <c r="E17" s="10" t="s">
        <v>40</v>
      </c>
      <c r="F17" s="10" t="s">
        <v>41</v>
      </c>
      <c r="G17" s="10" t="s">
        <v>116</v>
      </c>
      <c r="H17" s="10" t="s">
        <v>43</v>
      </c>
      <c r="I17" s="10" t="s">
        <v>117</v>
      </c>
      <c r="J17" s="10" t="s">
        <v>44</v>
      </c>
      <c r="K17" s="10" t="s">
        <v>45</v>
      </c>
      <c r="L17" s="10" t="s">
        <v>46</v>
      </c>
      <c r="N17" s="10">
        <v>2</v>
      </c>
      <c r="O17" s="10">
        <f>Tableau3[[#This Row],[HJ Dev]]*(25%+25%)</f>
        <v>1</v>
      </c>
      <c r="P17" s="10">
        <f>Tableau3[[#This Row],[HJ Analyse et Test]]+Tableau3[[#This Row],[HJ Dev]]</f>
        <v>3</v>
      </c>
    </row>
    <row r="18" spans="2:22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>
        <f>SUBTOTAL(109,Tableau3[HJ Dev])</f>
        <v>7</v>
      </c>
      <c r="O18" s="10">
        <f>SUBTOTAL(109,Tableau3[HJ Analyse et Test])</f>
        <v>3.5</v>
      </c>
      <c r="P18" s="10">
        <f>SUBTOTAL(109,Tableau3[Total HJ])</f>
        <v>10.5</v>
      </c>
      <c r="Q18" s="10"/>
      <c r="R18" s="10"/>
      <c r="S18" s="10"/>
      <c r="T18" s="10"/>
      <c r="U18" s="10"/>
      <c r="V18" s="10"/>
    </row>
    <row r="21" spans="2:22" x14ac:dyDescent="0.3">
      <c r="P21" s="1">
        <v>6000</v>
      </c>
    </row>
    <row r="22" spans="2:22" x14ac:dyDescent="0.3">
      <c r="P22" s="1">
        <v>2000</v>
      </c>
    </row>
    <row r="23" spans="2:22" x14ac:dyDescent="0.3">
      <c r="P23" s="1">
        <v>4000</v>
      </c>
    </row>
    <row r="24" spans="2:22" x14ac:dyDescent="0.3">
      <c r="P24" s="1">
        <v>1000</v>
      </c>
    </row>
    <row r="25" spans="2:22" x14ac:dyDescent="0.3">
      <c r="P25" s="1">
        <v>4000</v>
      </c>
    </row>
  </sheetData>
  <mergeCells count="3">
    <mergeCell ref="Q2:V2"/>
    <mergeCell ref="B2:M2"/>
    <mergeCell ref="N2:P2"/>
  </mergeCells>
  <phoneticPr fontId="2" type="noConversion"/>
  <dataValidations count="2">
    <dataValidation type="whole" operator="greaterThanOrEqual" allowBlank="1" showInputMessage="1" showErrorMessage="1" sqref="O14:P17" xr:uid="{10E2E794-3894-4CC1-AB1A-9BB5BF41EABB}">
      <formula1>0</formula1>
    </dataValidation>
    <dataValidation type="decimal" operator="greaterThanOrEqual" allowBlank="1" showInputMessage="1" showErrorMessage="1" sqref="N14:N17" xr:uid="{7A3F89F7-3459-4C02-B3E5-6C8E00637FD7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F14:F17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H14:H17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M14:M17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K14:K17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D14:D17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topLeftCell="A4" zoomScale="80" zoomScaleNormal="80" workbookViewId="0">
      <selection activeCell="H23" sqref="H23"/>
    </sheetView>
  </sheetViews>
  <sheetFormatPr baseColWidth="10" defaultColWidth="11.44140625" defaultRowHeight="14.4" x14ac:dyDescent="0.3"/>
  <cols>
    <col min="1" max="1" width="12" style="2" customWidth="1"/>
    <col min="2" max="2" width="10.109375" style="2" customWidth="1"/>
    <col min="3" max="3" width="11.44140625" style="2"/>
    <col min="4" max="4" width="58.33203125" style="2" customWidth="1"/>
    <col min="5" max="5" width="15.88671875" style="2" customWidth="1"/>
    <col min="6" max="6" width="22.33203125" style="2" customWidth="1"/>
    <col min="7" max="7" width="16.5546875" style="2" customWidth="1"/>
    <col min="8" max="16384" width="11.44140625" style="2"/>
  </cols>
  <sheetData>
    <row r="2" spans="1:7" ht="15" thickBot="1" x14ac:dyDescent="0.35"/>
    <row r="3" spans="1:7" ht="24" customHeight="1" thickBot="1" x14ac:dyDescent="0.35">
      <c r="A3" s="2" t="s">
        <v>51</v>
      </c>
      <c r="B3" s="42" t="s">
        <v>0</v>
      </c>
      <c r="C3" s="43"/>
      <c r="D3" s="43"/>
      <c r="E3" s="43"/>
      <c r="F3" s="43"/>
      <c r="G3" s="44"/>
    </row>
    <row r="4" spans="1:7" x14ac:dyDescent="0.3">
      <c r="B4" s="4"/>
      <c r="C4" s="5"/>
      <c r="D4" s="5"/>
      <c r="E4" s="5"/>
      <c r="F4" s="5"/>
      <c r="G4" s="5"/>
    </row>
    <row r="5" spans="1:7" x14ac:dyDescent="0.3">
      <c r="B5" s="12" t="str">
        <f>'Gestion Exigences'!B5</f>
        <v>Client</v>
      </c>
      <c r="D5" s="12" t="str">
        <f>'Gestion Exigences'!D5</f>
        <v>CHO</v>
      </c>
      <c r="E5" s="5"/>
      <c r="F5" s="5"/>
      <c r="G5" s="5"/>
    </row>
    <row r="6" spans="1:7" x14ac:dyDescent="0.3">
      <c r="B6" s="12" t="str">
        <f>'Gestion Exigences'!B6</f>
        <v>Projet</v>
      </c>
      <c r="D6" s="12" t="str">
        <f>'Gestion Exigences'!D6</f>
        <v>Colisage</v>
      </c>
      <c r="E6" s="5"/>
      <c r="F6" s="5"/>
      <c r="G6" s="5"/>
    </row>
    <row r="7" spans="1:7" x14ac:dyDescent="0.3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">
      <c r="B9" s="4"/>
      <c r="C9" s="12"/>
      <c r="D9" s="5"/>
      <c r="E9" s="5"/>
      <c r="F9" s="5"/>
      <c r="G9" s="5"/>
    </row>
    <row r="10" spans="1:7" x14ac:dyDescent="0.3">
      <c r="B10" s="21" t="str">
        <f>'Gestion Exigences'!B10</f>
        <v>Réf Modèle Document</v>
      </c>
      <c r="C10" s="22" t="str">
        <f>'Gestion Exigences'!D10</f>
        <v>MD203</v>
      </c>
      <c r="D10" s="5"/>
      <c r="E10" s="5"/>
      <c r="F10" s="5"/>
      <c r="G10" s="5"/>
    </row>
    <row r="11" spans="1:7" x14ac:dyDescent="0.3">
      <c r="B11" s="21" t="str">
        <f>'Gestion Exigences'!B11</f>
        <v>Version Modèle Document</v>
      </c>
      <c r="C11" s="22" t="str">
        <f>'Gestion Exigences'!D11</f>
        <v>V1.5</v>
      </c>
      <c r="D11" s="5"/>
      <c r="E11" s="5"/>
      <c r="F11" s="5"/>
      <c r="G11" s="5"/>
    </row>
    <row r="12" spans="1:7" x14ac:dyDescent="0.3">
      <c r="B12" s="4"/>
      <c r="C12" s="5"/>
      <c r="D12" s="5"/>
      <c r="E12" s="5"/>
      <c r="F12" s="5"/>
      <c r="G12" s="5"/>
    </row>
    <row r="13" spans="1:7" x14ac:dyDescent="0.3">
      <c r="B13" s="13" t="s">
        <v>52</v>
      </c>
      <c r="C13" s="13" t="s">
        <v>53</v>
      </c>
      <c r="D13" s="13" t="s">
        <v>54</v>
      </c>
      <c r="E13" s="13" t="s">
        <v>55</v>
      </c>
      <c r="F13" s="13" t="s">
        <v>56</v>
      </c>
      <c r="G13" s="13" t="s">
        <v>57</v>
      </c>
    </row>
    <row r="14" spans="1:7" ht="29.4" customHeight="1" x14ac:dyDescent="0.3">
      <c r="B14" s="6" t="s">
        <v>16</v>
      </c>
      <c r="C14" s="7">
        <v>45586</v>
      </c>
      <c r="D14" s="19" t="s">
        <v>58</v>
      </c>
      <c r="E14" s="6" t="s">
        <v>59</v>
      </c>
      <c r="F14" s="19" t="s">
        <v>60</v>
      </c>
      <c r="G14" s="6" t="s">
        <v>61</v>
      </c>
    </row>
    <row r="15" spans="1:7" x14ac:dyDescent="0.3">
      <c r="C15" s="28"/>
    </row>
    <row r="16" spans="1:7" x14ac:dyDescent="0.3">
      <c r="C16" s="28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4140625" defaultRowHeight="13.8" x14ac:dyDescent="0.25"/>
  <cols>
    <col min="1" max="2" width="11.44140625" style="10"/>
    <col min="3" max="4" width="19.6640625" style="10" customWidth="1"/>
    <col min="5" max="5" width="23.88671875" style="10" customWidth="1"/>
    <col min="6" max="6" width="14.44140625" style="10" customWidth="1"/>
    <col min="7" max="7" width="23.88671875" style="10" customWidth="1"/>
    <col min="8" max="8" width="25.109375" style="10" customWidth="1"/>
    <col min="9" max="9" width="20.44140625" style="10" customWidth="1"/>
    <col min="10" max="16384" width="11.44140625" style="10"/>
  </cols>
  <sheetData>
    <row r="2" spans="2:9" ht="27.6" x14ac:dyDescent="0.25">
      <c r="B2" s="11" t="s">
        <v>3</v>
      </c>
      <c r="C2" s="11" t="s">
        <v>19</v>
      </c>
      <c r="D2" s="11" t="s">
        <v>62</v>
      </c>
      <c r="E2" s="11" t="s">
        <v>23</v>
      </c>
      <c r="F2" s="11" t="s">
        <v>63</v>
      </c>
      <c r="G2" s="11" t="s">
        <v>27</v>
      </c>
      <c r="H2" s="11" t="s">
        <v>64</v>
      </c>
      <c r="I2" s="11" t="s">
        <v>20</v>
      </c>
    </row>
    <row r="3" spans="2:9" x14ac:dyDescent="0.25">
      <c r="B3" s="10" t="s">
        <v>65</v>
      </c>
      <c r="C3" s="10" t="s">
        <v>39</v>
      </c>
      <c r="D3" s="10" t="s">
        <v>41</v>
      </c>
      <c r="E3" s="10" t="s">
        <v>66</v>
      </c>
      <c r="F3" s="10" t="s">
        <v>67</v>
      </c>
      <c r="G3" s="10" t="s">
        <v>68</v>
      </c>
      <c r="H3" s="10" t="s">
        <v>45</v>
      </c>
      <c r="I3" s="10" t="s">
        <v>69</v>
      </c>
    </row>
    <row r="4" spans="2:9" x14ac:dyDescent="0.25">
      <c r="B4" s="10" t="s">
        <v>70</v>
      </c>
      <c r="C4" s="10" t="s">
        <v>71</v>
      </c>
      <c r="D4" s="10" t="s">
        <v>72</v>
      </c>
      <c r="E4" s="10" t="s">
        <v>43</v>
      </c>
      <c r="F4" s="10" t="s">
        <v>73</v>
      </c>
      <c r="G4" s="10" t="s">
        <v>74</v>
      </c>
      <c r="H4" s="10" t="s">
        <v>75</v>
      </c>
      <c r="I4" s="10" t="s">
        <v>76</v>
      </c>
    </row>
    <row r="5" spans="2:9" x14ac:dyDescent="0.25">
      <c r="B5" s="10" t="s">
        <v>77</v>
      </c>
      <c r="C5" s="10" t="s">
        <v>78</v>
      </c>
      <c r="D5" s="10" t="s">
        <v>79</v>
      </c>
      <c r="E5" s="10" t="s">
        <v>80</v>
      </c>
      <c r="F5" s="10" t="s">
        <v>47</v>
      </c>
      <c r="G5" s="10" t="s">
        <v>47</v>
      </c>
      <c r="H5" s="10" t="s">
        <v>47</v>
      </c>
      <c r="I5" s="10" t="s">
        <v>81</v>
      </c>
    </row>
    <row r="6" spans="2:9" x14ac:dyDescent="0.25">
      <c r="B6" s="10" t="s">
        <v>4</v>
      </c>
      <c r="C6" s="10" t="s">
        <v>82</v>
      </c>
      <c r="D6" s="10" t="s">
        <v>83</v>
      </c>
      <c r="E6" s="10" t="s">
        <v>84</v>
      </c>
      <c r="I6" s="10" t="s">
        <v>85</v>
      </c>
    </row>
    <row r="7" spans="2:9" x14ac:dyDescent="0.25">
      <c r="B7" s="10" t="s">
        <v>86</v>
      </c>
      <c r="C7" s="10" t="s">
        <v>87</v>
      </c>
      <c r="D7" s="10" t="s">
        <v>88</v>
      </c>
      <c r="E7" s="10" t="s">
        <v>89</v>
      </c>
      <c r="I7" s="10" t="s">
        <v>90</v>
      </c>
    </row>
    <row r="8" spans="2:9" x14ac:dyDescent="0.25">
      <c r="B8" s="10" t="s">
        <v>91</v>
      </c>
      <c r="C8" s="10" t="s">
        <v>92</v>
      </c>
      <c r="E8" s="10" t="s">
        <v>93</v>
      </c>
      <c r="I8" s="10" t="s">
        <v>94</v>
      </c>
    </row>
    <row r="9" spans="2:9" x14ac:dyDescent="0.25">
      <c r="B9" s="10" t="s">
        <v>95</v>
      </c>
      <c r="E9" s="10" t="s">
        <v>96</v>
      </c>
      <c r="I9" s="10" t="s">
        <v>97</v>
      </c>
    </row>
    <row r="10" spans="2:9" x14ac:dyDescent="0.25">
      <c r="I10" s="10" t="s">
        <v>98</v>
      </c>
    </row>
    <row r="11" spans="2:9" x14ac:dyDescent="0.25">
      <c r="I11" s="10" t="s">
        <v>99</v>
      </c>
    </row>
    <row r="13" spans="2:9" x14ac:dyDescent="0.25">
      <c r="I13" s="10" t="s">
        <v>100</v>
      </c>
    </row>
    <row r="14" spans="2:9" x14ac:dyDescent="0.25">
      <c r="I14" s="10" t="s">
        <v>101</v>
      </c>
    </row>
    <row r="15" spans="2:9" x14ac:dyDescent="0.25">
      <c r="I15" s="10" t="s">
        <v>40</v>
      </c>
    </row>
    <row r="16" spans="2:9" x14ac:dyDescent="0.25">
      <c r="I16" s="10" t="s">
        <v>102</v>
      </c>
    </row>
    <row r="17" spans="9:9" x14ac:dyDescent="0.25">
      <c r="I17" s="10" t="s">
        <v>103</v>
      </c>
    </row>
    <row r="18" spans="9:9" x14ac:dyDescent="0.25">
      <c r="I18" s="10" t="s">
        <v>104</v>
      </c>
    </row>
    <row r="19" spans="9:9" x14ac:dyDescent="0.25">
      <c r="I19" s="10" t="s">
        <v>105</v>
      </c>
    </row>
    <row r="21" spans="9:9" x14ac:dyDescent="0.25">
      <c r="I21" s="10" t="s">
        <v>106</v>
      </c>
    </row>
    <row r="22" spans="9:9" ht="27.6" x14ac:dyDescent="0.25">
      <c r="I22" s="10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customXml/itemProps2.xml><?xml version="1.0" encoding="utf-8"?>
<ds:datastoreItem xmlns:ds="http://schemas.openxmlformats.org/officeDocument/2006/customXml" ds:itemID="{147BE4F6-E955-4BFA-9297-0A5D7FFBB23D}"/>
</file>

<file path=customXml/itemProps3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Besbes</cp:lastModifiedBy>
  <cp:revision/>
  <dcterms:created xsi:type="dcterms:W3CDTF">2000-07-05T17:03:55Z</dcterms:created>
  <dcterms:modified xsi:type="dcterms:W3CDTF">2025-04-18T17:03:03Z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