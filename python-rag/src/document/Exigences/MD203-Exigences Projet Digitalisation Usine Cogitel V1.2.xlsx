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9 Digitalisation Usine Cogitel/2 Préparation Offre/"/>
    </mc:Choice>
  </mc:AlternateContent>
  <xr:revisionPtr revIDLastSave="7" documentId="8_{2E5DF4DD-8584-480D-A3B9-DE0D00996B90}" xr6:coauthVersionLast="47" xr6:coauthVersionMax="47" xr10:uidLastSave="{8D5AF37E-7996-4E9E-9DF8-901D6ED42108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Exigences'!$C$2:$I$12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27" l="1"/>
  <c r="AC14" i="27"/>
  <c r="AD14" i="27" s="1"/>
  <c r="AC15" i="27"/>
  <c r="AC16" i="27"/>
  <c r="AC17" i="27"/>
  <c r="AC18" i="27"/>
  <c r="AD18" i="27" s="1"/>
  <c r="AC19" i="27"/>
  <c r="AC20" i="27"/>
  <c r="AD13" i="27"/>
  <c r="AD15" i="27"/>
  <c r="AD16" i="27"/>
  <c r="AD17" i="27"/>
  <c r="AD19" i="27"/>
  <c r="AD20" i="27"/>
  <c r="P13" i="27"/>
  <c r="Q13" i="27"/>
  <c r="R13" i="27"/>
  <c r="P14" i="27"/>
  <c r="Q14" i="27"/>
  <c r="R14" i="27"/>
  <c r="P15" i="27"/>
  <c r="Q15" i="27"/>
  <c r="R15" i="27"/>
  <c r="P16" i="27"/>
  <c r="Q16" i="27"/>
  <c r="R16" i="27"/>
  <c r="P17" i="27"/>
  <c r="Q17" i="27"/>
  <c r="R17" i="27"/>
  <c r="P18" i="27"/>
  <c r="Q18" i="27"/>
  <c r="R18" i="27"/>
  <c r="P19" i="27"/>
  <c r="Q19" i="27"/>
  <c r="R19" i="27"/>
  <c r="P20" i="27"/>
  <c r="Q20" i="27"/>
  <c r="R20" i="27"/>
  <c r="AB21" i="27"/>
  <c r="C5" i="29"/>
  <c r="C6" i="29"/>
  <c r="C7" i="29"/>
  <c r="C8" i="29"/>
  <c r="C9" i="29"/>
  <c r="C10" i="29"/>
  <c r="B6" i="29"/>
  <c r="B7" i="29"/>
  <c r="B8" i="29"/>
  <c r="B9" i="29"/>
  <c r="B10" i="29"/>
  <c r="B5" i="29"/>
  <c r="AD21" i="27" l="1"/>
  <c r="AC21" i="27"/>
</calcChain>
</file>

<file path=xl/sharedStrings.xml><?xml version="1.0" encoding="utf-8"?>
<sst xmlns="http://schemas.openxmlformats.org/spreadsheetml/2006/main" count="218" uniqueCount="145">
  <si>
    <t>Gestion Exigences Projet</t>
  </si>
  <si>
    <t>Chiffrage Réalisation SF</t>
  </si>
  <si>
    <t>Revue et Vérification pendant la Conception</t>
  </si>
  <si>
    <t>Client</t>
  </si>
  <si>
    <t>COGITEL</t>
  </si>
  <si>
    <t>Projet</t>
  </si>
  <si>
    <t>Digitalisation Usine Cogitel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</si>
  <si>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</si>
  <si>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</si>
  <si>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</si>
  <si>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</si>
  <si>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</si>
  <si>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</si>
  <si>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</si>
  <si>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</si>
  <si>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</si>
  <si>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</si>
  <si>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</si>
  <si>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</si>
  <si>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</si>
  <si>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</si>
  <si>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</si>
  <si>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</si>
  <si>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</si>
  <si>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</si>
  <si>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</si>
  <si>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</si>
  <si>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</si>
  <si>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</si>
  <si>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</si>
  <si>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</si>
  <si>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</si>
  <si>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</si>
  <si>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</si>
  <si>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</si>
  <si>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</si>
  <si>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</si>
  <si>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</si>
  <si>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</si>
  <si>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</si>
  <si>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</si>
  <si>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</si>
  <si>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</si>
  <si>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</si>
  <si>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</si>
  <si>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</si>
  <si>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</si>
  <si>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</si>
  <si>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</si>
  <si>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E015</t>
  </si>
  <si>
    <t xml:space="preserve">Gestion des zones de stockage intermédiares </t>
  </si>
  <si>
    <t>Fonctionnelle</t>
  </si>
  <si>
    <t>SF-Fonctionnelle</t>
  </si>
  <si>
    <t>Commerciale</t>
  </si>
  <si>
    <t xml:space="preserve">Gérer les zones de stockage intermédiares </t>
  </si>
  <si>
    <t>Workshop/réunion Interne</t>
  </si>
  <si>
    <t xml:space="preserve">Adaptation de l'interface de gestion des zones de stockage intermédiaires pour gérer le suivi des palettes et bobines en utilisant plusieurs unités  </t>
  </si>
  <si>
    <t>Validée</t>
  </si>
  <si>
    <t>Mahdi B.</t>
  </si>
  <si>
    <t>E016</t>
  </si>
  <si>
    <t xml:space="preserve">Gestion la MP entrante </t>
  </si>
  <si>
    <t xml:space="preserve">Gérer la MP entrante à chaque zone </t>
  </si>
  <si>
    <t xml:space="preserve">Adaptation des bon d'entrée MP pour gérer le suivi des palettes et bobines en utilisant plusieurs unités  </t>
  </si>
  <si>
    <t>E017</t>
  </si>
  <si>
    <t>Gestion  la MP sortante</t>
  </si>
  <si>
    <t>Gérer la MP sortante à chaque zone</t>
  </si>
  <si>
    <t xml:space="preserve">Adaptation des bon de sortie MP pour gérer le suivi des palettes et bobines en utilisant plusieurs unités  </t>
  </si>
  <si>
    <t>E018</t>
  </si>
  <si>
    <t xml:space="preserve">Gestion de la MP en temps réel </t>
  </si>
  <si>
    <t>Gérer la MP en temps réel</t>
  </si>
  <si>
    <t>Adapter le Tableau de la suivi de la MP en temps réel pour suivre les palattes et les bobines en utilisant plusieurs unités</t>
  </si>
  <si>
    <t>E019</t>
  </si>
  <si>
    <t xml:space="preserve">Gestion des PSF en temps réel </t>
  </si>
  <si>
    <t>Gérer les PSF en temps réel</t>
  </si>
  <si>
    <t>Adapter le Tableau de la suivi de la PSF en temps réel pour suivre les palattes et les bobines en utilisant plusieurs unités</t>
  </si>
  <si>
    <t>E020</t>
  </si>
  <si>
    <t>Déclaration de quantité consommée par OF</t>
  </si>
  <si>
    <t>SF-Intégration SI</t>
  </si>
  <si>
    <t xml:space="preserve">Déclaration de la MP consommée au niveau de l'OF </t>
  </si>
  <si>
    <t xml:space="preserve">Permettre la déclaration de la MP consommée au niveau de l'OF </t>
  </si>
  <si>
    <t>E021</t>
  </si>
  <si>
    <t>Gestion l'entré/ sortie du MP</t>
  </si>
  <si>
    <t xml:space="preserve">Gérer l'entré/ sortie du MP par des bons de commandes </t>
  </si>
  <si>
    <t xml:space="preserve">Adaptation des bon de retour MP pour gérer le suivi des palettes et bobines en utilisant plusieurs unités  </t>
  </si>
  <si>
    <t>E022</t>
  </si>
  <si>
    <t xml:space="preserve">Validation de flux de matières  MP/SF </t>
  </si>
  <si>
    <t xml:space="preserve">Validation d'entrée/sortie de la MP ou SF à chaque zone par des interfaces </t>
  </si>
  <si>
    <t>Adaptaion au niveau du workflow de validation d'entrée/sortie MP ou SF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</si>
  <si>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</si>
  <si>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</si>
  <si>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</si>
  <si>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</si>
  <si>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</si>
  <si>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</si>
  <si>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</si>
  <si>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</si>
  <si>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</si>
  <si>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</si>
  <si>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</si>
  <si>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</si>
  <si>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</si>
  <si>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</si>
  <si>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</si>
  <si>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</si>
  <si>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</si>
  <si>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</si>
  <si>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</si>
  <si>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</si>
  <si>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</si>
  <si>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</si>
  <si>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</si>
  <si>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</si>
  <si>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</si>
  <si>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</si>
  <si>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Workshop/réunion client</t>
  </si>
  <si>
    <t>Non</t>
  </si>
  <si>
    <t>Non validée par client</t>
  </si>
  <si>
    <t>Non validée</t>
  </si>
  <si>
    <t>SE-Processus</t>
  </si>
  <si>
    <t>Reglementaire</t>
  </si>
  <si>
    <t>Réalisation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</si>
  <si>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</si>
  <si>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</si>
  <si>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</si>
  <si>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</si>
  <si>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</si>
  <si>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</si>
  <si>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</si>
  <si>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</si>
  <si>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</si>
  <si>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</si>
  <si>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</si>
  <si>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</si>
  <si>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</si>
  <si>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</si>
  <si>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</si>
  <si>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</si>
  <si>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</si>
  <si>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</si>
  <si>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SF-Processus</t>
  </si>
  <si>
    <t>SF-Connectivité Machine</t>
  </si>
  <si>
    <t>SF-Software</t>
  </si>
  <si>
    <t>SF-Infra IT</t>
  </si>
  <si>
    <t>*** TC</t>
  </si>
  <si>
    <t>TC-Prestations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</si>
</sst>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  <sheetName val="MD203- Exigences Cogitel Digi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21" totalsRowCount="1" headerRowDxfId="79" dataDxfId="78">
  <autoFilter ref="B12:AJ20" xr:uid="{DDEA2C8B-EE0D-4C55-9256-CCC64E002CE6}"/>
  <tableColumns count="35">
    <tableColumn id="1" xr3:uid="{E467E0EE-CDAA-4FF5-85A8-CDC0B23A5AD9}" name="ID" dataDxfId="76" totalsRowDxfId="77"/>
    <tableColumn id="2" xr3:uid="{E53952AC-4972-47BD-8B1D-C7EF23088D0D}" name="Exigence" dataDxfId="74" totalsRowDxfId="75"/>
    <tableColumn id="8" xr3:uid="{B2D0BC2C-C803-4015-8FA6-70F84517BDB2}" name="Nature" dataDxfId="72" totalsRowDxfId="73"/>
    <tableColumn id="7" xr3:uid="{24F2F0ED-022E-4EC1-91D8-BFE0E4F2FD36}" name="Catégorie" dataDxfId="70" totalsRowDxfId="71"/>
    <tableColumn id="10" xr3:uid="{1FF81CF1-6D35-421C-8767-9E7FA06FEE6A}" name="Exigence idenfiée pendant la phase" dataDxfId="68" totalsRowDxfId="69"/>
    <tableColumn id="3" xr3:uid="{E7621A68-9552-4853-96A5-92A226EA42DD}" name="Description de l'exigence" dataDxfId="66" totalsRowDxfId="67"/>
    <tableColumn id="9" xr3:uid="{E6EEEC82-3576-4980-94B3-1423906CE531}" name="Source" dataDxfId="64" totalsRowDxfId="65"/>
    <tableColumn id="16" xr3:uid="{1441554A-79F9-4040-9CF5-AEBFF7ADF7D1}" name="Desciption de la solution ADDIXO" dataDxfId="62" totalsRowDxfId="63"/>
    <tableColumn id="17" xr3:uid="{D1BC9C86-C3CE-417F-AC83-FC4786A7656D}" name="Ecart entre exigence client et la solution proposée - préciser aussi les limites et hypothèses si applicable" dataDxfId="60" totalsRowDxfId="61"/>
    <tableColumn id="5" xr3:uid="{2649C3B7-E8B9-44F9-8883-E5BB6F91B4B1}" name="Validation Interne" dataDxfId="58" totalsRowDxfId="59"/>
    <tableColumn id="19" xr3:uid="{1684315C-4BF1-4202-9296-395A9CBBCF5B}" name="Colonne1" dataDxfId="56" totalsRowDxfId="57"/>
    <tableColumn id="23" xr3:uid="{B6C3130B-09EF-45AC-BADA-90DC4AA315FC}" name="Colonne2" dataDxfId="54" totalsRowDxfId="55"/>
    <tableColumn id="24" xr3:uid="{ED6C4BB9-0261-4756-9E2F-D66985E18ED3}" name="Colonne3" dataDxfId="52" totalsRowDxfId="53"/>
    <tableColumn id="25" xr3:uid="{78150193-1C14-44BE-96A3-D80FFAA537A1}" name="Colonne4" dataDxfId="50" totalsRowDxfId="51"/>
    <tableColumn id="26" xr3:uid="{675E0A2C-BB54-404C-AA93-815EC984D2D6}" name="Colonne5" dataDxfId="48" totalsRowDxfId="49">
      <calculatedColumnFormula>[1]!Tableau32[[#This Row],[HJ Dev]]*(25%+25%)</calculatedColumnFormula>
    </tableColumn>
    <tableColumn id="27" xr3:uid="{CBA3FCD9-30EA-4D19-BD7E-D0C0216A2D2C}" name="Colonne6" dataDxfId="46" totalsRowDxfId="47">
      <calculatedColumnFormula>[1]!Tableau32[[#This Row],[HJ Analyse et test]]+[1]!Tableau32[[#This Row],[HJ Dev]]</calculatedColumnFormula>
    </tableColumn>
    <tableColumn id="28" xr3:uid="{64F4902E-4937-4A74-910C-13A5511F7340}" name="Colonne7" dataDxfId="44" totalsRowDxfId="45">
      <calculatedColumnFormula>[1]!Tableau32[[#This Row],[Total HJ]]*8</calculatedColumnFormula>
    </tableColumn>
    <tableColumn id="29" xr3:uid="{D26DE321-3DF3-4A2C-8283-3F62F92E87F7}" name="Colonne8" dataDxfId="42" totalsRowDxfId="43"/>
    <tableColumn id="30" xr3:uid="{5434348C-D2DE-493F-94CA-198AB6E4DAB4}" name="Colonne9" dataDxfId="40" totalsRowDxfId="41"/>
    <tableColumn id="31" xr3:uid="{06456D23-93D7-4397-815B-7D05CC6463D2}" name="Colonne10" dataDxfId="38" totalsRowDxfId="39"/>
    <tableColumn id="32" xr3:uid="{FB8D074E-F786-450E-8A8C-7D77D212C0ED}" name="Colonne11" dataDxfId="36" totalsRowDxfId="37"/>
    <tableColumn id="33" xr3:uid="{8C68935C-FF3F-4366-B375-B488B353BA68}" name="Colonne12" dataDxfId="34" totalsRowDxfId="35"/>
    <tableColumn id="34" xr3:uid="{78D71331-AEFF-45A6-96F8-D15DAA307F14}" name="Colonne13" dataDxfId="32" totalsRowDxfId="33"/>
    <tableColumn id="35" xr3:uid="{A9FCD645-19CA-4DCD-93DF-19C36E49D180}" name="Colonne14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custom" dataDxfId="24" totalsRowDxfId="25">
      <totalsRowFormula>SUBTOTAL(109,AB13:AB20)</totalsRowFormula>
    </tableColumn>
    <tableColumn id="21" xr3:uid="{818C68C5-1CC3-4DC9-9BB8-2CB7816ABE9F}" name="HJ Analyse et test" totalsRowFunction="custom" dataDxfId="22" totalsRowDxfId="23">
      <calculatedColumnFormula>Tableau3[[#This Row],[HJ Dev]]*(50%+25%)</calculatedColumnFormula>
      <totalsRowFormula>SUBTOTAL(109,AC13:AC20)</totalsRowFormula>
    </tableColumn>
    <tableColumn id="20" xr3:uid="{81CB5860-4285-4425-ABF9-C91F3323BF25}" name="Total HJ" totalsRowFunction="custom" dataDxfId="20" totalsRowDxfId="21">
      <calculatedColumnFormula>Tableau3[[#This Row],[HJ Dev]]+Tableau3[[#This Row],[HJ Analyse et test]]</calculatedColumnFormula>
      <totalsRowFormula>SUBTOTAL(109,AD13:AD20)</totalsRow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22"/>
  <sheetViews>
    <sheetView tabSelected="1" topLeftCell="G12" zoomScale="62" zoomScaleNormal="70" workbookViewId="0">
      <selection activeCell="A13" sqref="A13:XFD13"/>
    </sheetView>
  </sheetViews>
  <sheetFormatPr defaultColWidth="11.42578125" defaultRowHeight="12.95"/>
  <cols>
    <col min="1" max="1" width="11.42578125" style="1"/>
    <col min="2" max="2" width="6.140625" style="1" customWidth="1"/>
    <col min="3" max="3" width="25.42578125" style="1" customWidth="1"/>
    <col min="4" max="4" width="14.42578125" style="1" customWidth="1"/>
    <col min="5" max="5" width="12.42578125" style="1" customWidth="1"/>
    <col min="6" max="6" width="24.5703125" style="1" customWidth="1"/>
    <col min="7" max="7" width="56.5703125" style="1" customWidth="1"/>
    <col min="8" max="8" width="18.42578125" style="1" hidden="1" customWidth="1"/>
    <col min="9" max="9" width="97.140625" style="1" customWidth="1"/>
    <col min="10" max="10" width="36.42578125" style="1" customWidth="1"/>
    <col min="11" max="11" width="10.5703125" style="1" customWidth="1"/>
    <col min="12" max="25" width="10.5703125" style="1" hidden="1" customWidth="1"/>
    <col min="26" max="26" width="12" style="1" customWidth="1"/>
    <col min="27" max="27" width="12.85546875" style="1" customWidth="1"/>
    <col min="28" max="28" width="9.140625" style="1" customWidth="1"/>
    <col min="29" max="29" width="14.85546875" style="1" customWidth="1"/>
    <col min="30" max="30" width="10.140625" style="1" customWidth="1"/>
    <col min="31" max="31" width="33.140625" style="1" customWidth="1"/>
    <col min="32" max="32" width="15.42578125" style="1" customWidth="1"/>
    <col min="33" max="33" width="14.85546875" style="1" customWidth="1"/>
    <col min="34" max="34" width="17.42578125" style="1" customWidth="1"/>
    <col min="35" max="35" width="24.140625" style="1" customWidth="1"/>
    <col min="36" max="36" width="9" style="1" customWidth="1"/>
    <col min="37" max="37" width="5.5703125" style="1" customWidth="1"/>
    <col min="38" max="39" width="11.42578125" style="1" customWidth="1"/>
    <col min="40" max="16384" width="11.42578125" style="1"/>
  </cols>
  <sheetData>
    <row r="1" spans="2:36" ht="13.5" thickBot="1"/>
    <row r="2" spans="2:36" ht="21.75" customHeight="1" thickBot="1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  <c r="AB2" s="42" t="s">
        <v>1</v>
      </c>
      <c r="AC2" s="43"/>
      <c r="AD2" s="44"/>
      <c r="AE2" s="37" t="s">
        <v>2</v>
      </c>
      <c r="AF2" s="38"/>
      <c r="AG2" s="38"/>
      <c r="AH2" s="38"/>
      <c r="AI2" s="38"/>
      <c r="AJ2" s="38"/>
    </row>
    <row r="3" spans="2:36" ht="21.75" customHeight="1">
      <c r="C3" s="8"/>
      <c r="D3" s="8"/>
      <c r="E3" s="8"/>
      <c r="F3" s="8"/>
      <c r="G3" s="8"/>
      <c r="H3" s="8"/>
      <c r="I3" s="8"/>
    </row>
    <row r="4" spans="2:36" ht="21.75" customHeight="1">
      <c r="C4" s="3" t="s">
        <v>3</v>
      </c>
      <c r="D4" s="36" t="s">
        <v>4</v>
      </c>
      <c r="E4" s="36"/>
      <c r="F4" s="36"/>
      <c r="G4" s="36"/>
      <c r="H4" s="36"/>
      <c r="I4" s="36"/>
    </row>
    <row r="5" spans="2:36" ht="14.45">
      <c r="C5" s="3" t="s">
        <v>5</v>
      </c>
      <c r="D5" s="36" t="s">
        <v>6</v>
      </c>
      <c r="E5" s="36"/>
      <c r="F5" s="36"/>
      <c r="G5" s="36"/>
      <c r="H5" s="36"/>
      <c r="I5" s="36"/>
    </row>
    <row r="6" spans="2:36" ht="14.45">
      <c r="C6" s="3" t="s">
        <v>7</v>
      </c>
      <c r="D6" s="36"/>
      <c r="E6" s="36"/>
      <c r="F6" s="36"/>
      <c r="G6" s="36"/>
      <c r="H6" s="36"/>
      <c r="I6" s="36"/>
    </row>
    <row r="7" spans="2:36" ht="14.45">
      <c r="C7" s="3" t="s">
        <v>8</v>
      </c>
      <c r="D7" s="36"/>
      <c r="E7" s="36"/>
      <c r="F7" s="36"/>
      <c r="G7" s="36"/>
      <c r="H7" s="36"/>
      <c r="I7" s="36"/>
    </row>
    <row r="8" spans="2:36" ht="18.600000000000001">
      <c r="C8" s="9" t="s">
        <v>9</v>
      </c>
      <c r="D8" s="9" t="s">
        <v>10</v>
      </c>
      <c r="E8" s="9"/>
      <c r="F8" s="9"/>
      <c r="I8" s="24" t="s">
        <v>11</v>
      </c>
    </row>
    <row r="9" spans="2:36">
      <c r="C9" s="9" t="s">
        <v>12</v>
      </c>
      <c r="D9" s="9" t="s">
        <v>13</v>
      </c>
      <c r="E9" s="9"/>
      <c r="F9" s="9"/>
    </row>
    <row r="11" spans="2:36" s="10" customFormat="1" ht="54" customHeight="1" thickBot="1"/>
    <row r="12" spans="2:36" s="10" customFormat="1" ht="61.5" customHeight="1" thickBot="1">
      <c r="B12" s="34" t="s">
        <v>14</v>
      </c>
      <c r="C12" s="35" t="s">
        <v>15</v>
      </c>
      <c r="D12" s="35" t="s">
        <v>16</v>
      </c>
      <c r="E12" s="35" t="s">
        <v>17</v>
      </c>
      <c r="F12" s="35" t="s">
        <v>18</v>
      </c>
      <c r="G12" s="35" t="s">
        <v>19</v>
      </c>
      <c r="H12" s="35" t="s">
        <v>20</v>
      </c>
      <c r="I12" s="35" t="s">
        <v>21</v>
      </c>
      <c r="J12" s="20" t="s">
        <v>22</v>
      </c>
      <c r="K12" s="20" t="s">
        <v>23</v>
      </c>
      <c r="L12" s="20" t="s">
        <v>24</v>
      </c>
      <c r="M12" s="20" t="s">
        <v>25</v>
      </c>
      <c r="N12" s="20" t="s">
        <v>26</v>
      </c>
      <c r="O12" s="20" t="s">
        <v>27</v>
      </c>
      <c r="P12" s="20" t="s">
        <v>28</v>
      </c>
      <c r="Q12" s="20" t="s">
        <v>29</v>
      </c>
      <c r="R12" s="20" t="s">
        <v>30</v>
      </c>
      <c r="S12" s="20" t="s">
        <v>31</v>
      </c>
      <c r="T12" s="20" t="s">
        <v>32</v>
      </c>
      <c r="U12" s="20" t="s">
        <v>33</v>
      </c>
      <c r="V12" s="20" t="s">
        <v>34</v>
      </c>
      <c r="W12" s="20" t="s">
        <v>35</v>
      </c>
      <c r="X12" s="20" t="s">
        <v>36</v>
      </c>
      <c r="Y12" s="20" t="s">
        <v>37</v>
      </c>
      <c r="Z12" s="20" t="s">
        <v>38</v>
      </c>
      <c r="AA12" s="21" t="s">
        <v>39</v>
      </c>
      <c r="AB12" s="16" t="s">
        <v>40</v>
      </c>
      <c r="AC12" s="16" t="s">
        <v>41</v>
      </c>
      <c r="AD12" s="16" t="s">
        <v>42</v>
      </c>
      <c r="AE12" s="17" t="s">
        <v>43</v>
      </c>
      <c r="AF12" s="18" t="s">
        <v>44</v>
      </c>
      <c r="AG12" s="18" t="s">
        <v>45</v>
      </c>
      <c r="AH12" s="18" t="s">
        <v>46</v>
      </c>
      <c r="AI12" s="18" t="s">
        <v>47</v>
      </c>
      <c r="AJ12" s="19" t="s">
        <v>48</v>
      </c>
    </row>
    <row r="13" spans="2:36" ht="36" customHeight="1">
      <c r="B13" s="26" t="s">
        <v>49</v>
      </c>
      <c r="C13" s="30" t="s">
        <v>50</v>
      </c>
      <c r="D13" s="30" t="s">
        <v>51</v>
      </c>
      <c r="E13" s="30" t="s">
        <v>52</v>
      </c>
      <c r="F13" s="30" t="s">
        <v>53</v>
      </c>
      <c r="G13" s="31" t="s">
        <v>54</v>
      </c>
      <c r="H13" s="30" t="s">
        <v>55</v>
      </c>
      <c r="I13" s="31" t="s">
        <v>56</v>
      </c>
      <c r="J13" s="31"/>
      <c r="K13" s="26" t="s">
        <v>57</v>
      </c>
      <c r="L13" s="26" t="s">
        <v>58</v>
      </c>
      <c r="M13" s="26" t="s">
        <v>58</v>
      </c>
      <c r="N13" s="26"/>
      <c r="O13" s="26">
        <v>39</v>
      </c>
      <c r="P13" s="26" t="e">
        <f>[1]!Tableau32[[#This Row],[HJ Dev]]*(25%+25%)</f>
        <v>#REF!</v>
      </c>
      <c r="Q13" s="26" t="e">
        <f>[1]!Tableau32[[#This Row],[HJ Analyse et test]]+[1]!Tableau32[[#This Row],[HJ Dev]]</f>
        <v>#REF!</v>
      </c>
      <c r="R13" s="26" t="e">
        <f>[1]!Tableau32[[#This Row],[Total HJ]]*8</f>
        <v>#REF!</v>
      </c>
      <c r="S13" s="10"/>
      <c r="T13" s="10"/>
      <c r="U13" s="10"/>
      <c r="V13" s="10"/>
      <c r="W13" s="10"/>
      <c r="X13" s="10"/>
      <c r="Y13" s="10"/>
      <c r="Z13" s="10" t="s">
        <v>58</v>
      </c>
      <c r="AA13" s="10"/>
      <c r="AB13" s="26">
        <v>4</v>
      </c>
      <c r="AC13" s="26">
        <f>Tableau3[[#This Row],[HJ Dev]]*(50%+25%)</f>
        <v>3</v>
      </c>
      <c r="AD13" s="26">
        <f>Tableau3[[#This Row],[HJ Dev]]+Tableau3[[#This Row],[HJ Analyse et test]]</f>
        <v>7</v>
      </c>
      <c r="AE13" s="10"/>
      <c r="AF13" s="10"/>
      <c r="AG13" s="10"/>
      <c r="AH13" s="10"/>
      <c r="AI13" s="10"/>
      <c r="AJ13" s="10"/>
    </row>
    <row r="14" spans="2:36" ht="29.1">
      <c r="B14" s="26" t="s">
        <v>59</v>
      </c>
      <c r="C14" s="26" t="s">
        <v>60</v>
      </c>
      <c r="D14" s="26" t="s">
        <v>51</v>
      </c>
      <c r="E14" s="26" t="s">
        <v>52</v>
      </c>
      <c r="F14" s="26" t="s">
        <v>53</v>
      </c>
      <c r="G14" s="28" t="s">
        <v>61</v>
      </c>
      <c r="H14" s="26" t="s">
        <v>55</v>
      </c>
      <c r="I14" s="28" t="s">
        <v>62</v>
      </c>
      <c r="J14" s="28"/>
      <c r="K14" s="26" t="s">
        <v>57</v>
      </c>
      <c r="L14" s="26" t="s">
        <v>58</v>
      </c>
      <c r="M14" s="26" t="s">
        <v>58</v>
      </c>
      <c r="N14" s="26"/>
      <c r="O14" s="26">
        <v>40</v>
      </c>
      <c r="P14" s="26" t="e">
        <f>[1]!Tableau32[[#This Row],[HJ Dev]]*(25%+25%)</f>
        <v>#REF!</v>
      </c>
      <c r="Q14" s="26" t="e">
        <f>[1]!Tableau32[[#This Row],[HJ Analyse et test]]+[1]!Tableau32[[#This Row],[HJ Dev]]</f>
        <v>#REF!</v>
      </c>
      <c r="R14" s="26" t="e">
        <f>[1]!Tableau32[[#This Row],[Total HJ]]*8</f>
        <v>#REF!</v>
      </c>
      <c r="S14" s="10"/>
      <c r="T14" s="10"/>
      <c r="U14" s="10"/>
      <c r="V14" s="10"/>
      <c r="W14" s="10"/>
      <c r="X14" s="10"/>
      <c r="Y14" s="10"/>
      <c r="Z14" s="10" t="s">
        <v>58</v>
      </c>
      <c r="AA14" s="10"/>
      <c r="AB14" s="26">
        <v>3</v>
      </c>
      <c r="AC14" s="26">
        <f>Tableau3[[#This Row],[HJ Dev]]*(50%+25%)</f>
        <v>2.25</v>
      </c>
      <c r="AD14" s="26">
        <f>Tableau3[[#This Row],[HJ Dev]]+Tableau3[[#This Row],[HJ Analyse et test]]</f>
        <v>5.25</v>
      </c>
      <c r="AE14" s="10"/>
      <c r="AF14" s="10"/>
      <c r="AG14" s="10"/>
      <c r="AH14" s="10"/>
      <c r="AI14" s="10"/>
      <c r="AJ14" s="10"/>
    </row>
    <row r="15" spans="2:36" ht="29.1">
      <c r="B15" s="26" t="s">
        <v>63</v>
      </c>
      <c r="C15" s="26" t="s">
        <v>64</v>
      </c>
      <c r="D15" s="26" t="s">
        <v>51</v>
      </c>
      <c r="E15" s="26" t="s">
        <v>52</v>
      </c>
      <c r="F15" s="26" t="s">
        <v>53</v>
      </c>
      <c r="G15" s="28" t="s">
        <v>65</v>
      </c>
      <c r="H15" s="26" t="s">
        <v>55</v>
      </c>
      <c r="I15" s="28" t="s">
        <v>66</v>
      </c>
      <c r="J15" s="28"/>
      <c r="K15" s="26" t="s">
        <v>57</v>
      </c>
      <c r="L15" s="26" t="s">
        <v>58</v>
      </c>
      <c r="M15" s="26" t="s">
        <v>58</v>
      </c>
      <c r="N15" s="26"/>
      <c r="O15" s="26">
        <v>41</v>
      </c>
      <c r="P15" s="26" t="e">
        <f>[1]!Tableau32[[#This Row],[HJ Dev]]*(25%+25%)</f>
        <v>#REF!</v>
      </c>
      <c r="Q15" s="26" t="e">
        <f>[1]!Tableau32[[#This Row],[HJ Analyse et test]]+[1]!Tableau32[[#This Row],[HJ Dev]]</f>
        <v>#REF!</v>
      </c>
      <c r="R15" s="26" t="e">
        <f>[1]!Tableau32[[#This Row],[Total HJ]]*8</f>
        <v>#REF!</v>
      </c>
      <c r="S15" s="10"/>
      <c r="T15" s="10"/>
      <c r="U15" s="10"/>
      <c r="V15" s="10"/>
      <c r="W15" s="10"/>
      <c r="X15" s="10"/>
      <c r="Y15" s="10"/>
      <c r="Z15" s="10" t="s">
        <v>58</v>
      </c>
      <c r="AA15" s="10"/>
      <c r="AB15" s="26">
        <v>3</v>
      </c>
      <c r="AC15" s="26">
        <f>Tableau3[[#This Row],[HJ Dev]]*(50%+25%)</f>
        <v>2.25</v>
      </c>
      <c r="AD15" s="26">
        <f>Tableau3[[#This Row],[HJ Dev]]+Tableau3[[#This Row],[HJ Analyse et test]]</f>
        <v>5.25</v>
      </c>
      <c r="AE15" s="10"/>
      <c r="AF15" s="10"/>
      <c r="AG15" s="10"/>
      <c r="AH15" s="10"/>
      <c r="AI15" s="10"/>
      <c r="AJ15" s="10"/>
    </row>
    <row r="16" spans="2:36" ht="29.1">
      <c r="B16" s="26" t="s">
        <v>67</v>
      </c>
      <c r="C16" s="26" t="s">
        <v>68</v>
      </c>
      <c r="D16" s="26" t="s">
        <v>51</v>
      </c>
      <c r="E16" s="26" t="s">
        <v>52</v>
      </c>
      <c r="F16" s="26" t="s">
        <v>53</v>
      </c>
      <c r="G16" s="28" t="s">
        <v>69</v>
      </c>
      <c r="H16" s="26" t="s">
        <v>55</v>
      </c>
      <c r="I16" s="28" t="s">
        <v>70</v>
      </c>
      <c r="J16" s="28"/>
      <c r="K16" s="26" t="s">
        <v>57</v>
      </c>
      <c r="L16" s="26" t="s">
        <v>58</v>
      </c>
      <c r="M16" s="26" t="s">
        <v>58</v>
      </c>
      <c r="N16" s="26"/>
      <c r="O16" s="26">
        <v>42</v>
      </c>
      <c r="P16" s="26" t="e">
        <f>[1]!Tableau32[[#This Row],[HJ Dev]]*(25%+25%)</f>
        <v>#REF!</v>
      </c>
      <c r="Q16" s="26" t="e">
        <f>[1]!Tableau32[[#This Row],[HJ Analyse et test]]+[1]!Tableau32[[#This Row],[HJ Dev]]</f>
        <v>#REF!</v>
      </c>
      <c r="R16" s="26" t="e">
        <f>[1]!Tableau32[[#This Row],[Total HJ]]*8</f>
        <v>#REF!</v>
      </c>
      <c r="S16" s="10"/>
      <c r="T16" s="10"/>
      <c r="U16" s="10"/>
      <c r="V16" s="10"/>
      <c r="W16" s="10"/>
      <c r="X16" s="10"/>
      <c r="Y16" s="10"/>
      <c r="Z16" s="10" t="s">
        <v>58</v>
      </c>
      <c r="AA16" s="10"/>
      <c r="AB16" s="26">
        <v>4</v>
      </c>
      <c r="AC16" s="26">
        <f>Tableau3[[#This Row],[HJ Dev]]*(50%+25%)</f>
        <v>3</v>
      </c>
      <c r="AD16" s="26">
        <f>Tableau3[[#This Row],[HJ Dev]]+Tableau3[[#This Row],[HJ Analyse et test]]</f>
        <v>7</v>
      </c>
      <c r="AE16" s="10"/>
      <c r="AF16" s="10"/>
      <c r="AG16" s="10"/>
      <c r="AH16" s="10"/>
      <c r="AI16" s="10"/>
      <c r="AJ16" s="10"/>
    </row>
    <row r="17" spans="2:36" ht="29.1">
      <c r="B17" s="26" t="s">
        <v>71</v>
      </c>
      <c r="C17" s="26" t="s">
        <v>72</v>
      </c>
      <c r="D17" s="26" t="s">
        <v>51</v>
      </c>
      <c r="E17" s="26" t="s">
        <v>52</v>
      </c>
      <c r="F17" s="26" t="s">
        <v>53</v>
      </c>
      <c r="G17" s="28" t="s">
        <v>73</v>
      </c>
      <c r="H17" s="26" t="s">
        <v>55</v>
      </c>
      <c r="I17" s="28" t="s">
        <v>74</v>
      </c>
      <c r="J17" s="28"/>
      <c r="K17" s="26" t="s">
        <v>57</v>
      </c>
      <c r="L17" s="26" t="s">
        <v>58</v>
      </c>
      <c r="M17" s="26" t="s">
        <v>58</v>
      </c>
      <c r="N17" s="26"/>
      <c r="O17" s="26">
        <v>43</v>
      </c>
      <c r="P17" s="26" t="e">
        <f>[1]!Tableau32[[#This Row],[HJ Dev]]*(25%+25%)</f>
        <v>#REF!</v>
      </c>
      <c r="Q17" s="26" t="e">
        <f>[1]!Tableau32[[#This Row],[HJ Analyse et test]]+[1]!Tableau32[[#This Row],[HJ Dev]]</f>
        <v>#REF!</v>
      </c>
      <c r="R17" s="26" t="e">
        <f>[1]!Tableau32[[#This Row],[Total HJ]]*8</f>
        <v>#REF!</v>
      </c>
      <c r="S17" s="10"/>
      <c r="T17" s="10"/>
      <c r="U17" s="10"/>
      <c r="V17" s="10"/>
      <c r="W17" s="10"/>
      <c r="X17" s="10"/>
      <c r="Y17" s="10"/>
      <c r="Z17" s="10" t="s">
        <v>58</v>
      </c>
      <c r="AA17" s="10"/>
      <c r="AB17" s="26">
        <v>4</v>
      </c>
      <c r="AC17" s="26">
        <f>Tableau3[[#This Row],[HJ Dev]]*(50%+25%)</f>
        <v>3</v>
      </c>
      <c r="AD17" s="26">
        <f>Tableau3[[#This Row],[HJ Dev]]+Tableau3[[#This Row],[HJ Analyse et test]]</f>
        <v>7</v>
      </c>
      <c r="AE17" s="10"/>
      <c r="AF17" s="10"/>
      <c r="AG17" s="10"/>
      <c r="AH17" s="10"/>
      <c r="AI17" s="10"/>
      <c r="AJ17" s="10"/>
    </row>
    <row r="18" spans="2:36" ht="29.1">
      <c r="B18" s="26" t="s">
        <v>75</v>
      </c>
      <c r="C18" s="26" t="s">
        <v>76</v>
      </c>
      <c r="D18" s="26" t="s">
        <v>51</v>
      </c>
      <c r="E18" s="26" t="s">
        <v>77</v>
      </c>
      <c r="F18" s="26" t="s">
        <v>53</v>
      </c>
      <c r="G18" s="28" t="s">
        <v>78</v>
      </c>
      <c r="H18" s="26" t="s">
        <v>55</v>
      </c>
      <c r="I18" s="29" t="s">
        <v>79</v>
      </c>
      <c r="J18" s="29"/>
      <c r="K18" s="26" t="s">
        <v>57</v>
      </c>
      <c r="L18" s="26" t="s">
        <v>58</v>
      </c>
      <c r="M18" s="26" t="s">
        <v>58</v>
      </c>
      <c r="N18" s="26"/>
      <c r="O18" s="26">
        <v>44</v>
      </c>
      <c r="P18" s="26" t="e">
        <f>[1]!Tableau32[[#This Row],[HJ Dev]]*(25%+25%)</f>
        <v>#REF!</v>
      </c>
      <c r="Q18" s="26" t="e">
        <f>[1]!Tableau32[[#This Row],[HJ Analyse et test]]+[1]!Tableau32[[#This Row],[HJ Dev]]</f>
        <v>#REF!</v>
      </c>
      <c r="R18" s="26" t="e">
        <f>[1]!Tableau32[[#This Row],[Total HJ]]*8</f>
        <v>#REF!</v>
      </c>
      <c r="S18" s="10"/>
      <c r="T18" s="10"/>
      <c r="U18" s="10"/>
      <c r="V18" s="10"/>
      <c r="W18" s="10"/>
      <c r="X18" s="10"/>
      <c r="Y18" s="10"/>
      <c r="Z18" s="10" t="s">
        <v>58</v>
      </c>
      <c r="AA18" s="10"/>
      <c r="AB18" s="26">
        <v>3</v>
      </c>
      <c r="AC18" s="26">
        <f>Tableau3[[#This Row],[HJ Dev]]*(50%+25%)</f>
        <v>2.25</v>
      </c>
      <c r="AD18" s="26">
        <f>Tableau3[[#This Row],[HJ Dev]]+Tableau3[[#This Row],[HJ Analyse et test]]</f>
        <v>5.25</v>
      </c>
      <c r="AE18" s="10"/>
      <c r="AF18" s="10"/>
      <c r="AG18" s="10"/>
      <c r="AH18" s="10"/>
      <c r="AI18" s="10"/>
      <c r="AJ18" s="10"/>
    </row>
    <row r="19" spans="2:36" ht="26.1">
      <c r="B19" s="26" t="s">
        <v>80</v>
      </c>
      <c r="C19" s="10" t="s">
        <v>81</v>
      </c>
      <c r="D19" s="10" t="s">
        <v>51</v>
      </c>
      <c r="E19" s="10" t="s">
        <v>52</v>
      </c>
      <c r="F19" s="10" t="s">
        <v>53</v>
      </c>
      <c r="G19" s="28" t="s">
        <v>82</v>
      </c>
      <c r="H19" s="10" t="s">
        <v>55</v>
      </c>
      <c r="I19" s="26" t="s">
        <v>83</v>
      </c>
      <c r="J19" s="26"/>
      <c r="K19" s="26" t="s">
        <v>57</v>
      </c>
      <c r="L19" s="26" t="s">
        <v>58</v>
      </c>
      <c r="M19" s="26" t="s">
        <v>58</v>
      </c>
      <c r="N19" s="26"/>
      <c r="O19" s="26">
        <v>45</v>
      </c>
      <c r="P19" s="26" t="e">
        <f>[1]!Tableau32[[#This Row],[HJ Dev]]*(25%+25%)</f>
        <v>#REF!</v>
      </c>
      <c r="Q19" s="26" t="e">
        <f>[1]!Tableau32[[#This Row],[HJ Analyse et test]]+[1]!Tableau32[[#This Row],[HJ Dev]]</f>
        <v>#REF!</v>
      </c>
      <c r="R19" s="26" t="e">
        <f>[1]!Tableau32[[#This Row],[Total HJ]]*8</f>
        <v>#REF!</v>
      </c>
      <c r="S19" s="10"/>
      <c r="T19" s="10"/>
      <c r="U19" s="10"/>
      <c r="V19" s="10"/>
      <c r="W19" s="10"/>
      <c r="X19" s="10"/>
      <c r="Y19" s="10"/>
      <c r="Z19" s="10" t="s">
        <v>58</v>
      </c>
      <c r="AA19" s="10"/>
      <c r="AB19" s="26">
        <v>3</v>
      </c>
      <c r="AC19" s="26">
        <f>Tableau3[[#This Row],[HJ Dev]]*(50%+25%)</f>
        <v>2.25</v>
      </c>
      <c r="AD19" s="26">
        <f>Tableau3[[#This Row],[HJ Dev]]+Tableau3[[#This Row],[HJ Analyse et test]]</f>
        <v>5.25</v>
      </c>
      <c r="AE19" s="10"/>
      <c r="AF19" s="10"/>
      <c r="AG19" s="10"/>
      <c r="AH19" s="10"/>
      <c r="AI19" s="10"/>
      <c r="AJ19" s="10"/>
    </row>
    <row r="20" spans="2:36" ht="29.1">
      <c r="B20" s="26" t="s">
        <v>84</v>
      </c>
      <c r="C20" s="32" t="s">
        <v>85</v>
      </c>
      <c r="D20" s="32" t="s">
        <v>51</v>
      </c>
      <c r="E20" s="32" t="s">
        <v>52</v>
      </c>
      <c r="F20" s="32" t="s">
        <v>53</v>
      </c>
      <c r="G20" s="33" t="s">
        <v>86</v>
      </c>
      <c r="H20" s="32" t="s">
        <v>55</v>
      </c>
      <c r="I20" s="33" t="s">
        <v>87</v>
      </c>
      <c r="J20" s="33"/>
      <c r="K20" s="26" t="s">
        <v>57</v>
      </c>
      <c r="L20" s="26" t="s">
        <v>58</v>
      </c>
      <c r="M20" s="26" t="s">
        <v>58</v>
      </c>
      <c r="N20" s="26"/>
      <c r="O20" s="26">
        <v>46</v>
      </c>
      <c r="P20" s="26" t="e">
        <f>[1]!Tableau32[[#This Row],[HJ Dev]]*(25%+25%)</f>
        <v>#REF!</v>
      </c>
      <c r="Q20" s="26" t="e">
        <f>[1]!Tableau32[[#This Row],[HJ Analyse et test]]+[1]!Tableau32[[#This Row],[HJ Dev]]</f>
        <v>#REF!</v>
      </c>
      <c r="R20" s="26" t="e">
        <f>[1]!Tableau32[[#This Row],[Total HJ]]*8</f>
        <v>#REF!</v>
      </c>
      <c r="S20" s="10"/>
      <c r="T20" s="10"/>
      <c r="U20" s="10"/>
      <c r="V20" s="10"/>
      <c r="W20" s="10"/>
      <c r="X20" s="10"/>
      <c r="Y20" s="10"/>
      <c r="Z20" s="10" t="s">
        <v>58</v>
      </c>
      <c r="AA20" s="10"/>
      <c r="AB20" s="26">
        <v>4</v>
      </c>
      <c r="AC20" s="26">
        <f>Tableau3[[#This Row],[HJ Dev]]*(50%+25%)</f>
        <v>3</v>
      </c>
      <c r="AD20" s="26">
        <f>Tableau3[[#This Row],[HJ Dev]]+Tableau3[[#This Row],[HJ Analyse et test]]</f>
        <v>7</v>
      </c>
      <c r="AE20" s="10"/>
      <c r="AF20" s="10"/>
      <c r="AG20" s="10"/>
      <c r="AH20" s="10"/>
      <c r="AI20" s="10"/>
      <c r="AJ20" s="10"/>
    </row>
    <row r="21" spans="2:36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>
        <f>SUBTOTAL(109,AB13:AB20)</f>
        <v>28</v>
      </c>
      <c r="AC21" s="10">
        <f>SUBTOTAL(109,AC13:AC20)</f>
        <v>21</v>
      </c>
      <c r="AD21" s="27">
        <f>SUBTOTAL(109,AD13:AD20)</f>
        <v>49</v>
      </c>
      <c r="AE21" s="10"/>
      <c r="AF21" s="10"/>
      <c r="AG21" s="10"/>
      <c r="AH21" s="10"/>
      <c r="AI21" s="10"/>
      <c r="AJ21" s="10"/>
    </row>
    <row r="22" spans="2:36" ht="12.75"/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2">
    <dataValidation type="whole" operator="greaterThanOrEqual" allowBlank="1" showInputMessage="1" showErrorMessage="1" sqref="O13:R20 AE13:AE20" xr:uid="{10E2E794-3894-4CC1-AB1A-9BB5BF41EABB}">
      <formula1>0</formula1>
    </dataValidation>
    <dataValidation type="decimal" operator="greaterThanOrEqual" allowBlank="1" showInputMessage="1" showErrorMessage="1" sqref="AB13:AD20" xr:uid="{F2A6A162-65AE-4345-AEBF-FABC27A4C8FA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AA13:AA20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defaultColWidth="11.42578125" defaultRowHeight="14.45"/>
  <cols>
    <col min="1" max="1" width="16.5703125" style="2" customWidth="1"/>
    <col min="2" max="2" width="19.5703125" style="2" customWidth="1"/>
    <col min="3" max="3" width="11.42578125" style="2"/>
    <col min="4" max="4" width="67.85546875" style="2" customWidth="1"/>
    <col min="5" max="5" width="15.85546875" style="2" customWidth="1"/>
    <col min="6" max="6" width="21.140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88</v>
      </c>
      <c r="B3" s="45" t="s">
        <v>0</v>
      </c>
      <c r="C3" s="46"/>
      <c r="D3" s="46"/>
      <c r="E3" s="46"/>
      <c r="F3" s="46"/>
      <c r="G3" s="47"/>
    </row>
    <row r="4" spans="1:7">
      <c r="B4" s="4"/>
      <c r="C4" s="5"/>
      <c r="D4" s="5"/>
      <c r="E4" s="5"/>
      <c r="F4" s="5"/>
      <c r="G4" s="5"/>
    </row>
    <row r="5" spans="1:7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>
      <c r="B6" s="4" t="str">
        <f>'Gestion Exigences'!C5</f>
        <v>Projet</v>
      </c>
      <c r="C6" s="13" t="str">
        <f>'Gestion Exigences'!D5</f>
        <v>Digitalisation Usine Cogitel</v>
      </c>
      <c r="D6" s="5"/>
      <c r="E6" s="5"/>
      <c r="F6" s="5"/>
      <c r="G6" s="5"/>
    </row>
    <row r="7" spans="1:7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>
      <c r="B11" s="4"/>
      <c r="C11" s="5"/>
      <c r="D11" s="5"/>
      <c r="E11" s="5"/>
      <c r="F11" s="5"/>
      <c r="G11" s="5"/>
    </row>
    <row r="12" spans="1:7">
      <c r="B12" s="4"/>
      <c r="C12" s="5"/>
      <c r="D12" s="5"/>
      <c r="E12" s="5"/>
      <c r="F12" s="5"/>
      <c r="G12" s="5"/>
    </row>
    <row r="13" spans="1:7">
      <c r="B13" s="15" t="s">
        <v>89</v>
      </c>
      <c r="C13" s="15" t="s">
        <v>90</v>
      </c>
      <c r="D13" s="15" t="s">
        <v>91</v>
      </c>
      <c r="E13" s="15" t="s">
        <v>92</v>
      </c>
      <c r="F13" s="15" t="s">
        <v>93</v>
      </c>
      <c r="G13" s="15" t="s">
        <v>94</v>
      </c>
    </row>
    <row r="14" spans="1:7">
      <c r="B14" s="6" t="s">
        <v>95</v>
      </c>
      <c r="C14" s="7">
        <v>44741</v>
      </c>
      <c r="D14" s="23" t="s">
        <v>96</v>
      </c>
      <c r="E14" s="6" t="s">
        <v>97</v>
      </c>
      <c r="F14" s="22" t="s">
        <v>98</v>
      </c>
      <c r="G14" s="6" t="s">
        <v>99</v>
      </c>
    </row>
    <row r="15" spans="1:7">
      <c r="B15" s="2" t="s">
        <v>100</v>
      </c>
      <c r="C15" s="25">
        <v>44978</v>
      </c>
      <c r="D15" s="2" t="s">
        <v>101</v>
      </c>
      <c r="E15" s="6" t="s">
        <v>97</v>
      </c>
      <c r="F15" s="2" t="s">
        <v>58</v>
      </c>
      <c r="G15" s="2" t="s">
        <v>99</v>
      </c>
    </row>
    <row r="16" spans="1:7" ht="57.95">
      <c r="B16" s="2" t="s">
        <v>102</v>
      </c>
      <c r="C16" s="25">
        <v>45021</v>
      </c>
      <c r="D16" s="26" t="s">
        <v>103</v>
      </c>
      <c r="E16" s="6" t="s">
        <v>97</v>
      </c>
      <c r="F16" s="26" t="s">
        <v>104</v>
      </c>
      <c r="G16" s="26" t="s">
        <v>99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defaultColWidth="11.42578125" defaultRowHeight="12.95"/>
  <cols>
    <col min="1" max="1" width="11.42578125" style="10"/>
    <col min="2" max="3" width="19.85546875" style="10" customWidth="1"/>
    <col min="4" max="4" width="21.5703125" style="10" customWidth="1"/>
    <col min="5" max="5" width="11.42578125" style="10"/>
    <col min="6" max="6" width="16.140625" style="10" customWidth="1"/>
    <col min="7" max="16384" width="11.42578125" style="10"/>
  </cols>
  <sheetData>
    <row r="2" spans="2:8" ht="26.1">
      <c r="B2" s="11" t="s">
        <v>16</v>
      </c>
      <c r="C2" s="11" t="s">
        <v>105</v>
      </c>
      <c r="D2" s="11" t="s">
        <v>20</v>
      </c>
      <c r="E2" s="11" t="s">
        <v>106</v>
      </c>
      <c r="F2" s="11" t="s">
        <v>39</v>
      </c>
      <c r="G2" s="11" t="s">
        <v>107</v>
      </c>
      <c r="H2" s="11" t="s">
        <v>17</v>
      </c>
    </row>
    <row r="3" spans="2:8">
      <c r="B3" s="10" t="s">
        <v>51</v>
      </c>
      <c r="C3" s="10" t="s">
        <v>53</v>
      </c>
      <c r="D3" s="10" t="s">
        <v>108</v>
      </c>
      <c r="E3" s="10" t="s">
        <v>109</v>
      </c>
      <c r="F3" s="10" t="s">
        <v>110</v>
      </c>
      <c r="G3" s="10" t="s">
        <v>57</v>
      </c>
      <c r="H3" s="10" t="s">
        <v>111</v>
      </c>
    </row>
    <row r="4" spans="2:8" ht="26.1">
      <c r="B4" s="10" t="s">
        <v>112</v>
      </c>
      <c r="C4" s="10" t="s">
        <v>113</v>
      </c>
      <c r="D4" s="10" t="s">
        <v>114</v>
      </c>
      <c r="E4" s="10" t="s">
        <v>115</v>
      </c>
      <c r="F4" s="10" t="s">
        <v>116</v>
      </c>
      <c r="G4" s="10" t="s">
        <v>117</v>
      </c>
      <c r="H4" s="10" t="s">
        <v>118</v>
      </c>
    </row>
    <row r="5" spans="2:8">
      <c r="B5" s="10" t="s">
        <v>119</v>
      </c>
      <c r="C5" s="10" t="s">
        <v>120</v>
      </c>
      <c r="D5" s="10" t="s">
        <v>55</v>
      </c>
      <c r="E5" s="10" t="s">
        <v>121</v>
      </c>
      <c r="H5" s="10" t="s">
        <v>122</v>
      </c>
    </row>
    <row r="6" spans="2:8">
      <c r="B6" s="10" t="s">
        <v>123</v>
      </c>
      <c r="C6" s="10" t="s">
        <v>124</v>
      </c>
      <c r="D6" s="10" t="s">
        <v>125</v>
      </c>
      <c r="H6" s="10" t="s">
        <v>126</v>
      </c>
    </row>
    <row r="7" spans="2:8">
      <c r="B7" s="10" t="s">
        <v>127</v>
      </c>
      <c r="C7" s="10" t="s">
        <v>128</v>
      </c>
      <c r="D7" s="10" t="s">
        <v>129</v>
      </c>
      <c r="H7" s="10" t="s">
        <v>130</v>
      </c>
    </row>
    <row r="8" spans="2:8">
      <c r="B8" s="10" t="s">
        <v>131</v>
      </c>
      <c r="D8" s="10" t="s">
        <v>132</v>
      </c>
      <c r="H8" s="10" t="s">
        <v>133</v>
      </c>
    </row>
    <row r="9" spans="2:8">
      <c r="D9" s="10" t="s">
        <v>134</v>
      </c>
      <c r="H9" s="10" t="s">
        <v>135</v>
      </c>
    </row>
    <row r="10" spans="2:8">
      <c r="H10" s="10" t="s">
        <v>136</v>
      </c>
    </row>
    <row r="11" spans="2:8">
      <c r="H11" s="10" t="s">
        <v>137</v>
      </c>
    </row>
    <row r="13" spans="2:8">
      <c r="H13" s="10" t="s">
        <v>138</v>
      </c>
    </row>
    <row r="14" spans="2:8">
      <c r="H14" s="10" t="s">
        <v>139</v>
      </c>
    </row>
    <row r="15" spans="2:8" ht="26.1">
      <c r="H15" s="10" t="s">
        <v>52</v>
      </c>
    </row>
    <row r="16" spans="2:8" ht="39">
      <c r="H16" s="10" t="s">
        <v>140</v>
      </c>
    </row>
    <row r="17" spans="8:8" ht="26.1">
      <c r="H17" s="10" t="s">
        <v>77</v>
      </c>
    </row>
    <row r="18" spans="8:8">
      <c r="H18" s="10" t="s">
        <v>141</v>
      </c>
    </row>
    <row r="19" spans="8:8">
      <c r="H19" s="10" t="s">
        <v>142</v>
      </c>
    </row>
    <row r="21" spans="8:8">
      <c r="H21" s="10" t="s">
        <v>143</v>
      </c>
    </row>
    <row r="22" spans="8:8" ht="39">
      <c r="H22" s="10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03822-DF13-4051-A489-72B75648E37A}"/>
</file>

<file path=customXml/itemProps2.xml><?xml version="1.0" encoding="utf-8"?>
<ds:datastoreItem xmlns:ds="http://schemas.openxmlformats.org/officeDocument/2006/customXml" ds:itemID="{41559C88-E4DB-4D5B-BC1C-791904B7873E}"/>
</file>

<file path=customXml/itemProps3.xml><?xml version="1.0" encoding="utf-8"?>
<ds:datastoreItem xmlns:ds="http://schemas.openxmlformats.org/officeDocument/2006/customXml" ds:itemID="{431C8B5B-7A06-4686-9F8A-E8F24EEC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2024-12-23T13:11:33Z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