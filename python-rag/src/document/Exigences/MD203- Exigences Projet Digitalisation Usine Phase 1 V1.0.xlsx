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momsoftware.sharepoint.com/sites/Commercial/Documents partages/06 Prospects/035 F4T/20 Digitalisation Usine  Phase 1/2 Préparation Offre/"/>
    </mc:Choice>
  </mc:AlternateContent>
  <xr:revisionPtr revIDLastSave="2" documentId="8_{E9055D70-1EC1-4F95-B6E4-C6B177AE14BE}" xr6:coauthVersionLast="47" xr6:coauthVersionMax="47" xr10:uidLastSave="{7741B09D-5A3D-4694-B26D-F2DD5A0C940B}"/>
  <bookViews>
    <workbookView xWindow="-110" yWindow="-110" windowWidth="19420" windowHeight="10300" tabRatio="620"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Exigences'!$C$2:$I$23</definedName>
    <definedName name="_xlnm.Print_Area" localSheetId="2">'Modifs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7" i="27" l="1"/>
  <c r="P27" i="27" s="1"/>
  <c r="O29" i="27"/>
  <c r="P29" i="27" s="1"/>
  <c r="O28" i="27"/>
  <c r="P28" i="27" s="1"/>
  <c r="O16" i="27"/>
  <c r="P16" i="27" s="1"/>
  <c r="O17" i="27"/>
  <c r="P17" i="27" s="1"/>
  <c r="O18" i="27"/>
  <c r="P18" i="27" s="1"/>
  <c r="O19" i="27"/>
  <c r="P19" i="27" s="1"/>
  <c r="O20" i="27"/>
  <c r="P20" i="27" s="1"/>
  <c r="O21" i="27"/>
  <c r="P21" i="27" s="1"/>
  <c r="O25" i="27"/>
  <c r="P25" i="27" s="1"/>
  <c r="O24" i="27"/>
  <c r="P24" i="27" s="1"/>
  <c r="O22" i="27"/>
  <c r="P22" i="27" s="1"/>
  <c r="O26" i="27" l="1"/>
  <c r="P26" i="27" s="1"/>
  <c r="O30" i="27"/>
  <c r="P30" i="27" s="1"/>
  <c r="O31" i="27"/>
  <c r="P31" i="27" s="1"/>
  <c r="O32" i="27"/>
  <c r="P32" i="27" s="1"/>
  <c r="O33" i="27"/>
  <c r="P33" i="27" s="1"/>
  <c r="O34" i="27"/>
  <c r="P34" i="27" s="1"/>
  <c r="O35" i="27"/>
  <c r="P35" i="27" s="1"/>
  <c r="O36" i="27"/>
  <c r="P36" i="27" s="1"/>
  <c r="O37" i="27"/>
  <c r="P37" i="27" s="1"/>
  <c r="O38" i="27"/>
  <c r="P38" i="27" s="1"/>
  <c r="O14" i="27"/>
  <c r="P14" i="27" s="1"/>
  <c r="O15" i="27"/>
  <c r="P15" i="27" s="1"/>
  <c r="O23" i="27"/>
  <c r="P23" i="27" s="1"/>
  <c r="D5" i="29"/>
  <c r="D6" i="29"/>
  <c r="D7" i="29"/>
  <c r="D8" i="29"/>
  <c r="C10" i="29"/>
  <c r="C11" i="29"/>
  <c r="B6" i="29"/>
  <c r="B7" i="29"/>
  <c r="B8" i="29"/>
  <c r="B10" i="29"/>
  <c r="B11" i="29"/>
  <c r="B5" i="29"/>
  <c r="P39" i="27" l="1"/>
</calcChain>
</file>

<file path=xl/sharedStrings.xml><?xml version="1.0" encoding="utf-8"?>
<sst xmlns="http://schemas.openxmlformats.org/spreadsheetml/2006/main" count="516" uniqueCount="209">
  <si>
    <t>Gestion Exigences Projet</t>
  </si>
  <si>
    <t>Chiffrage Réalisation (SF only)</t>
  </si>
  <si>
    <t>Revue et Vérification Pendant la Conception</t>
  </si>
  <si>
    <t>BU</t>
  </si>
  <si>
    <t>A définir</t>
  </si>
  <si>
    <t>Client</t>
  </si>
  <si>
    <t>Projet</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</si>
  <si>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</si>
  <si>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</si>
  <si>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</si>
  <si>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</si>
  <si>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</si>
  <si>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</si>
  <si>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</si>
  <si>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</si>
  <si>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</si>
  <si>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</si>
  <si>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</si>
  <si>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</si>
  <si>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</si>
  <si>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</si>
  <si>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</si>
  <si>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</si>
  <si>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</si>
  <si>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</si>
  <si>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</si>
  <si>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</si>
  <si>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</si>
  <si>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</si>
  <si>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</si>
  <si>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</si>
  <si>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</si>
  <si>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</si>
  <si>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</si>
  <si>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</si>
  <si>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</si>
  <si>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</si>
  <si>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</si>
  <si>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N/A</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</si>
  <si>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</si>
  <si>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</si>
  <si>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</si>
  <si>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</si>
  <si>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</si>
  <si>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</si>
  <si>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</si>
  <si>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</si>
  <si>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</si>
  <si>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</si>
  <si>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</si>
  <si>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</si>
  <si>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</si>
  <si>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</si>
  <si>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Fonctionnelle</t>
  </si>
  <si>
    <t>Commerciale</t>
  </si>
  <si>
    <t>CdC client</t>
  </si>
  <si>
    <t>Oui</t>
  </si>
  <si>
    <t>Validée par le client</t>
  </si>
  <si>
    <t>Validée</t>
  </si>
  <si>
    <t>Performance</t>
  </si>
  <si>
    <t>Conception</t>
  </si>
  <si>
    <t>Workshop/réunion client</t>
  </si>
  <si>
    <t>Non</t>
  </si>
  <si>
    <t>Non validée par client</t>
  </si>
  <si>
    <t>Non validée</t>
  </si>
  <si>
    <t>Reglementaire</t>
  </si>
  <si>
    <t>Réalisation</t>
  </si>
  <si>
    <t>Workshop/réunion Interne</t>
  </si>
  <si>
    <t>SF</t>
  </si>
  <si>
    <t>Sécurité</t>
  </si>
  <si>
    <t>Mise en œuvre</t>
  </si>
  <si>
    <t>Standards client</t>
  </si>
  <si>
    <t>R&amp;D</t>
  </si>
  <si>
    <t>Standard Client</t>
  </si>
  <si>
    <t>Support et maintenance</t>
  </si>
  <si>
    <t>Reglementation</t>
  </si>
  <si>
    <t>Demande modification</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</si>
  <si>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</si>
  <si>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</si>
  <si>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</si>
  <si>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</si>
  <si>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</si>
  <si>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</si>
  <si>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</si>
  <si>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</si>
  <si>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</si>
  <si>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</si>
  <si>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</si>
  <si>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</si>
  <si>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</si>
  <si>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E009</t>
  </si>
  <si>
    <t>E010</t>
  </si>
  <si>
    <t>E011</t>
  </si>
  <si>
    <t>E012</t>
  </si>
  <si>
    <t>E013</t>
  </si>
  <si>
    <t>E014</t>
  </si>
  <si>
    <t>E015</t>
  </si>
  <si>
    <t>E016</t>
  </si>
  <si>
    <t>E017</t>
  </si>
  <si>
    <t>E018</t>
  </si>
  <si>
    <t>E019</t>
  </si>
  <si>
    <t>E020</t>
  </si>
  <si>
    <t>E021</t>
  </si>
  <si>
    <t>E022</t>
  </si>
  <si>
    <t>E023</t>
  </si>
  <si>
    <t>E024</t>
  </si>
  <si>
    <t>E025</t>
  </si>
  <si>
    <t>Secteur</t>
  </si>
  <si>
    <t>Nombre de ligne de production</t>
  </si>
  <si>
    <t>Nombre de machine</t>
  </si>
  <si>
    <t>Nombre de poste manuel</t>
  </si>
  <si>
    <t>Instruction de travail</t>
  </si>
  <si>
    <t>Tableau de bord</t>
  </si>
  <si>
    <t>Standard MOMSOFT</t>
  </si>
  <si>
    <t>Standards MOMSOFT</t>
  </si>
  <si>
    <t>Desciption de la solution MOMSOFT</t>
  </si>
  <si>
    <t>V1.1</t>
  </si>
  <si>
    <t>Moatez D.</t>
  </si>
  <si>
    <t>Mahdi B.</t>
  </si>
  <si>
    <t xml:space="preserve"> Adaptation des paramètres et du logo</t>
  </si>
  <si>
    <t>V1.2</t>
  </si>
  <si>
    <t xml:space="preserve"> Adaptation du logo</t>
  </si>
  <si>
    <t>F4T</t>
  </si>
  <si>
    <t>Digitalisation Usine Phase 1</t>
  </si>
  <si>
    <t xml:space="preserve">Configuration des données </t>
  </si>
  <si>
    <t>Configuration complète et gestion de l'usine</t>
  </si>
  <si>
    <t xml:space="preserve">Standard </t>
  </si>
  <si>
    <t>La solution offre un Module Core permettant la modélisation, gestion et planification pour une usine connectée:
• Modélisation hiérarchique de l'usine: Sites, ateliers, lignes, postes, machines.
• Gestion des produits.
• Gestion des incidents et défauts: Pannes par machines, défauts par produit.
• Gestion des utilisateurs et des autorisations: Rôles et accès contrôlés.
• Gestion des équipes: Production, qualité, maintenance.
• Planification des lignes et des équipes: Cycles, équipes, calendrier de travail.
• Configuration de l'outillage: Moules, gabarits..
• etc</t>
  </si>
  <si>
    <t>RAS</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</si>
  <si>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</si>
  <si>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</si>
  <si>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</si>
  <si>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</si>
  <si>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E004</t>
  </si>
  <si>
    <t>Gestion et suivi  des ordres de fabrications</t>
  </si>
  <si>
    <t xml:space="preserve">Gérer et suivre les ordres de fabrications </t>
  </si>
  <si>
    <t xml:space="preserve">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
</t>
  </si>
  <si>
    <t>E005</t>
  </si>
  <si>
    <t>Système de collecte de données à partir des machines</t>
  </si>
  <si>
    <t>Collecte et transmission des données des machines en temps réel</t>
  </si>
  <si>
    <t>La solution permet l'acquisition automatique et en temps réel des données de production et d'arrêt, en intégrant directement les équipements de production via des protocoles standardisés spécifiques à chaque machine. Les données collectées incluent les métriques de production en cours et les événements d'arrêt.</t>
  </si>
  <si>
    <t xml:space="preserve">Gestion et suivi de la prodution </t>
  </si>
  <si>
    <t>Déclaration manuelle de la production et des non-conformité et des arrêts en assurant un suivi en temps réel et un historique détaillé.</t>
  </si>
  <si>
    <t>La solution comprend un module de "Gestion de Production" offrant les fonctionnalités suivantes :
• Déclaration manuelle de la production : Enregistrement des quantités produites et des non-conformités pour chaque Ordre de Fabrication (OF), ligne, et produit. avec la possibilité de la déclaration par lot.
• Validation des déclarations :Workflow de validation des déclarations de production avec des niveaux de validation paramétrables 
• Rapports détaillés : Accès à des rapports détaillés sur l'historique de production, incluant les quantités produites, les non-conformités, ainsi que les performances des lignes et des opérateurs.
• Filtrage avancé : Possibilité de filtrer les données par OF, équipe, ligne, produit, et période de production.</t>
  </si>
  <si>
    <t xml:space="preserve">Contrôle Qualité </t>
  </si>
  <si>
    <t>Fournir des listes de contrôle numériques pour garantir la qualité des produits à chaque étape de la production</t>
  </si>
  <si>
    <t xml:space="preserve">la solution offre un module de "Gestion de la qualité" permettant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et à la fin de série.
   Des fiches de contrôle process (SPC) pour le suivi des déviations des critères de mesure.
•Validation et Traçabilité  : 
  Workflow de validation à multi-niveaux des contrôles .
   Archivage des résultats de contrôle
</t>
  </si>
  <si>
    <t>Alarme d'inspection qualité par fréquence</t>
  </si>
  <si>
    <t>Configuration d'alertes automatiques pour planifier et exécuter les inspections qualité selon des fréquences prédéfinies</t>
  </si>
  <si>
    <t>La solution permet d'intégrer un système d'alertes automatiques pour planifier et exécuter les inspections qualité. Ce système offre les fonctionnalités suivantes :
• Configurer les fréquences d'inspection souhaitées et le type de notification.
• Envoyer des notifications/alertes automatiques aux équipes de qualité ou aux opérateurs lorsque les inspections sont dues.
• Générer et afficher des instructions ou check-lists pour les inspections à réaliser, basées sur les critères qualité définis (fiches de suivi de la qualité de production).
• Workflow de validation des fiches de suivi.
• Historiser et suivre les fiches de suivi.</t>
  </si>
  <si>
    <t>Gestion des non-conformité</t>
  </si>
  <si>
    <t>Mise en place de processus pour surveiller et réduire les déchets de composants, de produits semi-finis et finis tout au long du processus de production</t>
  </si>
  <si>
    <t xml:space="preserve">La solution permet de gérer et de suivre les non-conformités à partir de :
• Surveillance des machines : Interfaçage avec des systèmes d'acquisition de données pour détecter automatiquement les non-conformités sur les machines en temps réel.
• Déclaration manuelle des quantités non conformes : Spécification du lieu de détection et décortication des défauts.
• Gestion des rebuts : Enregistrement des quantités non conformes pour élimination, incluant les raisons de la mise au rebut et les coûts associés.
Tout en assurant un suivi en temps réel et un historique détaillé filtré par critères tels que la date, le type de défaut, la machine ou le responsable..
</t>
  </si>
  <si>
    <t>Suivi en temps réel</t>
  </si>
  <si>
    <t>Suivi en temps réel des KPIs</t>
  </si>
  <si>
    <t>La solution offre une supervision de production en temps réel avec le module "Vue 360°" permettant de  : 
• Visualiser l'état des lignes en temps réel avec codification couleur paramétrable.
•Suivire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</si>
  <si>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Analyser la performance historique des lignes de production
Analyser l'évolution des indicateurs clés au cours du temps pour chaque ligne de production.</t>
  </si>
  <si>
    <t xml:space="preserve">la solution offre un tableau de bord fournissant une vue multi-niveaux de la production en utilisant des indicateurs comme TRS, Quantité produite vs Quantité planifiée, Temps d'arrêt vs temps de production, etc.
</t>
  </si>
  <si>
    <t xml:space="preserve">Gestion de la maintenance préventive </t>
  </si>
  <si>
    <t xml:space="preserve">Intégration de fonctionnalités permettant le suivi et la planification des interventions de maintenance, assurant ainsi la disponibilité continue des équipements de production.
</t>
  </si>
  <si>
    <r>
      <t xml:space="preserve">La solution offre un module de "Gestion de la maintenance" permettant  : 
-Le suivi en temps réel et l'historisation des arrêts machines avec les durées et les causes associées.
-L'envoi et la gestion de fiches d'intervention spécifiant les actions à mener suite à une panne des équipements .
- La planification , la gestion et le suivi des ordres de maintenance, incluant la possibilité d'arrêter la production pendant l'intervention.
</t>
    </r>
    <r>
      <rPr>
        <b/>
        <sz val="12"/>
        <color rgb="FFFF0000"/>
        <rFont val="Calibri Light"/>
        <scheme val="major"/>
      </rPr>
      <t xml:space="preserve">
</t>
    </r>
  </si>
  <si>
    <t>Extraction de données</t>
  </si>
  <si>
    <t>Extraction des données de l’ensemble des données des différents modules</t>
  </si>
  <si>
    <t xml:space="preserve">La solution offre la possibilité de l'extraction flexible des données de production, qualité, maintenance, et stock dans des fichiers CSV/Excel à partir des interfaces suivantes : 
• Historique des Arrêts :Durées et causes des arrêts.
• Détail Production et Historique par Shift :Quantités conformes, rebuts, total produit, temps de cycle net et effectif, durées de changement de série, durée de production, TRS.
• Détail Qualité :Défauts et quantités non conformes.
• Résumé OF :Synthèse complète des données de production, qualité, et maintenance par ordre de fabrication (OF).
</t>
  </si>
  <si>
    <t>Mise à disposition de documents électroniques et d'instructions de travail pour guider les opérateurs tout au long du processus de production. Sur les postes critiques de l’unité.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</si>
  <si>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
• Accessibilité : Accès en temps réel aux instructions pour les opérateurs et l'équipe qualité.</t>
  </si>
  <si>
    <t>Gestion de la nomenclature</t>
  </si>
  <si>
    <t xml:space="preserve">Permettre la gestion de la nomenclature </t>
  </si>
  <si>
    <t xml:space="preserve">Ajout d'une interface pour la gestion de la nomenclature  </t>
  </si>
  <si>
    <t xml:space="preserve">Adaptation : 
- Ajout d'une interface qui permet la création, la modificaation et la suppression de la nomenclature.
</t>
  </si>
  <si>
    <t xml:space="preserve">Ajout d'un onglet de nomenclature pour la gestion de la nomenclature dans la gestion des produits  </t>
  </si>
  <si>
    <t xml:space="preserve">Adaptation : 
 dans l'onglet ajouté l'utilisateur peut : 
- Affecter le produit à la nomenclature déjà créée 
- Modifier la nomenclature sélectionnée </t>
  </si>
  <si>
    <t xml:space="preserve">Gestion des opérations </t>
  </si>
  <si>
    <t>Ajout d'une interface pour la gestion des opérations.</t>
  </si>
  <si>
    <t>Gestion de la gamme opératoire</t>
  </si>
  <si>
    <t>Permettre la gestion de la gamme opératoire</t>
  </si>
  <si>
    <t>Ajout d'une interface pour la gestion de la gamme opératoire</t>
  </si>
  <si>
    <t xml:space="preserve">Adaptation : 
- Ajout d'une interface qui permet la création, la modificaation et la suppression de la gamme opératoire
-  La gamme opératoire est sous forme d'un tableau permettant de définir l'ordre des opérations et de modifier leurs paramétres si besoin </t>
  </si>
  <si>
    <t xml:space="preserve">Ajout d'un onglet de  gamme opératoire pour la gestion de la  gamme opératoire dans la gestion des produits  </t>
  </si>
  <si>
    <t xml:space="preserve">Adaptation : 
 dans l'onglet ajouté l'utilisateur peut : 
- Affecter le produit à la  gamme opératoire déjà créée 
- Modifier la  gamme opératoire sélectionnée </t>
  </si>
  <si>
    <t>Chargement des OF planifiés à partir de l'ERP.</t>
  </si>
  <si>
    <t>Chargement des OF planifiés à partir de l'ERP  à travers webservices .</t>
  </si>
  <si>
    <t>Lecture des OF planifiés à travers webservices.</t>
  </si>
  <si>
    <t>Chargement de la nomenclature à partir de l'ERP .</t>
  </si>
  <si>
    <t>Chargement de la nomenclature de l'ERP .</t>
  </si>
  <si>
    <t xml:space="preserve">Adaptation : 
- Créer une méthode de chargement de la nomenclature selon un modèle standard de SF 
</t>
  </si>
  <si>
    <t>Chargement de la gamme opératoire par produit à partir de l'ERP .</t>
  </si>
  <si>
    <t>Chargement  de la gamme par produit apartir de l'ERP .</t>
  </si>
  <si>
    <t>Adaptation : 
- Créer une méthode de chargement de la  gamme opératoire selon le modéle standard de  SF .</t>
  </si>
  <si>
    <t>Renvoi des données réelles de production vers l'ERP.</t>
  </si>
  <si>
    <t>Retour des données réelles de production liée à chaque OF clôturé de SF vers l'ERP  à travers web services</t>
  </si>
  <si>
    <t>Lecture  de la nomenclature r produit apartir de l'ERP.</t>
  </si>
  <si>
    <t>Lecture  de la gamme opératoire par produit  à partir de l'ERP.</t>
  </si>
  <si>
    <t xml:space="preserve">Adaptation webservice de chargement des OF planifiés à partir de l'ERP.
Cette exigence nécessite un travail de collaboration entre l'équipe MOMSOFT et l'équipe ERP.
</t>
  </si>
  <si>
    <t>Permettre la gestion  et le suivi des opérations.</t>
  </si>
  <si>
    <t>Adaptation :
- Ajout d'une interface qui permet la création, la modification et la suppression de l'opération
-Gestion centralisée des opérations:
Gestion et suivi des différents statuts des opérations (planifié, lancé, suspendu.)
Mise à jour en temps réel des statuts
-Gestion des opérations associées à un OF:
Calcul des dates de début et fin prévues pour chaque opération
Suivi d'avancement des opérations
- l'opération est sous forme d'un tableau contenant les champs suivant :
    - Temps opératoire
    - Temps de réglage
    - Temps d'attente : avant et aprés</t>
  </si>
  <si>
    <t>Adaptation web service(s) de retour des données réelles de production liée à chaque OF clôturé de SF vers l' ERP.
Cette exigence nécessite un travail de collaboration entre l'équipe MOMSOFT et l'équipe ERP.</t>
  </si>
  <si>
    <t xml:space="preserve">Retour des données réelles de production liée à chaque OF clôturé de SF vers l'ERP à travers web services : 
- Quantité produite ,quantité NOK, temps de production, temps d'arrêt : par OF , par ligne, par opération
</t>
  </si>
  <si>
    <t>Déclaration de production (OK) via un bouton au niveau de chaque poste de production</t>
  </si>
  <si>
    <t>Mise en place d'un bouton de déclaration au niveau de chaque poste de production</t>
  </si>
  <si>
    <t>La solution déclenche le mouvement du convoyeur aérien lors de l’appui sur le bouton de déclaration de production.</t>
  </si>
  <si>
    <t>La solution permet de déclarer la production par ordre de fabrication et par opération à chaque appui sur le bouton, si la pièce est conforme.</t>
  </si>
  <si>
    <t>Déclaration semi-automaique de production</t>
  </si>
  <si>
    <t>Mouvement du convoyeur aérien</t>
  </si>
  <si>
    <t>E003</t>
  </si>
  <si>
    <t>Système de manutention automatique</t>
  </si>
  <si>
    <t>Acheminement automatique des piéces de la zone de confection vers la zone d'assemblage</t>
  </si>
  <si>
    <t>Mise en place d'un convoyeur aérien pour la manutention des pièces, dont le mouvement est contrôlé par un signal OK (pièce conforme) provenant de chaque poste de production.</t>
  </si>
  <si>
    <t>La solution permet de stimuler l'opération de manutention :
Au niveau du poste de confection : L'opérateur charge la pièce semi-fini conforme sur le convoyeur, puis appuie sur le bouton OK. Le convoyeur se déplace d'un pas vers la zone d'assemblage.
Au niveau du poste d'assemblage : L'opérateur décharge la pièce du convoyeur, procède à l'assemblage du produit fini, puis appuie sur le bouton OK (produit fini conforme). Le convoyeur se déplace d'un pas vers la zone de confection.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</si>
</sst>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2"/>
      <name val="Calibri Light"/>
      <family val="2"/>
      <scheme val="major"/>
    </font>
    <font>
      <b/>
      <sz val="12"/>
      <color rgb="FFFF000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9" fillId="0" borderId="0" xfId="0" applyFont="1" applyAlignment="1">
      <alignment vertical="center" wrapText="1"/>
    </xf>
    <xf numFmtId="0" fontId="1" fillId="0" borderId="0" xfId="0" applyNumberFormat="1" applyFont="1" applyAlignment="1">
      <alignment vertical="center" wrapText="1"/>
    </xf>
    <xf numFmtId="0" fontId="1" fillId="0" borderId="0" xfId="0" applyFont="1" applyAlignment="1">
      <alignment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358589</xdr:colOff>
      <xdr:row>2</xdr:row>
      <xdr:rowOff>67237</xdr:rowOff>
    </xdr:from>
    <xdr:to>
      <xdr:col>2</xdr:col>
      <xdr:colOff>1498640</xdr:colOff>
      <xdr:row>2</xdr:row>
      <xdr:rowOff>713469</xdr:rowOff>
    </xdr:to>
    <xdr:pic>
      <xdr:nvPicPr>
        <xdr:cNvPr id="7" name="Image 6">
          <a:extLst>
            <a:ext uri="{FF2B5EF4-FFF2-40B4-BE49-F238E27FC236}">
              <a16:creationId xmlns:a16="http://schemas.microsoft.com/office/drawing/2014/main" id="{88CD8311-0E76-8DE2-2AA2-80DCD777524A}"/>
            </a:ext>
          </a:extLst>
        </xdr:cNvPr>
        <xdr:cNvPicPr>
          <a:picLocks noChangeAspect="1"/>
        </xdr:cNvPicPr>
      </xdr:nvPicPr>
      <xdr:blipFill>
        <a:blip xmlns:r="http://schemas.openxmlformats.org/officeDocument/2006/relationships" r:embed="rId1"/>
        <a:stretch>
          <a:fillRect/>
        </a:stretch>
      </xdr:blipFill>
      <xdr:spPr>
        <a:xfrm>
          <a:off x="1591236" y="515472"/>
          <a:ext cx="1140051" cy="6462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9" totalsRowCount="1" headerRowDxfId="51" dataDxfId="50">
  <autoFilter ref="B13:V38" xr:uid="{DDEA2C8B-EE0D-4C55-9256-CCC64E002CE6}"/>
  <tableColumns count="21">
    <tableColumn id="1" xr3:uid="{E467E0EE-CDAA-4FF5-85A8-CDC0B23A5AD9}" name="ID" dataDxfId="41" totalsRowDxfId="20"/>
    <tableColumn id="2" xr3:uid="{E53952AC-4972-47BD-8B1D-C7EF23088D0D}" name="Intitulé Exigence" dataDxfId="40" totalsRowDxfId="19"/>
    <tableColumn id="8" xr3:uid="{B2D0BC2C-C803-4015-8FA6-70F84517BDB2}" name="Nature" dataDxfId="39" totalsRowDxfId="18"/>
    <tableColumn id="7" xr3:uid="{24F2F0ED-022E-4EC1-91D8-BFE0E4F2FD36}" name="Catégorie" dataDxfId="38" totalsRowDxfId="17"/>
    <tableColumn id="10" xr3:uid="{1FF81CF1-6D35-421C-8767-9E7FA06FEE6A}" name="Exigence idenfiée pendant la phase" dataDxfId="37" totalsRowDxfId="16"/>
    <tableColumn id="3" xr3:uid="{E7621A68-9552-4853-96A5-92A226EA42DD}" name="Description de l'exigence" dataDxfId="36" totalsRowDxfId="15"/>
    <tableColumn id="9" xr3:uid="{E6EEEC82-3576-4980-94B3-1423906CE531}" name="Source" dataDxfId="35" totalsRowDxfId="14"/>
    <tableColumn id="16" xr3:uid="{1441554A-79F9-4040-9CF5-AEBFF7ADF7D1}" name="Desciption de la solution MOMSOFT" dataDxfId="34" totalsRowDxfId="13"/>
    <tableColumn id="17" xr3:uid="{D1BC9C86-C3CE-417F-AC83-FC4786A7656D}" name="Ecart entre exigence client et la solution proposée - préciser aussi les limites et hypothèses si applicable" dataDxfId="33" totalsRowDxfId="12"/>
    <tableColumn id="5" xr3:uid="{2649C3B7-E8B9-44F9-8883-E5BB6F91B4B1}" name="Validation Interne" dataDxfId="32" totalsRowDxfId="11"/>
    <tableColumn id="6" xr3:uid="{8CC493F8-0886-498D-AB98-B77300CC6510}" name="Validation Interne par:" dataDxfId="31" totalsRowDxfId="10"/>
    <tableColumn id="15" xr3:uid="{78231C60-0932-4386-925D-4C689A91C0E3}" name="Statut Client" dataDxfId="30" totalsRowDxfId="9"/>
    <tableColumn id="22" xr3:uid="{D944A0FD-E468-407F-91A6-BD8A29086A7B}" name="HJ Dev" dataDxfId="29" totalsRowDxfId="8"/>
    <tableColumn id="21" xr3:uid="{818C68C5-1CC3-4DC9-9BB8-2CB7816ABE9F}" name="HJ Analyse et Test" dataDxfId="28" totalsRowDxfId="7">
      <calculatedColumnFormula>Tableau3[[#This Row],[HJ Dev]]*(25%+25%)</calculatedColumnFormula>
    </tableColumn>
    <tableColumn id="20" xr3:uid="{81CB5860-4285-4425-ABF9-C91F3323BF25}" name="Total HJ" totalsRowFunction="sum" dataDxfId="27"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26" totalsRowDxfId="5"/>
    <tableColumn id="12" xr3:uid="{36B390F4-625A-46E1-864B-7108903FFD96}" name="Conception réalisée par:" dataDxfId="25" totalsRowDxfId="4"/>
    <tableColumn id="13" xr3:uid="{9016419E-83A5-4950-AB28-EA27A0D72FAD}" name="Revue conception réalisée par" dataDxfId="24" totalsRowDxfId="3"/>
    <tableColumn id="14" xr3:uid="{B5F29B7E-09EB-43EF-BD3D-9ADF38F7CC12}" name="Vérification de la conception réalisée par" dataDxfId="23" totalsRowDxfId="2"/>
    <tableColumn id="18" xr3:uid="{0CA25C90-64D6-43D5-90C8-CE6D70CCA638}" name="Preuve de vérification " dataDxfId="22" totalsRowDxfId="1"/>
    <tableColumn id="4" xr3:uid="{B7406A3A-A365-4F76-9A20-372573D19BC9}" name="Notes" dataDxfId="21"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49" dataDxfId="48">
  <autoFilter ref="B13:G18" xr:uid="{96AD1385-A1F5-4391-ABC2-C9F250557626}"/>
  <tableColumns count="6">
    <tableColumn id="1" xr3:uid="{56DA355E-F205-482A-9CF1-CA3361A1D801}" name="Version" dataDxfId="47"/>
    <tableColumn id="2" xr3:uid="{C9D8A0D7-1D6E-479B-AF74-6D39D19E4653}" name="Date" dataDxfId="46"/>
    <tableColumn id="3" xr3:uid="{79109713-8A38-4162-A269-136157905B75}" name="Modifications" dataDxfId="45"/>
    <tableColumn id="4" xr3:uid="{AC928B3E-399C-4A3D-9FB5-9CD96F5D4745}" name="Auteur(s)" dataDxfId="44"/>
    <tableColumn id="5" xr3:uid="{0D0A428D-4F18-4D4E-A0CB-4D1A5057B6E9}" name="Vérificateur(s)" dataDxfId="43"/>
    <tableColumn id="6" xr3:uid="{D81EAB57-FBCA-44D9-8F45-58AF13AA08B6}" name="Approbateur" dataDxfId="4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baseColWidth="10" defaultRowHeight="12.5" x14ac:dyDescent="0.25"/>
  <sheetData>
    <row r="6" spans="2:2" x14ac:dyDescent="0.25">
      <c r="B6" t="s">
        <v>5</v>
      </c>
    </row>
    <row r="7" spans="2:2" x14ac:dyDescent="0.25">
      <c r="B7" t="s">
        <v>107</v>
      </c>
    </row>
    <row r="8" spans="2:2" x14ac:dyDescent="0.25">
      <c r="B8" t="s">
        <v>108</v>
      </c>
    </row>
    <row r="9" spans="2:2" x14ac:dyDescent="0.25">
      <c r="B9" t="s">
        <v>109</v>
      </c>
    </row>
    <row r="10" spans="2:2" x14ac:dyDescent="0.25">
      <c r="B10"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9"/>
  <sheetViews>
    <sheetView tabSelected="1" topLeftCell="K38" zoomScale="68" zoomScaleNormal="68" workbookViewId="0">
      <selection activeCell="Q49" sqref="Q49"/>
    </sheetView>
  </sheetViews>
  <sheetFormatPr baseColWidth="10" defaultColWidth="11.453125" defaultRowHeight="13" x14ac:dyDescent="0.3"/>
  <cols>
    <col min="1" max="1" width="11.453125" style="1"/>
    <col min="2" max="2" width="6.1796875" style="1" customWidth="1"/>
    <col min="3" max="3" width="27.453125" style="1" customWidth="1"/>
    <col min="4" max="4" width="34.08984375" style="1" customWidth="1"/>
    <col min="5" max="5" width="18.26953125" style="1" customWidth="1"/>
    <col min="6" max="6" width="19.453125" style="1" customWidth="1"/>
    <col min="7" max="7" width="56.54296875" style="1" customWidth="1"/>
    <col min="8" max="8" width="18.453125" style="1" customWidth="1"/>
    <col min="9" max="9" width="56.54296875" style="1" customWidth="1"/>
    <col min="10" max="10" width="33.1796875" style="1" customWidth="1"/>
    <col min="11" max="12" width="13.54296875" style="1" customWidth="1"/>
    <col min="13" max="13" width="15.26953125" style="1" customWidth="1"/>
    <col min="14" max="14" width="11.81640625" style="1" customWidth="1"/>
    <col min="15" max="15" width="15.453125" style="1" customWidth="1"/>
    <col min="16" max="16" width="13.7265625" style="1" customWidth="1"/>
    <col min="17" max="17" width="39.81640625" style="1" customWidth="1"/>
    <col min="18" max="18" width="15.7265625" style="1" customWidth="1"/>
    <col min="19" max="19" width="20.54296875" style="1" customWidth="1"/>
    <col min="20" max="20" width="20.1796875" style="1" customWidth="1"/>
    <col min="21" max="21" width="15.1796875" style="1" customWidth="1"/>
    <col min="22" max="22" width="30.81640625" style="1" customWidth="1"/>
    <col min="23" max="16384" width="11.453125" style="1"/>
  </cols>
  <sheetData>
    <row r="1" spans="2:22" ht="13.5" thickBot="1" x14ac:dyDescent="0.35"/>
    <row r="2" spans="2:22" ht="21.75" customHeight="1" thickBot="1" x14ac:dyDescent="0.5">
      <c r="B2" s="37" t="s">
        <v>0</v>
      </c>
      <c r="C2" s="38"/>
      <c r="D2" s="38"/>
      <c r="E2" s="38"/>
      <c r="F2" s="38"/>
      <c r="G2" s="38"/>
      <c r="H2" s="38"/>
      <c r="I2" s="38"/>
      <c r="J2" s="38"/>
      <c r="K2" s="38"/>
      <c r="L2" s="38"/>
      <c r="M2" s="39"/>
      <c r="N2" s="40" t="s">
        <v>1</v>
      </c>
      <c r="O2" s="41"/>
      <c r="P2" s="42"/>
      <c r="Q2" s="34" t="s">
        <v>2</v>
      </c>
      <c r="R2" s="35"/>
      <c r="S2" s="35"/>
      <c r="T2" s="35"/>
      <c r="U2" s="35"/>
      <c r="V2" s="36"/>
    </row>
    <row r="3" spans="2:22" ht="63" customHeight="1" x14ac:dyDescent="0.3">
      <c r="C3" s="8"/>
      <c r="D3" s="8"/>
      <c r="E3" s="8"/>
      <c r="F3" s="8"/>
      <c r="G3" s="8"/>
      <c r="H3" s="8"/>
      <c r="I3" s="8"/>
    </row>
    <row r="4" spans="2:22" ht="21" customHeight="1" x14ac:dyDescent="0.3">
      <c r="B4" s="30" t="s">
        <v>3</v>
      </c>
      <c r="C4" s="8"/>
      <c r="D4" s="32" t="s">
        <v>68</v>
      </c>
      <c r="E4" s="8"/>
      <c r="F4" s="8"/>
      <c r="G4" s="8"/>
      <c r="H4" s="8"/>
      <c r="I4" s="8"/>
    </row>
    <row r="5" spans="2:22" ht="21.75" customHeight="1" x14ac:dyDescent="0.35">
      <c r="B5" s="27" t="s">
        <v>5</v>
      </c>
      <c r="D5" s="3" t="s">
        <v>122</v>
      </c>
      <c r="E5" s="3"/>
      <c r="F5" s="3"/>
      <c r="G5" s="3"/>
      <c r="H5" s="3"/>
      <c r="I5" s="3"/>
    </row>
    <row r="6" spans="2:22" ht="21" customHeight="1" x14ac:dyDescent="0.35">
      <c r="B6" s="27" t="s">
        <v>6</v>
      </c>
      <c r="D6" s="3" t="s">
        <v>123</v>
      </c>
      <c r="E6" s="3"/>
      <c r="F6" s="3"/>
      <c r="G6" s="3"/>
      <c r="H6" s="3"/>
      <c r="I6" s="3"/>
    </row>
    <row r="7" spans="2:22" ht="20.5" customHeight="1" thickBot="1" x14ac:dyDescent="0.4">
      <c r="B7" s="27" t="s">
        <v>7</v>
      </c>
      <c r="D7" s="3" t="s">
        <v>8</v>
      </c>
      <c r="E7" s="3"/>
      <c r="F7" s="3"/>
      <c r="G7" s="31" t="s">
        <v>9</v>
      </c>
      <c r="H7" s="3"/>
      <c r="I7" s="3"/>
    </row>
    <row r="8" spans="2:22" ht="21.65" customHeight="1" x14ac:dyDescent="0.35">
      <c r="B8" s="27" t="s">
        <v>10</v>
      </c>
      <c r="D8" s="3" t="s">
        <v>11</v>
      </c>
      <c r="E8" s="3"/>
      <c r="F8" s="3"/>
      <c r="G8" s="3"/>
      <c r="H8" s="3"/>
      <c r="I8" s="3"/>
    </row>
    <row r="9" spans="2:22" ht="14.5" x14ac:dyDescent="0.35">
      <c r="C9" s="3"/>
      <c r="D9" s="24"/>
      <c r="E9" s="24"/>
      <c r="F9" s="24"/>
      <c r="G9" s="24"/>
      <c r="H9" s="24"/>
      <c r="I9" s="24"/>
    </row>
    <row r="10" spans="2:22" x14ac:dyDescent="0.3">
      <c r="B10" s="28" t="s">
        <v>12</v>
      </c>
      <c r="C10" s="29"/>
      <c r="D10" s="28" t="s">
        <v>13</v>
      </c>
      <c r="E10" s="9"/>
      <c r="F10" s="9"/>
      <c r="I10" s="21" t="s">
        <v>14</v>
      </c>
    </row>
    <row r="11" spans="2:22" x14ac:dyDescent="0.3">
      <c r="B11" s="28" t="s">
        <v>15</v>
      </c>
      <c r="C11" s="29"/>
      <c r="D11" s="28" t="s">
        <v>16</v>
      </c>
      <c r="E11" s="9"/>
      <c r="F11" s="9"/>
    </row>
    <row r="12" spans="2:22" ht="13.5" thickBot="1" x14ac:dyDescent="0.35"/>
    <row r="13" spans="2:22" s="10" customFormat="1" ht="39.5" thickBot="1" x14ac:dyDescent="0.3">
      <c r="B13" s="18" t="s">
        <v>17</v>
      </c>
      <c r="C13" s="19" t="s">
        <v>18</v>
      </c>
      <c r="D13" s="19" t="s">
        <v>19</v>
      </c>
      <c r="E13" s="19" t="s">
        <v>20</v>
      </c>
      <c r="F13" s="19" t="s">
        <v>21</v>
      </c>
      <c r="G13" s="19" t="s">
        <v>22</v>
      </c>
      <c r="H13" s="19" t="s">
        <v>23</v>
      </c>
      <c r="I13" s="19" t="s">
        <v>115</v>
      </c>
      <c r="J13" s="19" t="s">
        <v>24</v>
      </c>
      <c r="K13" s="19" t="s">
        <v>25</v>
      </c>
      <c r="L13" s="19" t="s">
        <v>26</v>
      </c>
      <c r="M13" s="20" t="s">
        <v>27</v>
      </c>
      <c r="N13" s="14" t="s">
        <v>28</v>
      </c>
      <c r="O13" s="14" t="s">
        <v>29</v>
      </c>
      <c r="P13" s="14" t="s">
        <v>30</v>
      </c>
      <c r="Q13" s="15" t="s">
        <v>31</v>
      </c>
      <c r="R13" s="16" t="s">
        <v>32</v>
      </c>
      <c r="S13" s="16" t="s">
        <v>33</v>
      </c>
      <c r="T13" s="16" t="s">
        <v>34</v>
      </c>
      <c r="U13" s="16" t="s">
        <v>35</v>
      </c>
      <c r="V13" s="17" t="s">
        <v>36</v>
      </c>
    </row>
    <row r="14" spans="2:22" s="10" customFormat="1" ht="255" customHeight="1" x14ac:dyDescent="0.25">
      <c r="B14" s="46" t="s">
        <v>37</v>
      </c>
      <c r="C14" s="46" t="s">
        <v>124</v>
      </c>
      <c r="D14" s="46" t="s">
        <v>53</v>
      </c>
      <c r="E14" s="46" t="s">
        <v>79</v>
      </c>
      <c r="F14" s="46" t="s">
        <v>54</v>
      </c>
      <c r="G14" s="46" t="s">
        <v>125</v>
      </c>
      <c r="H14" s="46" t="s">
        <v>61</v>
      </c>
      <c r="I14" s="46" t="s">
        <v>126</v>
      </c>
      <c r="J14" s="46" t="s">
        <v>127</v>
      </c>
      <c r="K14" s="46" t="s">
        <v>128</v>
      </c>
      <c r="L14" s="46" t="s">
        <v>118</v>
      </c>
      <c r="N14" s="10">
        <v>0</v>
      </c>
      <c r="O14" s="10">
        <f>Tableau3[[#This Row],[HJ Dev]]*(25%+25%)</f>
        <v>0</v>
      </c>
      <c r="P14" s="10">
        <f>Tableau3[[#This Row],[HJ Analyse et Test]]+Tableau3[[#This Row],[HJ Dev]]</f>
        <v>0</v>
      </c>
      <c r="Q14" s="10" t="s">
        <v>38</v>
      </c>
      <c r="R14" s="10" t="s">
        <v>38</v>
      </c>
      <c r="S14" s="10" t="s">
        <v>38</v>
      </c>
      <c r="T14" s="10" t="s">
        <v>38</v>
      </c>
      <c r="U14" s="10" t="s">
        <v>38</v>
      </c>
    </row>
    <row r="15" spans="2:22" s="10" customFormat="1" ht="36" customHeight="1" x14ac:dyDescent="0.25">
      <c r="B15" s="46" t="s">
        <v>129</v>
      </c>
      <c r="C15" s="46" t="s">
        <v>130</v>
      </c>
      <c r="D15" s="46" t="s">
        <v>53</v>
      </c>
      <c r="E15" s="46" t="s">
        <v>79</v>
      </c>
      <c r="F15" s="46" t="s">
        <v>54</v>
      </c>
      <c r="G15" s="46" t="s">
        <v>131</v>
      </c>
      <c r="H15" s="46" t="s">
        <v>61</v>
      </c>
      <c r="I15" s="46" t="s">
        <v>126</v>
      </c>
      <c r="J15" s="46" t="s">
        <v>132</v>
      </c>
      <c r="K15" s="46" t="s">
        <v>128</v>
      </c>
      <c r="L15" s="46" t="s">
        <v>118</v>
      </c>
      <c r="N15" s="10">
        <v>0</v>
      </c>
      <c r="O15" s="10">
        <f>Tableau3[[#This Row],[HJ Dev]]*(25%+25%)</f>
        <v>0</v>
      </c>
      <c r="P15" s="10">
        <f>Tableau3[[#This Row],[HJ Analyse et Test]]+Tableau3[[#This Row],[HJ Dev]]</f>
        <v>0</v>
      </c>
      <c r="Q15" s="48" t="s">
        <v>38</v>
      </c>
      <c r="R15" s="48" t="s">
        <v>38</v>
      </c>
      <c r="S15" s="48" t="s">
        <v>38</v>
      </c>
      <c r="T15" s="48" t="s">
        <v>38</v>
      </c>
      <c r="U15" s="48" t="s">
        <v>38</v>
      </c>
    </row>
    <row r="16" spans="2:22" s="10" customFormat="1" ht="36" customHeight="1" x14ac:dyDescent="0.25">
      <c r="B16" s="46" t="s">
        <v>204</v>
      </c>
      <c r="C16" s="46" t="s">
        <v>183</v>
      </c>
      <c r="D16" s="46" t="s">
        <v>53</v>
      </c>
      <c r="E16" s="46" t="s">
        <v>79</v>
      </c>
      <c r="F16" s="46" t="s">
        <v>54</v>
      </c>
      <c r="G16" s="46" t="s">
        <v>184</v>
      </c>
      <c r="H16" s="46" t="s">
        <v>61</v>
      </c>
      <c r="I16" s="46" t="s">
        <v>191</v>
      </c>
      <c r="J16" s="46" t="s">
        <v>185</v>
      </c>
      <c r="K16" s="46" t="s">
        <v>128</v>
      </c>
      <c r="L16" s="46" t="s">
        <v>118</v>
      </c>
      <c r="M16" s="48"/>
      <c r="N16" s="48">
        <v>0</v>
      </c>
      <c r="O16" s="48">
        <f>Tableau3[[#This Row],[HJ Dev]]*(25%+25%)</f>
        <v>0</v>
      </c>
      <c r="P16" s="48">
        <f>Tableau3[[#This Row],[HJ Analyse et Test]]+Tableau3[[#This Row],[HJ Dev]]</f>
        <v>0</v>
      </c>
      <c r="Q16" s="48" t="s">
        <v>38</v>
      </c>
      <c r="R16" s="48" t="s">
        <v>38</v>
      </c>
      <c r="S16" s="48" t="s">
        <v>38</v>
      </c>
      <c r="T16" s="48" t="s">
        <v>38</v>
      </c>
      <c r="U16" s="48" t="s">
        <v>38</v>
      </c>
      <c r="V16" s="48"/>
    </row>
    <row r="17" spans="2:22" s="10" customFormat="1" ht="36" customHeight="1" x14ac:dyDescent="0.25">
      <c r="B17" s="46" t="s">
        <v>133</v>
      </c>
      <c r="C17" s="46" t="s">
        <v>186</v>
      </c>
      <c r="D17" s="46" t="s">
        <v>53</v>
      </c>
      <c r="E17" s="46" t="s">
        <v>79</v>
      </c>
      <c r="F17" s="46" t="s">
        <v>54</v>
      </c>
      <c r="G17" s="46" t="s">
        <v>187</v>
      </c>
      <c r="H17" s="46" t="s">
        <v>61</v>
      </c>
      <c r="I17" s="46" t="s">
        <v>192</v>
      </c>
      <c r="J17" s="46" t="s">
        <v>188</v>
      </c>
      <c r="K17" s="46" t="s">
        <v>128</v>
      </c>
      <c r="L17" s="46" t="s">
        <v>118</v>
      </c>
      <c r="M17" s="48"/>
      <c r="N17" s="48">
        <v>0</v>
      </c>
      <c r="O17" s="48">
        <f>Tableau3[[#This Row],[HJ Dev]]*(25%+25%)</f>
        <v>0</v>
      </c>
      <c r="P17" s="48">
        <f>Tableau3[[#This Row],[HJ Analyse et Test]]+Tableau3[[#This Row],[HJ Dev]]</f>
        <v>0</v>
      </c>
      <c r="Q17" s="48" t="s">
        <v>38</v>
      </c>
      <c r="R17" s="48" t="s">
        <v>38</v>
      </c>
      <c r="S17" s="48" t="s">
        <v>38</v>
      </c>
      <c r="T17" s="48" t="s">
        <v>38</v>
      </c>
      <c r="U17" s="48" t="s">
        <v>38</v>
      </c>
      <c r="V17" s="48"/>
    </row>
    <row r="18" spans="2:22" s="10" customFormat="1" ht="68.5" customHeight="1" x14ac:dyDescent="0.25">
      <c r="B18" s="46" t="s">
        <v>137</v>
      </c>
      <c r="C18" s="46" t="s">
        <v>166</v>
      </c>
      <c r="D18" s="46" t="s">
        <v>53</v>
      </c>
      <c r="E18" s="46" t="s">
        <v>79</v>
      </c>
      <c r="F18" s="46" t="s">
        <v>54</v>
      </c>
      <c r="G18" s="46" t="s">
        <v>167</v>
      </c>
      <c r="H18" s="46" t="s">
        <v>61</v>
      </c>
      <c r="I18" s="46" t="s">
        <v>168</v>
      </c>
      <c r="J18" s="46" t="s">
        <v>169</v>
      </c>
      <c r="K18" s="46" t="s">
        <v>128</v>
      </c>
      <c r="L18" s="46" t="s">
        <v>118</v>
      </c>
      <c r="M18" s="48"/>
      <c r="N18" s="48">
        <v>0</v>
      </c>
      <c r="O18" s="48">
        <f>Tableau3[[#This Row],[HJ Dev]]*(25%+25%)</f>
        <v>0</v>
      </c>
      <c r="P18" s="48">
        <f>Tableau3[[#This Row],[HJ Analyse et Test]]+Tableau3[[#This Row],[HJ Dev]]</f>
        <v>0</v>
      </c>
      <c r="Q18" s="48" t="s">
        <v>38</v>
      </c>
      <c r="R18" s="48" t="s">
        <v>38</v>
      </c>
      <c r="S18" s="48" t="s">
        <v>38</v>
      </c>
      <c r="T18" s="48" t="s">
        <v>38</v>
      </c>
      <c r="U18" s="48" t="s">
        <v>38</v>
      </c>
      <c r="V18" s="48"/>
    </row>
    <row r="19" spans="2:22" ht="51.5" customHeight="1" x14ac:dyDescent="0.3">
      <c r="B19" s="46" t="s">
        <v>39</v>
      </c>
      <c r="C19" s="46" t="s">
        <v>166</v>
      </c>
      <c r="D19" s="46" t="s">
        <v>53</v>
      </c>
      <c r="E19" s="46" t="s">
        <v>79</v>
      </c>
      <c r="F19" s="46" t="s">
        <v>54</v>
      </c>
      <c r="G19" s="46" t="s">
        <v>167</v>
      </c>
      <c r="H19" s="46" t="s">
        <v>61</v>
      </c>
      <c r="I19" s="46" t="s">
        <v>170</v>
      </c>
      <c r="J19" s="46" t="s">
        <v>171</v>
      </c>
      <c r="K19" s="46" t="s">
        <v>128</v>
      </c>
      <c r="L19" s="46" t="s">
        <v>118</v>
      </c>
      <c r="M19" s="48"/>
      <c r="N19" s="48">
        <v>0</v>
      </c>
      <c r="O19" s="48">
        <f>Tableau3[[#This Row],[HJ Dev]]*(25%+25%)</f>
        <v>0</v>
      </c>
      <c r="P19" s="48">
        <f>Tableau3[[#This Row],[HJ Analyse et Test]]+Tableau3[[#This Row],[HJ Dev]]</f>
        <v>0</v>
      </c>
      <c r="Q19" s="48" t="s">
        <v>38</v>
      </c>
      <c r="R19" s="48" t="s">
        <v>38</v>
      </c>
      <c r="S19" s="48" t="s">
        <v>38</v>
      </c>
      <c r="T19" s="48" t="s">
        <v>38</v>
      </c>
      <c r="U19" s="48" t="s">
        <v>38</v>
      </c>
      <c r="V19" s="48"/>
    </row>
    <row r="20" spans="2:22" ht="124" x14ac:dyDescent="0.3">
      <c r="B20" s="46" t="s">
        <v>40</v>
      </c>
      <c r="C20" s="46" t="s">
        <v>174</v>
      </c>
      <c r="D20" s="46" t="s">
        <v>53</v>
      </c>
      <c r="E20" s="46" t="s">
        <v>79</v>
      </c>
      <c r="F20" s="46" t="s">
        <v>54</v>
      </c>
      <c r="G20" s="46" t="s">
        <v>175</v>
      </c>
      <c r="H20" s="46" t="s">
        <v>61</v>
      </c>
      <c r="I20" s="46" t="s">
        <v>176</v>
      </c>
      <c r="J20" s="46" t="s">
        <v>177</v>
      </c>
      <c r="K20" s="46" t="s">
        <v>128</v>
      </c>
      <c r="L20" s="46" t="s">
        <v>118</v>
      </c>
      <c r="M20" s="48"/>
      <c r="N20" s="48">
        <v>0</v>
      </c>
      <c r="O20" s="48">
        <f>Tableau3[[#This Row],[HJ Dev]]*(25%+25%)</f>
        <v>0</v>
      </c>
      <c r="P20" s="48">
        <f>Tableau3[[#This Row],[HJ Analyse et Test]]+Tableau3[[#This Row],[HJ Dev]]</f>
        <v>0</v>
      </c>
      <c r="Q20" s="48" t="s">
        <v>38</v>
      </c>
      <c r="R20" s="48" t="s">
        <v>38</v>
      </c>
      <c r="S20" s="48" t="s">
        <v>38</v>
      </c>
      <c r="T20" s="48" t="s">
        <v>38</v>
      </c>
      <c r="U20" s="48" t="s">
        <v>38</v>
      </c>
      <c r="V20" s="48"/>
    </row>
    <row r="21" spans="2:22" ht="108.5" x14ac:dyDescent="0.3">
      <c r="B21" s="46" t="s">
        <v>41</v>
      </c>
      <c r="C21" s="46" t="s">
        <v>174</v>
      </c>
      <c r="D21" s="46" t="s">
        <v>53</v>
      </c>
      <c r="E21" s="46" t="s">
        <v>79</v>
      </c>
      <c r="F21" s="46" t="s">
        <v>54</v>
      </c>
      <c r="G21" s="46" t="s">
        <v>175</v>
      </c>
      <c r="H21" s="46" t="s">
        <v>61</v>
      </c>
      <c r="I21" s="46" t="s">
        <v>178</v>
      </c>
      <c r="J21" s="46" t="s">
        <v>179</v>
      </c>
      <c r="K21" s="46" t="s">
        <v>128</v>
      </c>
      <c r="L21" s="46" t="s">
        <v>118</v>
      </c>
      <c r="M21" s="48"/>
      <c r="N21" s="48">
        <v>0</v>
      </c>
      <c r="O21" s="48">
        <f>Tableau3[[#This Row],[HJ Dev]]*(25%+25%)</f>
        <v>0</v>
      </c>
      <c r="P21" s="48">
        <f>Tableau3[[#This Row],[HJ Analyse et Test]]+Tableau3[[#This Row],[HJ Dev]]</f>
        <v>0</v>
      </c>
      <c r="Q21" s="48" t="s">
        <v>38</v>
      </c>
      <c r="R21" s="48" t="s">
        <v>38</v>
      </c>
      <c r="S21" s="48" t="s">
        <v>38</v>
      </c>
      <c r="T21" s="48" t="s">
        <v>38</v>
      </c>
      <c r="U21" s="48" t="s">
        <v>38</v>
      </c>
      <c r="V21" s="48"/>
    </row>
    <row r="22" spans="2:22" ht="108.5" x14ac:dyDescent="0.3">
      <c r="B22" s="46" t="s">
        <v>90</v>
      </c>
      <c r="C22" s="46" t="s">
        <v>180</v>
      </c>
      <c r="D22" s="46" t="s">
        <v>53</v>
      </c>
      <c r="E22" s="46" t="s">
        <v>79</v>
      </c>
      <c r="F22" s="46" t="s">
        <v>54</v>
      </c>
      <c r="G22" s="46" t="s">
        <v>181</v>
      </c>
      <c r="H22" s="46" t="s">
        <v>61</v>
      </c>
      <c r="I22" s="46" t="s">
        <v>182</v>
      </c>
      <c r="J22" s="46" t="s">
        <v>193</v>
      </c>
      <c r="K22" s="46" t="s">
        <v>128</v>
      </c>
      <c r="L22" s="46" t="s">
        <v>118</v>
      </c>
      <c r="M22" s="48"/>
      <c r="N22" s="48">
        <v>0</v>
      </c>
      <c r="O22" s="48">
        <f>Tableau3[[#This Row],[HJ Dev]]*(25%+25%)</f>
        <v>0</v>
      </c>
      <c r="P22" s="48">
        <f>Tableau3[[#This Row],[HJ Analyse et Test]]+Tableau3[[#This Row],[HJ Dev]]</f>
        <v>0</v>
      </c>
      <c r="Q22" s="48" t="s">
        <v>38</v>
      </c>
      <c r="R22" s="48" t="s">
        <v>38</v>
      </c>
      <c r="S22" s="48" t="s">
        <v>38</v>
      </c>
      <c r="T22" s="48" t="s">
        <v>38</v>
      </c>
      <c r="U22" s="48" t="s">
        <v>38</v>
      </c>
      <c r="V22" s="48"/>
    </row>
    <row r="23" spans="2:22" ht="409.5" x14ac:dyDescent="0.3">
      <c r="B23" s="46" t="s">
        <v>91</v>
      </c>
      <c r="C23" s="46" t="s">
        <v>134</v>
      </c>
      <c r="D23" s="46" t="s">
        <v>53</v>
      </c>
      <c r="E23" s="46" t="s">
        <v>79</v>
      </c>
      <c r="F23" s="46" t="s">
        <v>54</v>
      </c>
      <c r="G23" s="46" t="s">
        <v>135</v>
      </c>
      <c r="H23" s="46" t="s">
        <v>61</v>
      </c>
      <c r="I23" s="46" t="s">
        <v>126</v>
      </c>
      <c r="J23" s="46" t="s">
        <v>136</v>
      </c>
      <c r="K23" s="46" t="s">
        <v>128</v>
      </c>
      <c r="L23" s="46" t="s">
        <v>118</v>
      </c>
      <c r="M23" s="48"/>
      <c r="N23" s="48">
        <v>0</v>
      </c>
      <c r="O23" s="48">
        <f>Tableau3[[#This Row],[HJ Dev]]*(25%+25%)</f>
        <v>0</v>
      </c>
      <c r="P23" s="48">
        <f>Tableau3[[#This Row],[HJ Analyse et Test]]+Tableau3[[#This Row],[HJ Dev]]</f>
        <v>0</v>
      </c>
      <c r="Q23" s="48" t="s">
        <v>38</v>
      </c>
      <c r="R23" s="48" t="s">
        <v>38</v>
      </c>
      <c r="S23" s="48" t="s">
        <v>38</v>
      </c>
      <c r="T23" s="48" t="s">
        <v>38</v>
      </c>
      <c r="U23" s="48" t="s">
        <v>38</v>
      </c>
      <c r="V23" s="48"/>
    </row>
    <row r="24" spans="2:22" ht="310" x14ac:dyDescent="0.3">
      <c r="B24" s="46" t="s">
        <v>92</v>
      </c>
      <c r="C24" s="46" t="s">
        <v>172</v>
      </c>
      <c r="D24" s="46" t="s">
        <v>53</v>
      </c>
      <c r="E24" s="46" t="s">
        <v>79</v>
      </c>
      <c r="F24" s="46" t="s">
        <v>54</v>
      </c>
      <c r="G24" s="46" t="s">
        <v>194</v>
      </c>
      <c r="H24" s="46" t="s">
        <v>61</v>
      </c>
      <c r="I24" s="46" t="s">
        <v>173</v>
      </c>
      <c r="J24" s="46" t="s">
        <v>195</v>
      </c>
      <c r="K24" s="46" t="s">
        <v>128</v>
      </c>
      <c r="L24" s="46" t="s">
        <v>118</v>
      </c>
      <c r="M24" s="48"/>
      <c r="N24" s="48">
        <v>0</v>
      </c>
      <c r="O24" s="48">
        <f>Tableau3[[#This Row],[HJ Dev]]*(25%+25%)</f>
        <v>0</v>
      </c>
      <c r="P24" s="48">
        <f>Tableau3[[#This Row],[HJ Analyse et Test]]+Tableau3[[#This Row],[HJ Dev]]</f>
        <v>0</v>
      </c>
      <c r="Q24" s="48" t="s">
        <v>38</v>
      </c>
      <c r="R24" s="48" t="s">
        <v>38</v>
      </c>
      <c r="S24" s="48" t="s">
        <v>38</v>
      </c>
      <c r="T24" s="48" t="s">
        <v>38</v>
      </c>
      <c r="U24" s="48" t="s">
        <v>38</v>
      </c>
      <c r="V24" s="48"/>
    </row>
    <row r="25" spans="2:22" ht="108.5" x14ac:dyDescent="0.3">
      <c r="B25" s="46" t="s">
        <v>93</v>
      </c>
      <c r="C25" s="46" t="s">
        <v>189</v>
      </c>
      <c r="D25" s="46" t="s">
        <v>53</v>
      </c>
      <c r="E25" s="46" t="s">
        <v>79</v>
      </c>
      <c r="F25" s="46" t="s">
        <v>54</v>
      </c>
      <c r="G25" s="46" t="s">
        <v>197</v>
      </c>
      <c r="H25" s="46" t="s">
        <v>61</v>
      </c>
      <c r="I25" s="46" t="s">
        <v>190</v>
      </c>
      <c r="J25" s="46" t="s">
        <v>196</v>
      </c>
      <c r="K25" s="46" t="s">
        <v>128</v>
      </c>
      <c r="L25" s="46" t="s">
        <v>118</v>
      </c>
      <c r="M25" s="48"/>
      <c r="N25" s="48">
        <v>0</v>
      </c>
      <c r="O25" s="48">
        <f>Tableau3[[#This Row],[HJ Dev]]*(25%+25%)</f>
        <v>0</v>
      </c>
      <c r="P25" s="48">
        <f>Tableau3[[#This Row],[HJ Analyse et Test]]+Tableau3[[#This Row],[HJ Dev]]</f>
        <v>0</v>
      </c>
      <c r="Q25" s="48" t="s">
        <v>38</v>
      </c>
      <c r="R25" s="48" t="s">
        <v>38</v>
      </c>
      <c r="S25" s="48" t="s">
        <v>38</v>
      </c>
      <c r="T25" s="48" t="s">
        <v>38</v>
      </c>
      <c r="U25" s="48" t="s">
        <v>38</v>
      </c>
      <c r="V25" s="48"/>
    </row>
    <row r="26" spans="2:22" ht="155" x14ac:dyDescent="0.3">
      <c r="B26" s="46" t="s">
        <v>94</v>
      </c>
      <c r="C26" s="46" t="s">
        <v>138</v>
      </c>
      <c r="D26" s="46" t="s">
        <v>53</v>
      </c>
      <c r="E26" s="46" t="s">
        <v>79</v>
      </c>
      <c r="F26" s="46" t="s">
        <v>54</v>
      </c>
      <c r="G26" s="46" t="s">
        <v>139</v>
      </c>
      <c r="H26" s="46" t="s">
        <v>61</v>
      </c>
      <c r="I26" s="46" t="s">
        <v>126</v>
      </c>
      <c r="J26" s="46" t="s">
        <v>140</v>
      </c>
      <c r="K26" s="46" t="s">
        <v>128</v>
      </c>
      <c r="L26" s="46" t="s">
        <v>118</v>
      </c>
      <c r="M26" s="48"/>
      <c r="N26" s="48">
        <v>0</v>
      </c>
      <c r="O26" s="48">
        <f>Tableau3[[#This Row],[HJ Dev]]*(25%+25%)</f>
        <v>0</v>
      </c>
      <c r="P26" s="48">
        <f>Tableau3[[#This Row],[HJ Analyse et Test]]+Tableau3[[#This Row],[HJ Dev]]</f>
        <v>0</v>
      </c>
      <c r="Q26" s="48" t="s">
        <v>38</v>
      </c>
      <c r="R26" s="48" t="s">
        <v>38</v>
      </c>
      <c r="S26" s="48" t="s">
        <v>38</v>
      </c>
      <c r="T26" s="48" t="s">
        <v>38</v>
      </c>
      <c r="U26" s="48" t="s">
        <v>38</v>
      </c>
      <c r="V26" s="48"/>
    </row>
    <row r="27" spans="2:22" ht="208" x14ac:dyDescent="0.3">
      <c r="B27" s="46" t="s">
        <v>95</v>
      </c>
      <c r="C27" s="48" t="s">
        <v>205</v>
      </c>
      <c r="D27" s="46" t="s">
        <v>53</v>
      </c>
      <c r="E27" s="46" t="s">
        <v>80</v>
      </c>
      <c r="F27" s="46" t="s">
        <v>54</v>
      </c>
      <c r="G27" s="48" t="s">
        <v>206</v>
      </c>
      <c r="H27" s="46" t="s">
        <v>61</v>
      </c>
      <c r="I27" s="46" t="s">
        <v>207</v>
      </c>
      <c r="J27" s="48" t="s">
        <v>208</v>
      </c>
      <c r="K27" s="46" t="s">
        <v>128</v>
      </c>
      <c r="L27" s="46" t="s">
        <v>118</v>
      </c>
      <c r="M27" s="48"/>
      <c r="N27" s="48">
        <v>0</v>
      </c>
      <c r="O27" s="47">
        <f>Tableau3[[#This Row],[HJ Dev]]*(25%+25%)</f>
        <v>0</v>
      </c>
      <c r="P27" s="47">
        <f>Tableau3[[#This Row],[HJ Analyse et Test]]+Tableau3[[#This Row],[HJ Dev]]</f>
        <v>0</v>
      </c>
      <c r="Q27" s="48" t="s">
        <v>38</v>
      </c>
      <c r="R27" s="48" t="s">
        <v>38</v>
      </c>
      <c r="S27" s="48" t="s">
        <v>38</v>
      </c>
      <c r="T27" s="48" t="s">
        <v>38</v>
      </c>
      <c r="U27" s="48" t="s">
        <v>38</v>
      </c>
      <c r="V27" s="48"/>
    </row>
    <row r="28" spans="2:22" ht="62" x14ac:dyDescent="0.3">
      <c r="B28" s="46" t="s">
        <v>96</v>
      </c>
      <c r="C28" s="46" t="s">
        <v>202</v>
      </c>
      <c r="D28" s="46" t="s">
        <v>53</v>
      </c>
      <c r="E28" s="46" t="s">
        <v>80</v>
      </c>
      <c r="F28" s="46" t="s">
        <v>54</v>
      </c>
      <c r="G28" s="46" t="s">
        <v>198</v>
      </c>
      <c r="H28" s="46" t="s">
        <v>61</v>
      </c>
      <c r="I28" s="46" t="s">
        <v>199</v>
      </c>
      <c r="J28" s="46" t="s">
        <v>201</v>
      </c>
      <c r="K28" s="46" t="s">
        <v>128</v>
      </c>
      <c r="L28" s="46" t="s">
        <v>118</v>
      </c>
      <c r="M28" s="48"/>
      <c r="N28" s="48">
        <v>0</v>
      </c>
      <c r="O28" s="48">
        <f>Tableau3[[#This Row],[HJ Dev]]*(25%+25%)</f>
        <v>0</v>
      </c>
      <c r="P28" s="48">
        <f>Tableau3[[#This Row],[HJ Analyse et Test]]+Tableau3[[#This Row],[HJ Dev]]</f>
        <v>0</v>
      </c>
      <c r="Q28" s="48" t="s">
        <v>38</v>
      </c>
      <c r="R28" s="48" t="s">
        <v>38</v>
      </c>
      <c r="S28" s="48" t="s">
        <v>38</v>
      </c>
      <c r="T28" s="48" t="s">
        <v>38</v>
      </c>
      <c r="U28" s="48" t="s">
        <v>38</v>
      </c>
      <c r="V28" s="48"/>
    </row>
    <row r="29" spans="2:22" ht="62" x14ac:dyDescent="0.3">
      <c r="B29" s="46" t="s">
        <v>97</v>
      </c>
      <c r="C29" s="46" t="s">
        <v>203</v>
      </c>
      <c r="D29" s="46" t="s">
        <v>53</v>
      </c>
      <c r="E29" s="46" t="s">
        <v>80</v>
      </c>
      <c r="F29" s="46" t="s">
        <v>54</v>
      </c>
      <c r="G29" s="46" t="s">
        <v>203</v>
      </c>
      <c r="H29" s="46" t="s">
        <v>61</v>
      </c>
      <c r="I29" s="46" t="s">
        <v>203</v>
      </c>
      <c r="J29" s="46" t="s">
        <v>200</v>
      </c>
      <c r="K29" s="46" t="s">
        <v>128</v>
      </c>
      <c r="L29" s="46" t="s">
        <v>118</v>
      </c>
      <c r="M29" s="48"/>
      <c r="N29" s="48">
        <v>0</v>
      </c>
      <c r="O29" s="48">
        <f>Tableau3[[#This Row],[HJ Dev]]*(25%+25%)</f>
        <v>0</v>
      </c>
      <c r="P29" s="48">
        <f>Tableau3[[#This Row],[HJ Analyse et Test]]+Tableau3[[#This Row],[HJ Dev]]</f>
        <v>0</v>
      </c>
      <c r="Q29" s="48" t="s">
        <v>38</v>
      </c>
      <c r="R29" s="48" t="s">
        <v>38</v>
      </c>
      <c r="S29" s="48" t="s">
        <v>38</v>
      </c>
      <c r="T29" s="48" t="s">
        <v>38</v>
      </c>
      <c r="U29" s="48" t="s">
        <v>38</v>
      </c>
      <c r="V29" s="48"/>
    </row>
    <row r="30" spans="2:22" ht="372" x14ac:dyDescent="0.3">
      <c r="B30" s="46" t="s">
        <v>98</v>
      </c>
      <c r="C30" s="46" t="s">
        <v>141</v>
      </c>
      <c r="D30" s="46" t="s">
        <v>53</v>
      </c>
      <c r="E30" s="46" t="s">
        <v>79</v>
      </c>
      <c r="F30" s="46" t="s">
        <v>54</v>
      </c>
      <c r="G30" s="46" t="s">
        <v>142</v>
      </c>
      <c r="H30" s="46" t="s">
        <v>61</v>
      </c>
      <c r="I30" s="46" t="s">
        <v>126</v>
      </c>
      <c r="J30" s="46" t="s">
        <v>143</v>
      </c>
      <c r="K30" s="46" t="s">
        <v>128</v>
      </c>
      <c r="L30" s="46" t="s">
        <v>118</v>
      </c>
      <c r="M30" s="48"/>
      <c r="N30" s="48">
        <v>0</v>
      </c>
      <c r="O30" s="48">
        <f>Tableau3[[#This Row],[HJ Dev]]*(25%+25%)</f>
        <v>0</v>
      </c>
      <c r="P30" s="48">
        <f>Tableau3[[#This Row],[HJ Analyse et Test]]+Tableau3[[#This Row],[HJ Dev]]</f>
        <v>0</v>
      </c>
      <c r="Q30" s="48" t="s">
        <v>38</v>
      </c>
      <c r="R30" s="48" t="s">
        <v>38</v>
      </c>
      <c r="S30" s="48" t="s">
        <v>38</v>
      </c>
      <c r="T30" s="48" t="s">
        <v>38</v>
      </c>
      <c r="U30" s="48" t="s">
        <v>38</v>
      </c>
      <c r="V30" s="48"/>
    </row>
    <row r="31" spans="2:22" ht="372" x14ac:dyDescent="0.3">
      <c r="B31" s="46" t="s">
        <v>99</v>
      </c>
      <c r="C31" s="46" t="s">
        <v>144</v>
      </c>
      <c r="D31" s="46" t="s">
        <v>53</v>
      </c>
      <c r="E31" s="46" t="s">
        <v>79</v>
      </c>
      <c r="F31" s="46" t="s">
        <v>54</v>
      </c>
      <c r="G31" s="46" t="s">
        <v>145</v>
      </c>
      <c r="H31" s="46" t="s">
        <v>61</v>
      </c>
      <c r="I31" s="46" t="s">
        <v>126</v>
      </c>
      <c r="J31" s="46" t="s">
        <v>146</v>
      </c>
      <c r="K31" s="46" t="s">
        <v>128</v>
      </c>
      <c r="L31" s="46" t="s">
        <v>118</v>
      </c>
      <c r="M31" s="48"/>
      <c r="N31" s="48">
        <v>0</v>
      </c>
      <c r="O31" s="48">
        <f>Tableau3[[#This Row],[HJ Dev]]*(25%+25%)</f>
        <v>0</v>
      </c>
      <c r="P31" s="48">
        <f>Tableau3[[#This Row],[HJ Analyse et Test]]+Tableau3[[#This Row],[HJ Dev]]</f>
        <v>0</v>
      </c>
      <c r="Q31" s="48" t="s">
        <v>38</v>
      </c>
      <c r="R31" s="48" t="s">
        <v>38</v>
      </c>
      <c r="S31" s="48" t="s">
        <v>38</v>
      </c>
      <c r="T31" s="48" t="s">
        <v>38</v>
      </c>
      <c r="U31" s="48" t="s">
        <v>38</v>
      </c>
      <c r="V31" s="48"/>
    </row>
    <row r="32" spans="2:22" ht="325.5" x14ac:dyDescent="0.3">
      <c r="B32" s="46" t="s">
        <v>100</v>
      </c>
      <c r="C32" s="46" t="s">
        <v>147</v>
      </c>
      <c r="D32" s="46" t="s">
        <v>53</v>
      </c>
      <c r="E32" s="46" t="s">
        <v>79</v>
      </c>
      <c r="F32" s="46" t="s">
        <v>54</v>
      </c>
      <c r="G32" s="46" t="s">
        <v>148</v>
      </c>
      <c r="H32" s="46" t="s">
        <v>61</v>
      </c>
      <c r="I32" s="46" t="s">
        <v>126</v>
      </c>
      <c r="J32" s="46" t="s">
        <v>149</v>
      </c>
      <c r="K32" s="46" t="s">
        <v>128</v>
      </c>
      <c r="L32" s="46" t="s">
        <v>118</v>
      </c>
      <c r="M32" s="48"/>
      <c r="N32" s="48">
        <v>0</v>
      </c>
      <c r="O32" s="48">
        <f>Tableau3[[#This Row],[HJ Dev]]*(25%+25%)</f>
        <v>0</v>
      </c>
      <c r="P32" s="48">
        <f>Tableau3[[#This Row],[HJ Analyse et Test]]+Tableau3[[#This Row],[HJ Dev]]</f>
        <v>0</v>
      </c>
      <c r="Q32" s="48" t="s">
        <v>38</v>
      </c>
      <c r="R32" s="48" t="s">
        <v>38</v>
      </c>
      <c r="S32" s="48" t="s">
        <v>38</v>
      </c>
      <c r="T32" s="48" t="s">
        <v>38</v>
      </c>
      <c r="U32" s="48" t="s">
        <v>38</v>
      </c>
      <c r="V32" s="48"/>
    </row>
    <row r="33" spans="2:22" ht="372" x14ac:dyDescent="0.3">
      <c r="B33" s="46" t="s">
        <v>101</v>
      </c>
      <c r="C33" s="46" t="s">
        <v>150</v>
      </c>
      <c r="D33" s="46" t="s">
        <v>53</v>
      </c>
      <c r="E33" s="46" t="s">
        <v>79</v>
      </c>
      <c r="F33" s="46" t="s">
        <v>54</v>
      </c>
      <c r="G33" s="46" t="s">
        <v>151</v>
      </c>
      <c r="H33" s="46" t="s">
        <v>61</v>
      </c>
      <c r="I33" s="46" t="s">
        <v>126</v>
      </c>
      <c r="J33" s="46" t="s">
        <v>152</v>
      </c>
      <c r="K33" s="46" t="s">
        <v>128</v>
      </c>
      <c r="L33" s="46" t="s">
        <v>118</v>
      </c>
      <c r="M33" s="48"/>
      <c r="N33" s="48">
        <v>0</v>
      </c>
      <c r="O33" s="48">
        <f>Tableau3[[#This Row],[HJ Dev]]*(25%+25%)</f>
        <v>0</v>
      </c>
      <c r="P33" s="48">
        <f>Tableau3[[#This Row],[HJ Analyse et Test]]+Tableau3[[#This Row],[HJ Dev]]</f>
        <v>0</v>
      </c>
      <c r="Q33" s="48" t="s">
        <v>38</v>
      </c>
      <c r="R33" s="48" t="s">
        <v>38</v>
      </c>
      <c r="S33" s="48" t="s">
        <v>38</v>
      </c>
      <c r="T33" s="48" t="s">
        <v>38</v>
      </c>
      <c r="U33" s="48" t="s">
        <v>38</v>
      </c>
      <c r="V33" s="48"/>
    </row>
    <row r="34" spans="2:22" ht="294.5" x14ac:dyDescent="0.3">
      <c r="B34" s="46" t="s">
        <v>102</v>
      </c>
      <c r="C34" s="46" t="s">
        <v>153</v>
      </c>
      <c r="D34" s="46" t="s">
        <v>53</v>
      </c>
      <c r="E34" s="46" t="s">
        <v>79</v>
      </c>
      <c r="F34" s="46" t="s">
        <v>54</v>
      </c>
      <c r="G34" s="46" t="s">
        <v>154</v>
      </c>
      <c r="H34" s="46" t="s">
        <v>61</v>
      </c>
      <c r="I34" s="46" t="s">
        <v>126</v>
      </c>
      <c r="J34" s="46" t="s">
        <v>155</v>
      </c>
      <c r="K34" s="46" t="s">
        <v>128</v>
      </c>
      <c r="L34" s="46" t="s">
        <v>118</v>
      </c>
      <c r="M34" s="48"/>
      <c r="N34" s="48">
        <v>0</v>
      </c>
      <c r="O34" s="48">
        <f>Tableau3[[#This Row],[HJ Dev]]*(25%+25%)</f>
        <v>0</v>
      </c>
      <c r="P34" s="48">
        <f>Tableau3[[#This Row],[HJ Analyse et Test]]+Tableau3[[#This Row],[HJ Dev]]</f>
        <v>0</v>
      </c>
      <c r="Q34" s="48" t="s">
        <v>38</v>
      </c>
      <c r="R34" s="48" t="s">
        <v>38</v>
      </c>
      <c r="S34" s="48" t="s">
        <v>38</v>
      </c>
      <c r="T34" s="48" t="s">
        <v>38</v>
      </c>
      <c r="U34" s="48" t="s">
        <v>38</v>
      </c>
      <c r="V34" s="48"/>
    </row>
    <row r="35" spans="2:22" ht="124" x14ac:dyDescent="0.3">
      <c r="B35" s="46" t="s">
        <v>103</v>
      </c>
      <c r="C35" s="46" t="s">
        <v>112</v>
      </c>
      <c r="D35" s="46" t="s">
        <v>53</v>
      </c>
      <c r="E35" s="46" t="s">
        <v>79</v>
      </c>
      <c r="F35" s="46" t="s">
        <v>54</v>
      </c>
      <c r="G35" s="46" t="s">
        <v>156</v>
      </c>
      <c r="H35" s="46" t="s">
        <v>61</v>
      </c>
      <c r="I35" s="46" t="s">
        <v>126</v>
      </c>
      <c r="J35" s="46" t="s">
        <v>157</v>
      </c>
      <c r="K35" s="46" t="s">
        <v>128</v>
      </c>
      <c r="L35" s="46" t="s">
        <v>118</v>
      </c>
      <c r="M35" s="48"/>
      <c r="N35" s="48">
        <v>0</v>
      </c>
      <c r="O35" s="48">
        <f>Tableau3[[#This Row],[HJ Dev]]*(25%+25%)</f>
        <v>0</v>
      </c>
      <c r="P35" s="48">
        <f>Tableau3[[#This Row],[HJ Analyse et Test]]+Tableau3[[#This Row],[HJ Dev]]</f>
        <v>0</v>
      </c>
      <c r="Q35" s="48" t="s">
        <v>38</v>
      </c>
      <c r="R35" s="48" t="s">
        <v>38</v>
      </c>
      <c r="S35" s="48" t="s">
        <v>38</v>
      </c>
      <c r="T35" s="48" t="s">
        <v>38</v>
      </c>
      <c r="U35" s="48" t="s">
        <v>38</v>
      </c>
      <c r="V35" s="48"/>
    </row>
    <row r="36" spans="2:22" ht="263.5" x14ac:dyDescent="0.3">
      <c r="B36" s="46" t="s">
        <v>104</v>
      </c>
      <c r="C36" s="46" t="s">
        <v>158</v>
      </c>
      <c r="D36" s="46" t="s">
        <v>53</v>
      </c>
      <c r="E36" s="46" t="s">
        <v>79</v>
      </c>
      <c r="F36" s="46" t="s">
        <v>54</v>
      </c>
      <c r="G36" s="46" t="s">
        <v>159</v>
      </c>
      <c r="H36" s="46" t="s">
        <v>61</v>
      </c>
      <c r="I36" s="46" t="s">
        <v>126</v>
      </c>
      <c r="J36" s="46" t="s">
        <v>160</v>
      </c>
      <c r="K36" s="46" t="s">
        <v>128</v>
      </c>
      <c r="L36" s="46" t="s">
        <v>118</v>
      </c>
      <c r="M36" s="48"/>
      <c r="N36" s="48">
        <v>0</v>
      </c>
      <c r="O36" s="48">
        <f>Tableau3[[#This Row],[HJ Dev]]*(25%+25%)</f>
        <v>0</v>
      </c>
      <c r="P36" s="48">
        <f>Tableau3[[#This Row],[HJ Analyse et Test]]+Tableau3[[#This Row],[HJ Dev]]</f>
        <v>0</v>
      </c>
      <c r="Q36" s="48" t="s">
        <v>38</v>
      </c>
      <c r="R36" s="48" t="s">
        <v>38</v>
      </c>
      <c r="S36" s="48" t="s">
        <v>38</v>
      </c>
      <c r="T36" s="48" t="s">
        <v>38</v>
      </c>
      <c r="U36" s="48" t="s">
        <v>38</v>
      </c>
      <c r="V36" s="48"/>
    </row>
    <row r="37" spans="2:22" ht="294.5" x14ac:dyDescent="0.3">
      <c r="B37" s="46" t="s">
        <v>105</v>
      </c>
      <c r="C37" s="46" t="s">
        <v>161</v>
      </c>
      <c r="D37" s="46" t="s">
        <v>53</v>
      </c>
      <c r="E37" s="46" t="s">
        <v>79</v>
      </c>
      <c r="F37" s="46" t="s">
        <v>54</v>
      </c>
      <c r="G37" s="46" t="s">
        <v>162</v>
      </c>
      <c r="H37" s="46" t="s">
        <v>61</v>
      </c>
      <c r="I37" s="46" t="s">
        <v>126</v>
      </c>
      <c r="J37" s="46" t="s">
        <v>163</v>
      </c>
      <c r="K37" s="46" t="s">
        <v>128</v>
      </c>
      <c r="L37" s="46" t="s">
        <v>118</v>
      </c>
      <c r="M37" s="48"/>
      <c r="N37" s="48">
        <v>0</v>
      </c>
      <c r="O37" s="48">
        <f>Tableau3[[#This Row],[HJ Dev]]*(25%+25%)</f>
        <v>0</v>
      </c>
      <c r="P37" s="48">
        <f>Tableau3[[#This Row],[HJ Analyse et Test]]+Tableau3[[#This Row],[HJ Dev]]</f>
        <v>0</v>
      </c>
      <c r="Q37" s="48" t="s">
        <v>38</v>
      </c>
      <c r="R37" s="48" t="s">
        <v>38</v>
      </c>
      <c r="S37" s="48" t="s">
        <v>38</v>
      </c>
      <c r="T37" s="48" t="s">
        <v>38</v>
      </c>
      <c r="U37" s="48" t="s">
        <v>38</v>
      </c>
      <c r="V37" s="48"/>
    </row>
    <row r="38" spans="2:22" ht="217" x14ac:dyDescent="0.3">
      <c r="B38" s="46" t="s">
        <v>106</v>
      </c>
      <c r="C38" s="46" t="s">
        <v>111</v>
      </c>
      <c r="D38" s="46" t="s">
        <v>53</v>
      </c>
      <c r="E38" s="46" t="s">
        <v>79</v>
      </c>
      <c r="F38" s="46" t="s">
        <v>54</v>
      </c>
      <c r="G38" s="46" t="s">
        <v>164</v>
      </c>
      <c r="H38" s="46" t="s">
        <v>61</v>
      </c>
      <c r="I38" s="46" t="s">
        <v>126</v>
      </c>
      <c r="J38" s="46" t="s">
        <v>165</v>
      </c>
      <c r="K38" s="46" t="s">
        <v>128</v>
      </c>
      <c r="L38" s="46" t="s">
        <v>118</v>
      </c>
      <c r="M38" s="48"/>
      <c r="N38" s="48">
        <v>0</v>
      </c>
      <c r="O38" s="48">
        <f>Tableau3[[#This Row],[HJ Dev]]*(25%+25%)</f>
        <v>0</v>
      </c>
      <c r="P38" s="48">
        <f>Tableau3[[#This Row],[HJ Analyse et Test]]+Tableau3[[#This Row],[HJ Dev]]</f>
        <v>0</v>
      </c>
      <c r="Q38" s="48" t="s">
        <v>38</v>
      </c>
      <c r="R38" s="48" t="s">
        <v>38</v>
      </c>
      <c r="S38" s="48" t="s">
        <v>38</v>
      </c>
      <c r="T38" s="48" t="s">
        <v>38</v>
      </c>
      <c r="U38" s="48" t="s">
        <v>38</v>
      </c>
      <c r="V38" s="48"/>
    </row>
    <row r="39" spans="2:22" x14ac:dyDescent="0.3">
      <c r="B39" s="48"/>
      <c r="C39" s="48"/>
      <c r="D39" s="48"/>
      <c r="E39" s="48"/>
      <c r="F39" s="48"/>
      <c r="G39" s="48"/>
      <c r="H39" s="48"/>
      <c r="I39" s="48"/>
      <c r="J39" s="48"/>
      <c r="K39" s="48"/>
      <c r="L39" s="48"/>
      <c r="M39" s="48"/>
      <c r="N39" s="48"/>
      <c r="O39" s="48"/>
      <c r="P39" s="48">
        <f>SUBTOTAL(109,Tableau3[Total HJ])</f>
        <v>0</v>
      </c>
      <c r="Q39" s="48"/>
      <c r="R39" s="48"/>
      <c r="S39" s="48"/>
      <c r="T39" s="48"/>
      <c r="U39" s="48"/>
      <c r="V39" s="48"/>
    </row>
  </sheetData>
  <mergeCells count="3">
    <mergeCell ref="Q2:V2"/>
    <mergeCell ref="B2:M2"/>
    <mergeCell ref="N2:P2"/>
  </mergeCells>
  <phoneticPr fontId="2" type="noConversion"/>
  <dataValidations count="1">
    <dataValidation type="whole" operator="greaterThanOrEqual" allowBlank="1" showInputMessage="1" showErrorMessage="1" sqref="N14:P38"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21" sqref="J21"/>
    </sheetView>
  </sheetViews>
  <sheetFormatPr baseColWidth="10" defaultColWidth="11.453125" defaultRowHeight="14.5" x14ac:dyDescent="0.35"/>
  <cols>
    <col min="1" max="1" width="12" style="2" customWidth="1"/>
    <col min="2" max="2" width="10.1796875" style="2" customWidth="1"/>
    <col min="3" max="3" width="11.453125" style="2"/>
    <col min="4" max="4" width="58.26953125" style="2" customWidth="1"/>
    <col min="5" max="5" width="15.81640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42</v>
      </c>
      <c r="B3" s="43" t="s">
        <v>0</v>
      </c>
      <c r="C3" s="44"/>
      <c r="D3" s="44"/>
      <c r="E3" s="44"/>
      <c r="F3" s="44"/>
      <c r="G3" s="45"/>
    </row>
    <row r="4" spans="1:7" x14ac:dyDescent="0.35">
      <c r="B4" s="4"/>
      <c r="C4" s="5"/>
      <c r="D4" s="5"/>
      <c r="E4" s="5"/>
      <c r="F4" s="5"/>
      <c r="G4" s="5"/>
    </row>
    <row r="5" spans="1:7" x14ac:dyDescent="0.35">
      <c r="B5" s="12" t="str">
        <f>'Gestion Exigences'!B5</f>
        <v>Client</v>
      </c>
      <c r="D5" s="12" t="str">
        <f>'Gestion Exigences'!D5</f>
        <v>F4T</v>
      </c>
      <c r="E5" s="5"/>
      <c r="F5" s="5"/>
      <c r="G5" s="5"/>
    </row>
    <row r="6" spans="1:7" x14ac:dyDescent="0.35">
      <c r="B6" s="12" t="str">
        <f>'Gestion Exigences'!B6</f>
        <v>Projet</v>
      </c>
      <c r="D6" s="12" t="str">
        <f>'Gestion Exigences'!D6</f>
        <v>Digitalisation Usine Phase 1</v>
      </c>
      <c r="E6" s="5"/>
      <c r="F6" s="5"/>
      <c r="G6" s="5"/>
    </row>
    <row r="7" spans="1:7" x14ac:dyDescent="0.35">
      <c r="B7" s="12" t="str">
        <f>'Gestion Exigences'!B7</f>
        <v>Réf BPA du Devis</v>
      </c>
      <c r="D7" s="12" t="str">
        <f>'Gestion Exigences'!D7</f>
        <v>S0-00xyz</v>
      </c>
      <c r="E7" s="5"/>
      <c r="F7" s="5"/>
      <c r="G7" s="5"/>
    </row>
    <row r="8" spans="1:7" x14ac:dyDescent="0.35">
      <c r="B8" s="12" t="str">
        <f>'Gestion Exigences'!B8</f>
        <v>Réf BPA du Projet</v>
      </c>
      <c r="D8" s="12" t="str">
        <f>'Gestion Exigences'!D8</f>
        <v>PR-22-0xyz</v>
      </c>
      <c r="E8" s="5"/>
      <c r="F8" s="5"/>
      <c r="G8" s="5"/>
    </row>
    <row r="9" spans="1:7" x14ac:dyDescent="0.35">
      <c r="B9" s="4"/>
      <c r="C9" s="12"/>
      <c r="D9" s="5"/>
      <c r="E9" s="5"/>
      <c r="F9" s="5"/>
      <c r="G9" s="5"/>
    </row>
    <row r="10" spans="1:7" x14ac:dyDescent="0.35">
      <c r="B10" s="25" t="str">
        <f>'Gestion Exigences'!B10</f>
        <v>Réf Modèle Document</v>
      </c>
      <c r="C10" s="26" t="str">
        <f>'Gestion Exigences'!D10</f>
        <v>MD203</v>
      </c>
      <c r="D10" s="5"/>
      <c r="E10" s="5"/>
      <c r="F10" s="5"/>
      <c r="G10" s="5"/>
    </row>
    <row r="11" spans="1:7" x14ac:dyDescent="0.35">
      <c r="B11" s="25" t="str">
        <f>'Gestion Exigences'!B11</f>
        <v>Version Modèle Document</v>
      </c>
      <c r="C11" s="26" t="str">
        <f>'Gestion Exigences'!D11</f>
        <v>V1.5</v>
      </c>
      <c r="D11" s="5"/>
      <c r="E11" s="5"/>
      <c r="F11" s="5"/>
      <c r="G11" s="5"/>
    </row>
    <row r="12" spans="1:7" x14ac:dyDescent="0.35">
      <c r="B12" s="4"/>
      <c r="C12" s="5"/>
      <c r="D12" s="5"/>
      <c r="E12" s="5"/>
      <c r="F12" s="5"/>
      <c r="G12" s="5"/>
    </row>
    <row r="13" spans="1:7" x14ac:dyDescent="0.35">
      <c r="B13" s="13" t="s">
        <v>43</v>
      </c>
      <c r="C13" s="13" t="s">
        <v>44</v>
      </c>
      <c r="D13" s="13" t="s">
        <v>45</v>
      </c>
      <c r="E13" s="13" t="s">
        <v>46</v>
      </c>
      <c r="F13" s="13" t="s">
        <v>47</v>
      </c>
      <c r="G13" s="13" t="s">
        <v>48</v>
      </c>
    </row>
    <row r="14" spans="1:7" ht="29.5" customHeight="1" x14ac:dyDescent="0.35">
      <c r="B14" s="6" t="s">
        <v>86</v>
      </c>
      <c r="C14" s="7">
        <v>45342</v>
      </c>
      <c r="D14" s="23" t="s">
        <v>87</v>
      </c>
      <c r="E14" s="6" t="s">
        <v>88</v>
      </c>
      <c r="F14" s="22" t="s">
        <v>89</v>
      </c>
      <c r="G14" s="6" t="s">
        <v>49</v>
      </c>
    </row>
    <row r="15" spans="1:7" x14ac:dyDescent="0.35">
      <c r="B15" s="6" t="s">
        <v>116</v>
      </c>
      <c r="C15" s="33">
        <v>45701</v>
      </c>
      <c r="D15" s="2" t="s">
        <v>119</v>
      </c>
      <c r="E15" s="2" t="s">
        <v>117</v>
      </c>
      <c r="F15" s="22" t="s">
        <v>118</v>
      </c>
      <c r="G15" s="6" t="s">
        <v>49</v>
      </c>
    </row>
    <row r="16" spans="1:7" x14ac:dyDescent="0.35">
      <c r="B16" s="6" t="s">
        <v>120</v>
      </c>
      <c r="C16" s="33">
        <v>45786</v>
      </c>
      <c r="D16" s="2" t="s">
        <v>121</v>
      </c>
      <c r="E16" s="2" t="s">
        <v>117</v>
      </c>
      <c r="F16" s="22" t="s">
        <v>118</v>
      </c>
      <c r="G16" s="6" t="s">
        <v>49</v>
      </c>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topLeftCell="B1" workbookViewId="0">
      <selection activeCell="I6" sqref="I6"/>
    </sheetView>
  </sheetViews>
  <sheetFormatPr baseColWidth="10" defaultColWidth="11.453125" defaultRowHeight="13" x14ac:dyDescent="0.25"/>
  <cols>
    <col min="1" max="2" width="11.453125" style="10"/>
    <col min="3" max="4" width="19.7265625" style="10" customWidth="1"/>
    <col min="5" max="5" width="23.81640625" style="10" customWidth="1"/>
    <col min="6" max="6" width="14.453125" style="10" customWidth="1"/>
    <col min="7" max="7" width="23.81640625" style="10" customWidth="1"/>
    <col min="8" max="8" width="25.1796875" style="10" customWidth="1"/>
    <col min="9" max="9" width="20.453125" style="10" customWidth="1"/>
    <col min="10" max="16384" width="11.453125" style="10"/>
  </cols>
  <sheetData>
    <row r="2" spans="2:9" ht="26" x14ac:dyDescent="0.25">
      <c r="B2" s="11" t="s">
        <v>3</v>
      </c>
      <c r="C2" s="11" t="s">
        <v>19</v>
      </c>
      <c r="D2" s="11" t="s">
        <v>50</v>
      </c>
      <c r="E2" s="11" t="s">
        <v>23</v>
      </c>
      <c r="F2" s="11" t="s">
        <v>51</v>
      </c>
      <c r="G2" s="11" t="s">
        <v>27</v>
      </c>
      <c r="H2" s="11" t="s">
        <v>52</v>
      </c>
      <c r="I2" s="11" t="s">
        <v>20</v>
      </c>
    </row>
    <row r="3" spans="2:9" x14ac:dyDescent="0.25">
      <c r="B3" s="10" t="s">
        <v>68</v>
      </c>
      <c r="C3" s="10" t="s">
        <v>53</v>
      </c>
      <c r="D3" s="10" t="s">
        <v>54</v>
      </c>
      <c r="E3" s="10" t="s">
        <v>55</v>
      </c>
      <c r="F3" s="10" t="s">
        <v>56</v>
      </c>
      <c r="G3" s="10" t="s">
        <v>57</v>
      </c>
      <c r="H3" s="10" t="s">
        <v>58</v>
      </c>
      <c r="I3" s="10" t="s">
        <v>77</v>
      </c>
    </row>
    <row r="4" spans="2:9" x14ac:dyDescent="0.25">
      <c r="B4" s="10" t="s">
        <v>72</v>
      </c>
      <c r="C4" s="10" t="s">
        <v>59</v>
      </c>
      <c r="D4" s="10" t="s">
        <v>60</v>
      </c>
      <c r="E4" s="10" t="s">
        <v>61</v>
      </c>
      <c r="F4" s="10" t="s">
        <v>62</v>
      </c>
      <c r="G4" s="10" t="s">
        <v>63</v>
      </c>
      <c r="H4" s="10" t="s">
        <v>64</v>
      </c>
      <c r="I4" s="10" t="s">
        <v>78</v>
      </c>
    </row>
    <row r="5" spans="2:9" x14ac:dyDescent="0.25">
      <c r="B5" s="10" t="s">
        <v>4</v>
      </c>
      <c r="C5" s="10" t="s">
        <v>65</v>
      </c>
      <c r="D5" s="10" t="s">
        <v>66</v>
      </c>
      <c r="E5" s="10" t="s">
        <v>67</v>
      </c>
      <c r="F5" s="10" t="s">
        <v>38</v>
      </c>
      <c r="G5" s="10" t="s">
        <v>38</v>
      </c>
      <c r="H5" s="10" t="s">
        <v>38</v>
      </c>
      <c r="I5" s="10" t="s">
        <v>79</v>
      </c>
    </row>
    <row r="6" spans="2:9" x14ac:dyDescent="0.25">
      <c r="B6" s="10" t="s">
        <v>4</v>
      </c>
      <c r="C6" s="10" t="s">
        <v>69</v>
      </c>
      <c r="D6" s="10" t="s">
        <v>70</v>
      </c>
      <c r="E6" s="10" t="s">
        <v>71</v>
      </c>
      <c r="I6" s="10" t="s">
        <v>80</v>
      </c>
    </row>
    <row r="7" spans="2:9" x14ac:dyDescent="0.25">
      <c r="C7" s="10" t="s">
        <v>73</v>
      </c>
      <c r="D7" s="10" t="s">
        <v>74</v>
      </c>
      <c r="E7" s="10" t="s">
        <v>114</v>
      </c>
      <c r="I7" s="10" t="s">
        <v>81</v>
      </c>
    </row>
    <row r="8" spans="2:9" x14ac:dyDescent="0.25">
      <c r="C8" s="10" t="s">
        <v>113</v>
      </c>
      <c r="E8" s="10" t="s">
        <v>75</v>
      </c>
      <c r="I8" s="10" t="s">
        <v>82</v>
      </c>
    </row>
    <row r="9" spans="2:9" x14ac:dyDescent="0.25">
      <c r="E9" s="10" t="s">
        <v>76</v>
      </c>
      <c r="I9" s="10" t="s">
        <v>83</v>
      </c>
    </row>
    <row r="11" spans="2:9" x14ac:dyDescent="0.25">
      <c r="I11" s="10" t="s">
        <v>84</v>
      </c>
    </row>
    <row r="12" spans="2:9" ht="26" x14ac:dyDescent="0.25">
      <c r="I12" s="10"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ds:schemaRefs>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43b908ec-9e92-424c-a4ad-3174bac6e888"/>
    <ds:schemaRef ds:uri="5f2f9e80-f74a-40c7-b145-b94d8e4966f0"/>
    <ds:schemaRef ds:uri="http://purl.org/dc/dcmitype/"/>
    <ds:schemaRef ds:uri="http://purl.org/dc/terms/"/>
  </ds:schemaRefs>
</ds:datastoreItem>
</file>

<file path=customXml/itemProps2.xml><?xml version="1.0" encoding="utf-8"?>
<ds:datastoreItem xmlns:ds="http://schemas.openxmlformats.org/officeDocument/2006/customXml" ds:itemID="{D54EF022-81C0-46B3-A3E0-96E374C2A421}"/>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Fiche Client</vt: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2025-05-09T15:45:19Z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