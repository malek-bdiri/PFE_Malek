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27 MBG CONSTRUCTION (PGH)/20 Projet pilote MBG  Construction/2 Préparation Offre/"/>
    </mc:Choice>
  </mc:AlternateContent>
  <xr:revisionPtr revIDLastSave="7" documentId="14_{4DAF7A89-BF1E-47C9-8401-745915320106}" xr6:coauthVersionLast="47" xr6:coauthVersionMax="47" xr10:uidLastSave="{2A28179D-85A4-4E0F-B672-24C53C3B9422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Exigences'!$C$2:$I$20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27" l="1"/>
  <c r="P31" i="27" s="1"/>
  <c r="O30" i="27"/>
  <c r="P30" i="27" s="1"/>
  <c r="O29" i="27"/>
  <c r="P29" i="27" s="1"/>
  <c r="O28" i="27"/>
  <c r="P28" i="27" s="1"/>
  <c r="O27" i="27"/>
  <c r="P27" i="27" s="1"/>
  <c r="O26" i="27"/>
  <c r="P26" i="27" s="1"/>
  <c r="O25" i="27"/>
  <c r="P25" i="27" s="1"/>
  <c r="O24" i="27"/>
  <c r="P24" i="27" s="1"/>
  <c r="O23" i="27"/>
  <c r="P23" i="27" s="1"/>
  <c r="O22" i="27"/>
  <c r="P22" i="27" s="1"/>
  <c r="O14" i="27"/>
  <c r="P14" i="27" s="1"/>
  <c r="O15" i="27"/>
  <c r="P15" i="27" s="1"/>
  <c r="O16" i="27"/>
  <c r="P16" i="27" s="1"/>
  <c r="O17" i="27"/>
  <c r="P17" i="27" s="1"/>
  <c r="O18" i="27"/>
  <c r="P18" i="27" s="1"/>
  <c r="O19" i="27"/>
  <c r="P19" i="27" s="1"/>
  <c r="O20" i="27"/>
  <c r="P20" i="27" s="1"/>
  <c r="O21" i="27"/>
  <c r="P21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P32" i="27" l="1"/>
</calcChain>
</file>

<file path=xl/sharedStrings.xml><?xml version="1.0" encoding="utf-8"?>
<sst xmlns="http://schemas.openxmlformats.org/spreadsheetml/2006/main" count="140" uniqueCount="127">
  <si>
    <t>Gestion Exigences Projet</t>
  </si>
  <si>
    <t>Chiffrage Réalisation (SF only)</t>
  </si>
  <si>
    <t>Revue et Vérification Pendant la Conception</t>
  </si>
  <si>
    <t>BU</t>
  </si>
  <si>
    <t>Client</t>
  </si>
  <si>
    <t>Projet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</si>
  <si>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</si>
  <si>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</si>
  <si>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</si>
  <si>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</si>
  <si>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</si>
  <si>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</si>
  <si>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</si>
  <si>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</si>
  <si>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</si>
  <si>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</si>
  <si>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</si>
  <si>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</si>
  <si>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</si>
  <si>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</si>
  <si>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</si>
  <si>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</si>
  <si>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</si>
  <si>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</si>
  <si>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</si>
  <si>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</si>
  <si>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</si>
  <si>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</si>
  <si>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</si>
  <si>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</si>
  <si>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</si>
  <si>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</si>
  <si>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</si>
  <si>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</si>
  <si>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</si>
  <si>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</si>
  <si>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</si>
  <si>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</si>
  <si>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N/A</t>
  </si>
  <si>
    <t>E002</t>
  </si>
  <si>
    <t>E003</t>
  </si>
  <si>
    <t>E004</t>
  </si>
  <si>
    <t>E005</t>
  </si>
  <si>
    <t>E006</t>
  </si>
  <si>
    <t>E007</t>
  </si>
  <si>
    <t>E008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</si>
  <si>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</si>
  <si>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</si>
  <si>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</si>
  <si>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</si>
  <si>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</si>
  <si>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</si>
  <si>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</si>
  <si>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</si>
  <si>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</si>
  <si>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</si>
  <si>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</si>
  <si>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</si>
  <si>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Exigence identifiée pendant la phase</t>
  </si>
  <si>
    <t>Oui/Non</t>
  </si>
  <si>
    <t>Statut Interne</t>
  </si>
  <si>
    <t>SE</t>
  </si>
  <si>
    <t>Fonctionnelle</t>
  </si>
  <si>
    <t>Commerciale</t>
  </si>
  <si>
    <t>CdC client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</si>
  <si>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</si>
  <si>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</si>
  <si>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</si>
  <si>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</si>
  <si>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</si>
  <si>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</si>
  <si>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</si>
  <si>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</si>
  <si>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</si>
  <si>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</si>
  <si>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</si>
  <si>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</si>
  <si>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</si>
  <si>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</si>
  <si>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</si>
  <si>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</si>
  <si>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</si>
  <si>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SF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</si>
  <si>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</si>
  <si>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</si>
  <si>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</si>
  <si>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</si>
  <si>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</si>
  <si>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</si>
  <si>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</si>
  <si>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</si>
  <si>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</si>
  <si>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</si>
  <si>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</si>
  <si>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</si>
  <si>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</si>
  <si>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</si>
  <si>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</si>
  <si>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</si>
  <si>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</si>
  <si>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</si>
  <si>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</si>
  <si>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</si>
  <si>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</si>
  <si>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</si>
  <si>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</si>
  <si>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</si>
  <si>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</si>
  <si>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</si>
  <si>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</si>
  <si>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MBG Contruction</t>
  </si>
  <si>
    <t>Chargement des données</t>
  </si>
  <si>
    <t>Gestion des OF</t>
  </si>
  <si>
    <t>fihce d'auto-contrôle qualité par opération</t>
  </si>
  <si>
    <t>Suivi de la production des semi finis</t>
  </si>
  <si>
    <t>Suivi de la pproduction des PF</t>
  </si>
  <si>
    <t>Fiche de contrôle qualité par opération</t>
  </si>
  <si>
    <t xml:space="preserve">Suivi des arrêts </t>
  </si>
  <si>
    <t>Résumé OF</t>
  </si>
  <si>
    <t>Suivi de l'énergie</t>
  </si>
  <si>
    <t>Suivi de l'impact carbonne</t>
  </si>
  <si>
    <t>Adaptation : ajouter le bilan carbon dans le résumé OF</t>
  </si>
  <si>
    <t>Configuration de ll'usine</t>
  </si>
  <si>
    <t>Modélisation de l'usine</t>
  </si>
  <si>
    <t>Gestion des opérations</t>
  </si>
  <si>
    <t xml:space="preserve">La solution offre un module "Core" qui permet de:
-Modèliser l'usine : Site , Atelier , ligne , Poste , Machines 
- Les utilisateurs avec la gestion des permessions et des accées .
- Gestion des shifts , des équipes et des plannifications.
- Configurer incidents qualité et les pannes de maintenace .
</t>
  </si>
  <si>
    <t xml:space="preserve">
Adaptation : La solution porppose d'ajouter le gestion des gammes opératoires par porduit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</si>
</sst>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6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3</xdr:col>
      <xdr:colOff>443142</xdr:colOff>
      <xdr:row>2</xdr:row>
      <xdr:rowOff>600635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32" totalsRowCount="1" headerRowDxfId="51" dataDxfId="50">
  <autoFilter ref="B13:V31" xr:uid="{DDEA2C8B-EE0D-4C55-9256-CCC64E002CE6}"/>
  <tableColumns count="21">
    <tableColumn id="1" xr3:uid="{E467E0EE-CDAA-4FF5-85A8-CDC0B23A5AD9}" name="ID" dataDxfId="49" totalsRowDxfId="20"/>
    <tableColumn id="2" xr3:uid="{E53952AC-4972-47BD-8B1D-C7EF23088D0D}" name="Intitulé Exigence" dataDxfId="48" totalsRowDxfId="19"/>
    <tableColumn id="8" xr3:uid="{B2D0BC2C-C803-4015-8FA6-70F84517BDB2}" name="Nature" dataDxfId="47" totalsRowDxfId="18"/>
    <tableColumn id="7" xr3:uid="{24F2F0ED-022E-4EC1-91D8-BFE0E4F2FD36}" name="Catégorie" dataDxfId="46" totalsRowDxfId="17"/>
    <tableColumn id="10" xr3:uid="{1FF81CF1-6D35-421C-8767-9E7FA06FEE6A}" name="Exigence idenfiée pendant la phase" dataDxfId="45" totalsRowDxfId="16"/>
    <tableColumn id="3" xr3:uid="{E7621A68-9552-4853-96A5-92A226EA42DD}" name="Description de l'exigence" dataDxfId="44" totalsRowDxfId="15"/>
    <tableColumn id="9" xr3:uid="{E6EEEC82-3576-4980-94B3-1423906CE531}" name="Source" dataDxfId="43" totalsRowDxfId="14"/>
    <tableColumn id="16" xr3:uid="{1441554A-79F9-4040-9CF5-AEBFF7ADF7D1}" name="Desciption de la solution ADDIXO" dataDxfId="42" totalsRowDxfId="13"/>
    <tableColumn id="17" xr3:uid="{D1BC9C86-C3CE-417F-AC83-FC4786A7656D}" name="Ecart entre exigence client et la solution proposée - préciser aussi les limites et hypothèses si applicable" dataDxfId="41" totalsRowDxfId="12"/>
    <tableColumn id="5" xr3:uid="{2649C3B7-E8B9-44F9-8883-E5BB6F91B4B1}" name="Validation Interne" dataDxfId="40" totalsRowDxfId="11"/>
    <tableColumn id="6" xr3:uid="{8CC493F8-0886-498D-AB98-B77300CC6510}" name="Validation Interne par:" dataDxfId="39" totalsRowDxfId="10"/>
    <tableColumn id="15" xr3:uid="{78231C60-0932-4386-925D-4C689A91C0E3}" name="Statut Client" dataDxfId="38" totalsRowDxfId="9"/>
    <tableColumn id="22" xr3:uid="{D944A0FD-E468-407F-91A6-BD8A29086A7B}" name="HJ Dev" dataDxfId="37" totalsRowDxfId="8"/>
    <tableColumn id="21" xr3:uid="{818C68C5-1CC3-4DC9-9BB8-2CB7816ABE9F}" name="HJ Analyse et Test" dataDxfId="36" totalsRowDxfId="7">
      <calculatedColumnFormula>Tableau3[[#This Row],[HJ Dev]]*(25%+25%)</calculatedColumnFormula>
    </tableColumn>
    <tableColumn id="20" xr3:uid="{81CB5860-4285-4425-ABF9-C91F3323BF25}" name="Total HJ" totalsRowFunction="sum" dataDxfId="35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34" totalsRowDxfId="5"/>
    <tableColumn id="12" xr3:uid="{36B390F4-625A-46E1-864B-7108903FFD96}" name="Conception réalisée par:" dataDxfId="33" totalsRowDxfId="4"/>
    <tableColumn id="13" xr3:uid="{9016419E-83A5-4950-AB28-EA27A0D72FAD}" name="Revue conception réalisée par" dataDxfId="32" totalsRowDxfId="3"/>
    <tableColumn id="14" xr3:uid="{B5F29B7E-09EB-43EF-BD3D-9ADF38F7CC12}" name="Vérification de la conception réalisée par" dataDxfId="31" totalsRowDxfId="2"/>
    <tableColumn id="18" xr3:uid="{0CA25C90-64D6-43D5-90C8-CE6D70CCA638}" name="Preuve de vérification " dataDxfId="30" totalsRowDxfId="1"/>
    <tableColumn id="4" xr3:uid="{B7406A3A-A365-4F76-9A20-372573D19BC9}" name="Notes" dataDxfId="29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28" dataDxfId="27">
  <autoFilter ref="B13:G18" xr:uid="{96AD1385-A1F5-4391-ABC2-C9F250557626}"/>
  <tableColumns count="6">
    <tableColumn id="1" xr3:uid="{56DA355E-F205-482A-9CF1-CA3361A1D801}" name="Version" dataDxfId="26"/>
    <tableColumn id="2" xr3:uid="{C9D8A0D7-1D6E-479B-AF74-6D39D19E4653}" name="Date" dataDxfId="25"/>
    <tableColumn id="3" xr3:uid="{79109713-8A38-4162-A269-136157905B75}" name="Modifications" dataDxfId="24"/>
    <tableColumn id="4" xr3:uid="{AC928B3E-399C-4A3D-9FB5-9CD96F5D4745}" name="Auteur(s)" dataDxfId="23"/>
    <tableColumn id="5" xr3:uid="{0D0A428D-4F18-4D4E-A0CB-4D1A5057B6E9}" name="Vérificateur(s)" dataDxfId="22"/>
    <tableColumn id="6" xr3:uid="{D81EAB57-FBCA-44D9-8F45-58AF13AA08B6}" name="Approbateur" dataDxfId="2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32"/>
  <sheetViews>
    <sheetView tabSelected="1" topLeftCell="A4" zoomScale="85" zoomScaleNormal="85" workbookViewId="0">
      <selection activeCell="E17" sqref="E17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27.453125" style="1" customWidth="1"/>
    <col min="4" max="5" width="18.26953125" style="1" customWidth="1"/>
    <col min="6" max="6" width="19.453125" style="1" customWidth="1"/>
    <col min="7" max="7" width="56.54296875" style="1" customWidth="1"/>
    <col min="8" max="8" width="18.453125" style="1" customWidth="1"/>
    <col min="9" max="9" width="56.54296875" style="1" customWidth="1"/>
    <col min="10" max="10" width="33.1796875" style="1" customWidth="1"/>
    <col min="11" max="12" width="13.54296875" style="1" customWidth="1"/>
    <col min="13" max="13" width="15.26953125" style="1" customWidth="1"/>
    <col min="14" max="14" width="11.81640625" style="1" customWidth="1"/>
    <col min="15" max="15" width="15.453125" style="1" customWidth="1"/>
    <col min="16" max="16" width="13.7265625" style="1" customWidth="1"/>
    <col min="17" max="17" width="39.81640625" style="1" customWidth="1"/>
    <col min="18" max="18" width="15.7265625" style="1" customWidth="1"/>
    <col min="19" max="19" width="20.54296875" style="1" customWidth="1"/>
    <col min="20" max="20" width="20.1796875" style="1" customWidth="1"/>
    <col min="21" max="21" width="15.1796875" style="1" customWidth="1"/>
    <col min="22" max="22" width="30.81640625" style="1" customWidth="1"/>
    <col min="23" max="16384" width="11.453125" style="1"/>
  </cols>
  <sheetData>
    <row r="1" spans="2:22" ht="13.5" thickBot="1" x14ac:dyDescent="0.35"/>
    <row r="2" spans="2:22" ht="21.75" customHeight="1" thickBot="1" x14ac:dyDescent="0.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0" t="s">
        <v>1</v>
      </c>
      <c r="O2" s="41"/>
      <c r="P2" s="42"/>
      <c r="Q2" s="34" t="s">
        <v>2</v>
      </c>
      <c r="R2" s="35"/>
      <c r="S2" s="35"/>
      <c r="T2" s="35"/>
      <c r="U2" s="35"/>
      <c r="V2" s="36"/>
    </row>
    <row r="3" spans="2:22" ht="53.25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7" t="s">
        <v>3</v>
      </c>
      <c r="C4" s="8"/>
      <c r="D4" s="29"/>
      <c r="E4" s="8"/>
      <c r="F4" s="8"/>
      <c r="G4" s="8"/>
      <c r="H4" s="8"/>
      <c r="I4" s="8"/>
    </row>
    <row r="5" spans="2:22" ht="21.75" customHeight="1" x14ac:dyDescent="0.35">
      <c r="B5" s="24" t="s">
        <v>4</v>
      </c>
      <c r="D5" s="3" t="s">
        <v>110</v>
      </c>
      <c r="E5" s="3"/>
      <c r="F5" s="3"/>
      <c r="G5" s="3"/>
      <c r="H5" s="3"/>
      <c r="I5" s="3"/>
    </row>
    <row r="6" spans="2:22" ht="21" customHeight="1" x14ac:dyDescent="0.35">
      <c r="B6" s="24" t="s">
        <v>5</v>
      </c>
      <c r="D6" s="3"/>
      <c r="E6" s="3"/>
      <c r="F6" s="3"/>
      <c r="G6" s="3"/>
      <c r="H6" s="3"/>
      <c r="I6" s="3"/>
    </row>
    <row r="7" spans="2:22" ht="20.5" customHeight="1" thickBot="1" x14ac:dyDescent="0.4">
      <c r="B7" s="24" t="s">
        <v>6</v>
      </c>
      <c r="D7" s="3" t="s">
        <v>7</v>
      </c>
      <c r="E7" s="3"/>
      <c r="F7" s="3"/>
      <c r="G7" s="28" t="s">
        <v>8</v>
      </c>
      <c r="H7" s="3"/>
      <c r="I7" s="3"/>
    </row>
    <row r="8" spans="2:22" ht="21.65" customHeight="1" x14ac:dyDescent="0.35">
      <c r="B8" s="24" t="s">
        <v>9</v>
      </c>
      <c r="D8" s="3" t="s">
        <v>10</v>
      </c>
      <c r="E8" s="3"/>
      <c r="F8" s="3"/>
      <c r="G8" s="3"/>
      <c r="H8" s="3"/>
      <c r="I8" s="3"/>
    </row>
    <row r="9" spans="2:22" ht="14.5" x14ac:dyDescent="0.35">
      <c r="C9" s="3"/>
      <c r="D9" s="21"/>
      <c r="E9" s="21"/>
      <c r="F9" s="21"/>
      <c r="G9" s="21"/>
      <c r="H9" s="21"/>
      <c r="I9" s="21"/>
    </row>
    <row r="10" spans="2:22" x14ac:dyDescent="0.3">
      <c r="B10" s="25" t="s">
        <v>11</v>
      </c>
      <c r="C10" s="26"/>
      <c r="D10" s="25" t="s">
        <v>12</v>
      </c>
      <c r="E10" s="9"/>
      <c r="F10" s="9"/>
      <c r="I10" s="18" t="s">
        <v>13</v>
      </c>
    </row>
    <row r="11" spans="2:22" x14ac:dyDescent="0.3">
      <c r="B11" s="25" t="s">
        <v>14</v>
      </c>
      <c r="C11" s="26"/>
      <c r="D11" s="25" t="s">
        <v>15</v>
      </c>
      <c r="E11" s="9"/>
      <c r="F11" s="9"/>
    </row>
    <row r="12" spans="2:22" ht="13.5" thickBot="1" x14ac:dyDescent="0.35"/>
    <row r="13" spans="2:22" s="10" customFormat="1" ht="39.5" thickBot="1" x14ac:dyDescent="0.3">
      <c r="B13" s="31" t="s">
        <v>16</v>
      </c>
      <c r="C13" s="32" t="s">
        <v>17</v>
      </c>
      <c r="D13" s="32" t="s">
        <v>18</v>
      </c>
      <c r="E13" s="32" t="s">
        <v>19</v>
      </c>
      <c r="F13" s="32" t="s">
        <v>20</v>
      </c>
      <c r="G13" s="32" t="s">
        <v>21</v>
      </c>
      <c r="H13" s="32" t="s">
        <v>22</v>
      </c>
      <c r="I13" s="32" t="s">
        <v>23</v>
      </c>
      <c r="J13" s="32" t="s">
        <v>24</v>
      </c>
      <c r="K13" s="32" t="s">
        <v>25</v>
      </c>
      <c r="L13" s="32" t="s">
        <v>26</v>
      </c>
      <c r="M13" s="33" t="s">
        <v>27</v>
      </c>
      <c r="N13" s="14" t="s">
        <v>28</v>
      </c>
      <c r="O13" s="14" t="s">
        <v>29</v>
      </c>
      <c r="P13" s="14" t="s">
        <v>30</v>
      </c>
      <c r="Q13" s="15" t="s">
        <v>31</v>
      </c>
      <c r="R13" s="16" t="s">
        <v>32</v>
      </c>
      <c r="S13" s="16" t="s">
        <v>33</v>
      </c>
      <c r="T13" s="16" t="s">
        <v>34</v>
      </c>
      <c r="U13" s="16" t="s">
        <v>35</v>
      </c>
      <c r="V13" s="17" t="s">
        <v>36</v>
      </c>
    </row>
    <row r="14" spans="2:22" s="10" customFormat="1" ht="136.5" customHeight="1" x14ac:dyDescent="0.25">
      <c r="B14" s="10" t="s">
        <v>37</v>
      </c>
      <c r="C14" s="10" t="s">
        <v>122</v>
      </c>
      <c r="G14" s="10" t="s">
        <v>123</v>
      </c>
      <c r="I14" s="10" t="s">
        <v>125</v>
      </c>
      <c r="N14" s="10">
        <v>3</v>
      </c>
      <c r="O14" s="10">
        <f>Tableau3[[#This Row],[HJ Dev]]*(25%+25%)</f>
        <v>1.5</v>
      </c>
      <c r="P14" s="10">
        <f>Tableau3[[#This Row],[HJ Analyse et Test]]+Tableau3[[#This Row],[HJ Dev]]</f>
        <v>4.5</v>
      </c>
      <c r="Q14" s="10" t="s">
        <v>38</v>
      </c>
      <c r="R14" s="10" t="s">
        <v>38</v>
      </c>
      <c r="S14" s="10" t="s">
        <v>38</v>
      </c>
      <c r="T14" s="10" t="s">
        <v>38</v>
      </c>
      <c r="U14" s="10" t="s">
        <v>38</v>
      </c>
    </row>
    <row r="15" spans="2:22" s="10" customFormat="1" ht="36" customHeight="1" x14ac:dyDescent="0.25">
      <c r="B15" s="10" t="s">
        <v>39</v>
      </c>
      <c r="C15" s="10" t="s">
        <v>111</v>
      </c>
      <c r="N15" s="10">
        <v>2</v>
      </c>
      <c r="O15" s="10">
        <f>Tableau3[[#This Row],[HJ Dev]]*(25%+25%)</f>
        <v>1</v>
      </c>
      <c r="P15" s="10">
        <f>Tableau3[[#This Row],[HJ Analyse et Test]]+Tableau3[[#This Row],[HJ Dev]]</f>
        <v>3</v>
      </c>
    </row>
    <row r="16" spans="2:22" s="10" customFormat="1" ht="36" customHeight="1" x14ac:dyDescent="0.25">
      <c r="B16" s="10" t="s">
        <v>40</v>
      </c>
      <c r="C16" s="10" t="s">
        <v>124</v>
      </c>
      <c r="I16" s="10" t="s">
        <v>126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36" customHeight="1" x14ac:dyDescent="0.25">
      <c r="B17" s="10" t="s">
        <v>41</v>
      </c>
      <c r="C17" s="10" t="s">
        <v>112</v>
      </c>
      <c r="N17" s="10">
        <v>0</v>
      </c>
      <c r="O17" s="10">
        <f>Tableau3[[#This Row],[HJ Dev]]*(25%+25%)</f>
        <v>0</v>
      </c>
      <c r="P17" s="10">
        <f>Tableau3[[#This Row],[HJ Analyse et Test]]+Tableau3[[#This Row],[HJ Dev]]</f>
        <v>0</v>
      </c>
    </row>
    <row r="18" spans="2:22" s="10" customFormat="1" ht="36" customHeight="1" x14ac:dyDescent="0.25">
      <c r="B18" s="10" t="s">
        <v>42</v>
      </c>
      <c r="C18" s="10" t="s">
        <v>114</v>
      </c>
      <c r="N18" s="10">
        <v>0</v>
      </c>
      <c r="O18" s="10">
        <f>Tableau3[[#This Row],[HJ Dev]]*(25%+25%)</f>
        <v>0</v>
      </c>
      <c r="P18" s="10">
        <f>Tableau3[[#This Row],[HJ Analyse et Test]]+Tableau3[[#This Row],[HJ Dev]]</f>
        <v>0</v>
      </c>
    </row>
    <row r="19" spans="2:22" s="10" customFormat="1" ht="36" customHeight="1" x14ac:dyDescent="0.25">
      <c r="B19" s="10" t="s">
        <v>43</v>
      </c>
      <c r="C19" s="10" t="s">
        <v>115</v>
      </c>
      <c r="N19" s="10">
        <v>0</v>
      </c>
      <c r="O19" s="10">
        <f>Tableau3[[#This Row],[HJ Dev]]*(25%+25%)</f>
        <v>0</v>
      </c>
      <c r="P19" s="10">
        <f>Tableau3[[#This Row],[HJ Analyse et Test]]+Tableau3[[#This Row],[HJ Dev]]</f>
        <v>0</v>
      </c>
    </row>
    <row r="20" spans="2:22" s="10" customFormat="1" ht="36" customHeight="1" x14ac:dyDescent="0.25">
      <c r="B20" s="10" t="s">
        <v>44</v>
      </c>
      <c r="C20" s="10" t="s">
        <v>113</v>
      </c>
      <c r="N20" s="10">
        <v>0</v>
      </c>
      <c r="O20" s="10">
        <f>Tableau3[[#This Row],[HJ Dev]]*(25%+25%)</f>
        <v>0</v>
      </c>
      <c r="P20" s="10">
        <f>Tableau3[[#This Row],[HJ Analyse et Test]]+Tableau3[[#This Row],[HJ Dev]]</f>
        <v>0</v>
      </c>
    </row>
    <row r="21" spans="2:22" s="10" customFormat="1" ht="36" customHeight="1" x14ac:dyDescent="0.25">
      <c r="B21" s="10" t="s">
        <v>45</v>
      </c>
      <c r="C21" s="10" t="s">
        <v>116</v>
      </c>
      <c r="N21" s="10">
        <v>0</v>
      </c>
      <c r="O21" s="10">
        <f>Tableau3[[#This Row],[HJ Dev]]*(25%+25%)</f>
        <v>0</v>
      </c>
      <c r="P21" s="10">
        <f>Tableau3[[#This Row],[HJ Analyse et Test]]+Tableau3[[#This Row],[HJ Dev]]</f>
        <v>0</v>
      </c>
    </row>
    <row r="22" spans="2:22" ht="36" customHeight="1" x14ac:dyDescent="0.3">
      <c r="B22" s="10"/>
      <c r="C22" s="10" t="s">
        <v>117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>
        <f>Tableau3[[#This Row],[HJ Dev]]*(25%+25%)</f>
        <v>0</v>
      </c>
      <c r="P22" s="10">
        <f>Tableau3[[#This Row],[HJ Analyse et Test]]+Tableau3[[#This Row],[HJ Dev]]</f>
        <v>0</v>
      </c>
      <c r="Q22" s="10"/>
      <c r="R22" s="10"/>
      <c r="S22" s="10"/>
      <c r="T22" s="10"/>
      <c r="U22" s="10"/>
      <c r="V22" s="10"/>
    </row>
    <row r="23" spans="2:22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>
        <f>Tableau3[[#This Row],[HJ Dev]]*(25%+25%)</f>
        <v>0</v>
      </c>
      <c r="P23" s="10">
        <f>Tableau3[[#This Row],[HJ Analyse et Test]]+Tableau3[[#This Row],[HJ Dev]]</f>
        <v>0</v>
      </c>
      <c r="Q23" s="10"/>
      <c r="R23" s="10"/>
      <c r="S23" s="10"/>
      <c r="T23" s="10"/>
      <c r="U23" s="10"/>
      <c r="V23" s="10"/>
    </row>
    <row r="24" spans="2:22" x14ac:dyDescent="0.3">
      <c r="B24" s="10"/>
      <c r="C24" s="10" t="s">
        <v>119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>
        <f>Tableau3[[#This Row],[HJ Dev]]*(25%+25%)</f>
        <v>0</v>
      </c>
      <c r="P24" s="10">
        <f>Tableau3[[#This Row],[HJ Analyse et Test]]+Tableau3[[#This Row],[HJ Dev]]</f>
        <v>0</v>
      </c>
      <c r="Q24" s="10"/>
      <c r="R24" s="10"/>
      <c r="S24" s="10"/>
      <c r="T24" s="10"/>
      <c r="U24" s="10"/>
      <c r="V24" s="10"/>
    </row>
    <row r="25" spans="2:22" x14ac:dyDescent="0.3">
      <c r="B25" s="10"/>
      <c r="C25" s="10" t="s">
        <v>120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>
        <f>Tableau3[[#This Row],[HJ Dev]]*(25%+25%)</f>
        <v>0</v>
      </c>
      <c r="P25" s="10">
        <f>Tableau3[[#This Row],[HJ Analyse et Test]]+Tableau3[[#This Row],[HJ Dev]]</f>
        <v>0</v>
      </c>
      <c r="Q25" s="10"/>
      <c r="R25" s="10"/>
      <c r="S25" s="10"/>
      <c r="T25" s="10"/>
      <c r="U25" s="10"/>
      <c r="V25" s="10"/>
    </row>
    <row r="26" spans="2:22" x14ac:dyDescent="0.3">
      <c r="B26" s="10"/>
      <c r="C26" s="10" t="s">
        <v>118</v>
      </c>
      <c r="D26" s="10"/>
      <c r="E26" s="10"/>
      <c r="F26" s="10"/>
      <c r="G26" s="10"/>
      <c r="H26" s="10"/>
      <c r="I26" s="10" t="s">
        <v>121</v>
      </c>
      <c r="J26" s="10"/>
      <c r="K26" s="10"/>
      <c r="L26" s="10"/>
      <c r="M26" s="10"/>
      <c r="N26" s="10"/>
      <c r="O26" s="10">
        <f>Tableau3[[#This Row],[HJ Dev]]*(25%+25%)</f>
        <v>0</v>
      </c>
      <c r="P26" s="10">
        <f>Tableau3[[#This Row],[HJ Analyse et Test]]+Tableau3[[#This Row],[HJ Dev]]</f>
        <v>0</v>
      </c>
      <c r="Q26" s="10"/>
      <c r="R26" s="10"/>
      <c r="S26" s="10"/>
      <c r="T26" s="10"/>
      <c r="U26" s="10"/>
      <c r="V26" s="10"/>
    </row>
    <row r="27" spans="2:22" x14ac:dyDescent="0.3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>
        <f>Tableau3[[#This Row],[HJ Dev]]*(25%+25%)</f>
        <v>0</v>
      </c>
      <c r="P27" s="10">
        <f>Tableau3[[#This Row],[HJ Analyse et Test]]+Tableau3[[#This Row],[HJ Dev]]</f>
        <v>0</v>
      </c>
      <c r="Q27" s="10"/>
      <c r="R27" s="10"/>
      <c r="S27" s="10"/>
      <c r="T27" s="10"/>
      <c r="U27" s="10"/>
      <c r="V27" s="10"/>
    </row>
    <row r="28" spans="2:22" x14ac:dyDescent="0.3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>
        <f>Tableau3[[#This Row],[HJ Dev]]*(25%+25%)</f>
        <v>0</v>
      </c>
      <c r="P28" s="10">
        <f>Tableau3[[#This Row],[HJ Analyse et Test]]+Tableau3[[#This Row],[HJ Dev]]</f>
        <v>0</v>
      </c>
      <c r="Q28" s="10"/>
      <c r="R28" s="10"/>
      <c r="S28" s="10"/>
      <c r="T28" s="10"/>
      <c r="U28" s="10"/>
      <c r="V28" s="10"/>
    </row>
    <row r="29" spans="2:22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>
        <f>Tableau3[[#This Row],[HJ Dev]]*(25%+25%)</f>
        <v>0</v>
      </c>
      <c r="P29" s="10">
        <f>Tableau3[[#This Row],[HJ Analyse et Test]]+Tableau3[[#This Row],[HJ Dev]]</f>
        <v>0</v>
      </c>
      <c r="Q29" s="10"/>
      <c r="R29" s="10"/>
      <c r="S29" s="10"/>
      <c r="T29" s="10"/>
      <c r="U29" s="10"/>
      <c r="V29" s="10"/>
    </row>
    <row r="30" spans="2:22" x14ac:dyDescent="0.3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f>Tableau3[[#This Row],[HJ Dev]]*(25%+25%)</f>
        <v>0</v>
      </c>
      <c r="P30" s="10">
        <f>Tableau3[[#This Row],[HJ Analyse et Test]]+Tableau3[[#This Row],[HJ Dev]]</f>
        <v>0</v>
      </c>
      <c r="Q30" s="10"/>
      <c r="R30" s="10"/>
      <c r="S30" s="10"/>
      <c r="T30" s="10"/>
      <c r="U30" s="10"/>
      <c r="V30" s="10"/>
    </row>
    <row r="31" spans="2:22" x14ac:dyDescent="0.3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>
        <f>Tableau3[[#This Row],[HJ Dev]]*(25%+25%)</f>
        <v>0</v>
      </c>
      <c r="P31" s="10">
        <f>Tableau3[[#This Row],[HJ Analyse et Test]]+Tableau3[[#This Row],[HJ Dev]]</f>
        <v>0</v>
      </c>
      <c r="Q31" s="10"/>
      <c r="R31" s="10"/>
      <c r="S31" s="10"/>
      <c r="T31" s="10"/>
      <c r="U31" s="10"/>
      <c r="V31" s="10"/>
    </row>
    <row r="32" spans="2:22" x14ac:dyDescent="0.3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f>SUBTOTAL(109,Tableau3[Total HJ])</f>
        <v>7.5</v>
      </c>
      <c r="Q32" s="10"/>
      <c r="R32" s="10"/>
      <c r="S32" s="10"/>
      <c r="T32" s="10"/>
      <c r="U32" s="10"/>
      <c r="V32" s="10"/>
    </row>
  </sheetData>
  <mergeCells count="3">
    <mergeCell ref="Q2:V2"/>
    <mergeCell ref="B2:M2"/>
    <mergeCell ref="N2:P2"/>
  </mergeCells>
  <phoneticPr fontId="2" type="noConversion"/>
  <dataValidations count="1">
    <dataValidation type="whole" operator="greaterThanOrEqual" allowBlank="1" showInputMessage="1" showErrorMessage="1" sqref="N14:P31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3E576AD-8CDE-4B1B-8DEC-1BE67CC8DE6D}">
          <x14:formula1>
            <xm:f>Params!$D$3:$D$10</xm:f>
          </x14:formula1>
          <xm:sqref>F14:F31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H14:H31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M14:M31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K14:K31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D14:D31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E14:E31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F15" sqref="F15"/>
    </sheetView>
  </sheetViews>
  <sheetFormatPr baseColWidth="10" defaultColWidth="11.453125" defaultRowHeight="14.5" x14ac:dyDescent="0.35"/>
  <cols>
    <col min="1" max="1" width="12" style="2" customWidth="1"/>
    <col min="2" max="2" width="10.1796875" style="2" customWidth="1"/>
    <col min="3" max="3" width="11.453125" style="2"/>
    <col min="4" max="4" width="58.26953125" style="2" customWidth="1"/>
    <col min="5" max="5" width="15.81640625" style="2" customWidth="1"/>
    <col min="6" max="6" width="22.2695312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46</v>
      </c>
      <c r="B3" s="43" t="s">
        <v>0</v>
      </c>
      <c r="C3" s="44"/>
      <c r="D3" s="44"/>
      <c r="E3" s="44"/>
      <c r="F3" s="44"/>
      <c r="G3" s="45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12" t="str">
        <f>'Gestion Exigences'!B5</f>
        <v>Client</v>
      </c>
      <c r="D5" s="12" t="str">
        <f>'Gestion Exigences'!D5</f>
        <v>MBG Contruction</v>
      </c>
      <c r="E5" s="5"/>
      <c r="F5" s="5"/>
      <c r="G5" s="5"/>
    </row>
    <row r="6" spans="1:7" x14ac:dyDescent="0.35">
      <c r="B6" s="12" t="str">
        <f>'Gestion Exigences'!B6</f>
        <v>Projet</v>
      </c>
      <c r="D6" s="12">
        <f>'Gestion Exigences'!D6</f>
        <v>0</v>
      </c>
      <c r="E6" s="5"/>
      <c r="F6" s="5"/>
      <c r="G6" s="5"/>
    </row>
    <row r="7" spans="1:7" x14ac:dyDescent="0.3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5">
      <c r="B9" s="4"/>
      <c r="C9" s="12"/>
      <c r="D9" s="5"/>
      <c r="E9" s="5"/>
      <c r="F9" s="5"/>
      <c r="G9" s="5"/>
    </row>
    <row r="10" spans="1:7" x14ac:dyDescent="0.35">
      <c r="B10" s="22" t="str">
        <f>'Gestion Exigences'!B10</f>
        <v>Réf Modèle Document</v>
      </c>
      <c r="C10" s="23" t="str">
        <f>'Gestion Exigences'!D10</f>
        <v>MD203</v>
      </c>
      <c r="D10" s="5"/>
      <c r="E10" s="5"/>
      <c r="F10" s="5"/>
      <c r="G10" s="5"/>
    </row>
    <row r="11" spans="1:7" x14ac:dyDescent="0.35">
      <c r="B11" s="22" t="str">
        <f>'Gestion Exigences'!B11</f>
        <v>Version Modèle Document</v>
      </c>
      <c r="C11" s="23" t="str">
        <f>'Gestion Exigences'!D11</f>
        <v>V1.5</v>
      </c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3" t="s">
        <v>47</v>
      </c>
      <c r="C13" s="13" t="s">
        <v>48</v>
      </c>
      <c r="D13" s="13" t="s">
        <v>49</v>
      </c>
      <c r="E13" s="13" t="s">
        <v>50</v>
      </c>
      <c r="F13" s="13" t="s">
        <v>51</v>
      </c>
      <c r="G13" s="13" t="s">
        <v>52</v>
      </c>
    </row>
    <row r="14" spans="1:7" ht="29.5" customHeight="1" x14ac:dyDescent="0.35">
      <c r="B14" s="6" t="s">
        <v>53</v>
      </c>
      <c r="C14" s="7">
        <v>45342</v>
      </c>
      <c r="D14" s="20" t="s">
        <v>54</v>
      </c>
      <c r="E14" s="6" t="s">
        <v>55</v>
      </c>
      <c r="F14" s="19" t="s">
        <v>56</v>
      </c>
      <c r="G14" s="6" t="s">
        <v>57</v>
      </c>
    </row>
    <row r="15" spans="1:7" x14ac:dyDescent="0.35">
      <c r="C15" s="30"/>
    </row>
    <row r="16" spans="1:7" x14ac:dyDescent="0.35">
      <c r="C16" s="30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53125" defaultRowHeight="13" x14ac:dyDescent="0.25"/>
  <cols>
    <col min="1" max="2" width="11.453125" style="10"/>
    <col min="3" max="4" width="19.7265625" style="10" customWidth="1"/>
    <col min="5" max="5" width="23.81640625" style="10" customWidth="1"/>
    <col min="6" max="6" width="14.453125" style="10" customWidth="1"/>
    <col min="7" max="7" width="23.81640625" style="10" customWidth="1"/>
    <col min="8" max="8" width="25.1796875" style="10" customWidth="1"/>
    <col min="9" max="9" width="20.453125" style="10" customWidth="1"/>
    <col min="10" max="16384" width="11.453125" style="10"/>
  </cols>
  <sheetData>
    <row r="2" spans="2:9" ht="26" x14ac:dyDescent="0.25">
      <c r="B2" s="11" t="s">
        <v>3</v>
      </c>
      <c r="C2" s="11" t="s">
        <v>18</v>
      </c>
      <c r="D2" s="11" t="s">
        <v>58</v>
      </c>
      <c r="E2" s="11" t="s">
        <v>22</v>
      </c>
      <c r="F2" s="11" t="s">
        <v>59</v>
      </c>
      <c r="G2" s="11" t="s">
        <v>27</v>
      </c>
      <c r="H2" s="11" t="s">
        <v>60</v>
      </c>
      <c r="I2" s="11" t="s">
        <v>19</v>
      </c>
    </row>
    <row r="3" spans="2:9" x14ac:dyDescent="0.25">
      <c r="B3" s="10" t="s">
        <v>61</v>
      </c>
      <c r="C3" s="10" t="s">
        <v>62</v>
      </c>
      <c r="D3" s="10" t="s">
        <v>63</v>
      </c>
      <c r="E3" s="10" t="s">
        <v>64</v>
      </c>
      <c r="F3" s="10" t="s">
        <v>65</v>
      </c>
      <c r="G3" s="10" t="s">
        <v>66</v>
      </c>
      <c r="H3" s="10" t="s">
        <v>67</v>
      </c>
      <c r="I3" s="10" t="s">
        <v>68</v>
      </c>
    </row>
    <row r="4" spans="2:9" x14ac:dyDescent="0.25"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</row>
    <row r="5" spans="2:9" x14ac:dyDescent="0.25">
      <c r="B5" s="10" t="s">
        <v>77</v>
      </c>
      <c r="C5" s="10" t="s">
        <v>78</v>
      </c>
      <c r="D5" s="10" t="s">
        <v>79</v>
      </c>
      <c r="E5" s="10" t="s">
        <v>80</v>
      </c>
      <c r="F5" s="10" t="s">
        <v>38</v>
      </c>
      <c r="G5" s="10" t="s">
        <v>38</v>
      </c>
      <c r="H5" s="10" t="s">
        <v>38</v>
      </c>
      <c r="I5" s="10" t="s">
        <v>81</v>
      </c>
    </row>
    <row r="6" spans="2:9" x14ac:dyDescent="0.25">
      <c r="B6" s="10" t="s">
        <v>82</v>
      </c>
      <c r="C6" s="10" t="s">
        <v>83</v>
      </c>
      <c r="D6" s="10" t="s">
        <v>84</v>
      </c>
      <c r="E6" s="10" t="s">
        <v>85</v>
      </c>
      <c r="I6" s="10" t="s">
        <v>86</v>
      </c>
    </row>
    <row r="7" spans="2:9" x14ac:dyDescent="0.25">
      <c r="B7" s="10" t="s">
        <v>87</v>
      </c>
      <c r="C7" s="10" t="s">
        <v>88</v>
      </c>
      <c r="D7" s="10" t="s">
        <v>89</v>
      </c>
      <c r="E7" s="10" t="s">
        <v>90</v>
      </c>
      <c r="I7" s="10" t="s">
        <v>91</v>
      </c>
    </row>
    <row r="8" spans="2:9" x14ac:dyDescent="0.25">
      <c r="B8" s="10" t="s">
        <v>92</v>
      </c>
      <c r="C8" s="10" t="s">
        <v>93</v>
      </c>
      <c r="E8" s="10" t="s">
        <v>94</v>
      </c>
      <c r="I8" s="10" t="s">
        <v>95</v>
      </c>
    </row>
    <row r="9" spans="2:9" x14ac:dyDescent="0.25">
      <c r="B9" s="10" t="s">
        <v>96</v>
      </c>
      <c r="E9" s="10" t="s">
        <v>97</v>
      </c>
      <c r="I9" s="10" t="s">
        <v>98</v>
      </c>
    </row>
    <row r="10" spans="2:9" x14ac:dyDescent="0.25">
      <c r="I10" s="10" t="s">
        <v>99</v>
      </c>
    </row>
    <row r="11" spans="2:9" x14ac:dyDescent="0.25">
      <c r="I11" s="10" t="s">
        <v>100</v>
      </c>
    </row>
    <row r="13" spans="2:9" x14ac:dyDescent="0.25">
      <c r="I13" s="10" t="s">
        <v>101</v>
      </c>
    </row>
    <row r="14" spans="2:9" x14ac:dyDescent="0.25">
      <c r="I14" s="10" t="s">
        <v>102</v>
      </c>
    </row>
    <row r="15" spans="2:9" x14ac:dyDescent="0.25">
      <c r="I15" s="10" t="s">
        <v>103</v>
      </c>
    </row>
    <row r="16" spans="2:9" x14ac:dyDescent="0.25">
      <c r="I16" s="10" t="s">
        <v>104</v>
      </c>
    </row>
    <row r="17" spans="9:9" x14ac:dyDescent="0.25">
      <c r="I17" s="10" t="s">
        <v>105</v>
      </c>
    </row>
    <row r="18" spans="9:9" x14ac:dyDescent="0.25">
      <c r="I18" s="10" t="s">
        <v>106</v>
      </c>
    </row>
    <row r="19" spans="9:9" x14ac:dyDescent="0.25">
      <c r="I19" s="10" t="s">
        <v>107</v>
      </c>
    </row>
    <row r="21" spans="9:9" x14ac:dyDescent="0.25">
      <c r="I21" s="10" t="s">
        <v>108</v>
      </c>
    </row>
    <row r="22" spans="9:9" ht="26" x14ac:dyDescent="0.25">
      <c r="I22" s="10" t="s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66AABA64-A0F7-4205-9A7F-76450F23FE32}"/>
</file>

<file path=customXml/itemProps2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5f2f9e80-f74a-40c7-b145-b94d8e4966f0"/>
    <ds:schemaRef ds:uri="43b908ec-9e92-424c-a4ad-3174bac6e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2024-12-07T16:12:58Z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