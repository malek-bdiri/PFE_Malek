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addixo.sharepoint.com/COM/Documents partages/01 Clients/Confiserie Triki/8 SF/10 Digitalisation site 1/2 Préparation Offre/"/>
    </mc:Choice>
  </mc:AlternateContent>
  <xr:revisionPtr revIDLastSave="246" documentId="8_{E9EFE21D-26E1-4772-89C6-A0ED8A8B2BAB}" xr6:coauthVersionLast="47" xr6:coauthVersionMax="47" xr10:uidLastSave="{DCC53997-9C74-41CA-B2DD-41B25703C78F}"/>
  <bookViews>
    <workbookView xWindow="-120" yWindow="-120" windowWidth="20730" windowHeight="11040" tabRatio="620" xr2:uid="{00000000-000D-0000-FFFF-FFFF00000000}"/>
  </bookViews>
  <sheets>
    <sheet name="Gestion Exigences" sheetId="27" r:id="rId1"/>
    <sheet name="Modifs Doc" sheetId="29" r:id="rId2"/>
    <sheet name="Params" sheetId="30" r:id="rId3"/>
  </sheets>
  <definedNames>
    <definedName name="_xlnm.Print_Area" localSheetId="0">'Gestion Exigences'!$C$2:$I$14</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5" i="27" l="1"/>
  <c r="AD23" i="27"/>
  <c r="AD24" i="27"/>
  <c r="AC24" i="27" l="1"/>
  <c r="AC23" i="27"/>
  <c r="AC25" i="27"/>
  <c r="AB17" i="27"/>
  <c r="AC17" i="27" s="1"/>
  <c r="AD17" i="27" s="1"/>
  <c r="AC13" i="27"/>
  <c r="AD13" i="27" s="1"/>
  <c r="AC14" i="27"/>
  <c r="AC15" i="27"/>
  <c r="AC16" i="27"/>
  <c r="AD16" i="27" s="1"/>
  <c r="AC18" i="27"/>
  <c r="AD18" i="27" s="1"/>
  <c r="AC19" i="27"/>
  <c r="AD19" i="27" s="1"/>
  <c r="AC20" i="27"/>
  <c r="AD20" i="27" s="1"/>
  <c r="AC21" i="27"/>
  <c r="AD21" i="27" s="1"/>
  <c r="AC22" i="27"/>
  <c r="AD22" i="27" s="1"/>
  <c r="AC26" i="27" l="1"/>
  <c r="AB26" i="27"/>
  <c r="AD14" i="27"/>
  <c r="C5" i="29"/>
  <c r="C6" i="29"/>
  <c r="C7" i="29"/>
  <c r="C8" i="29"/>
  <c r="C9" i="29"/>
  <c r="C10" i="29"/>
  <c r="B6" i="29"/>
  <c r="B7" i="29"/>
  <c r="B8" i="29"/>
  <c r="B9" i="29"/>
  <c r="B10" i="29"/>
  <c r="B5" i="29"/>
  <c r="AD15" i="27" l="1"/>
  <c r="AD26" i="27" s="1"/>
</calcChain>
</file>

<file path=xl/sharedStrings.xml><?xml version="1.0" encoding="utf-8"?>
<sst xmlns="http://schemas.openxmlformats.org/spreadsheetml/2006/main" count="261" uniqueCount="164">
  <si>
    <t>Gestion Exigences Projet</t>
  </si>
  <si>
    <t>Chiffrage Réalisation SF</t>
  </si>
  <si>
    <t>Revue et Vérification pendant la Conception</t>
  </si>
  <si>
    <t>Client</t>
  </si>
  <si>
    <t>Confiserie TRIKI</t>
  </si>
  <si>
    <t>Projet</t>
  </si>
  <si>
    <t>Digitalisation site 3</t>
  </si>
  <si>
    <t>Réf BPA du Devis</t>
  </si>
  <si>
    <t>Réf BPA du Projet</t>
  </si>
  <si>
    <t>Réf Modèle Document</t>
  </si>
  <si>
    <t>MD203</t>
  </si>
  <si>
    <t>Strictement Confidentiel</t>
  </si>
  <si>
    <t>Version Modèle Document</t>
  </si>
  <si>
    <t>V1.5</t>
  </si>
  <si>
    <t>ID</t>
  </si>
  <si>
    <t>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</si>
  <si>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</si>
  <si>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</si>
  <si>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</si>
  <si>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</si>
  <si>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</si>
  <si>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</si>
  <si>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</si>
  <si>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</si>
  <si>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</si>
  <si>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</si>
  <si>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</si>
  <si>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</si>
  <si>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</si>
  <si>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</si>
  <si>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</si>
  <si>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</si>
  <si>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</si>
  <si>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</si>
  <si>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</si>
  <si>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</si>
  <si>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Fonctionnelle</t>
  </si>
  <si>
    <t>SF-Processus</t>
  </si>
  <si>
    <t>Commerciale</t>
  </si>
  <si>
    <t>Workshop/réunion client</t>
  </si>
  <si>
    <t>RAS</t>
  </si>
  <si>
    <t>Validée</t>
  </si>
  <si>
    <t>Mahdi B.</t>
  </si>
  <si>
    <t>E002</t>
  </si>
  <si>
    <t xml:space="preserve">Gérer un OF sur plusieurs lignes </t>
  </si>
  <si>
    <t>Permettre de lancer un seul OF sur plusieurs lignes</t>
  </si>
  <si>
    <t>SF-Connectivité Machine</t>
  </si>
  <si>
    <t>Permettre de détecter l'évènement de début réel de la production lors du passage des produits du enveloppeuse</t>
  </si>
  <si>
    <t>Permettre au niveau de la partie EDGE standard de la solution la détection et l'envoie du message début réel production.</t>
  </si>
  <si>
    <t>E009</t>
  </si>
  <si>
    <t>E010</t>
  </si>
  <si>
    <t>E011</t>
  </si>
  <si>
    <t>E012</t>
  </si>
  <si>
    <t>E013</t>
  </si>
  <si>
    <t>E014</t>
  </si>
  <si>
    <t>E015</t>
  </si>
  <si>
    <t>E016</t>
  </si>
  <si>
    <t>E017</t>
  </si>
  <si>
    <t>Sortie Alerte visuelle de SF</t>
  </si>
  <si>
    <t>En cas d'arrêt sur SF, permettre le renvoie d'un signal électrique.</t>
  </si>
  <si>
    <t>En cas d'arrêt sur SF, Edge renvoie un signal électrique exploitable par la suite par le client pour ajouter des alertes visuelles par rapport à chaque machine</t>
  </si>
  <si>
    <t>Le client prend en charge le branchement entre Edge box SF et le sytème ANDON de son choix</t>
  </si>
  <si>
    <t>E018</t>
  </si>
  <si>
    <t>Gérer statut OF</t>
  </si>
  <si>
    <t xml:space="preserve">Permettre de gérer le statut de l'OF au niveau des fiches de démarrage et de fin de série </t>
  </si>
  <si>
    <t>Ajouter le statut de l'OF (IN PROGRESS, CLOSED) dans la liste des OF's au niveau des fiches de démarrage et de fin de série</t>
  </si>
  <si>
    <t>E019</t>
  </si>
  <si>
    <t xml:space="preserve">Suivre la date de première mesure du MSP </t>
  </si>
  <si>
    <t>Permettre d'ajouter la date de la premiére mesure au niveau de chaque fiche MSP</t>
  </si>
  <si>
    <t>Ajouter un champ "Date de la premiére mesure" au niveau de chaque fiche MSP</t>
  </si>
  <si>
    <t xml:space="preserve">Calculer l'etendu moyen </t>
  </si>
  <si>
    <t>Permettre d'ajouter l'etendu moyen au niveau de chaque fiche MSP</t>
  </si>
  <si>
    <t>Gérer les fiches de-conformité</t>
  </si>
  <si>
    <t>Permettre de gérer les fiches de-conformité indiquant au niveau de cette fiche (Probléme,Actions immédiates, Causes, Actions définitives)</t>
  </si>
  <si>
    <t>Ajouter une colonne dans l'interface de gestion des fiches de-conformité indiquant au niveau de cette fiche (Probléme,Actions immédiates, Causes, Actions définitives)</t>
  </si>
  <si>
    <t xml:space="preserve">Suivre l'affectation des NC </t>
  </si>
  <si>
    <t>Permettre de choisir les lignes sur lesquelles sont affectées les NC</t>
  </si>
  <si>
    <t>Ajouter un champ avec bouton radio pour choisir les lignes sur lesquelles sont affectées les NC</t>
  </si>
  <si>
    <t xml:space="preserve"> </t>
  </si>
  <si>
    <t>Version</t>
  </si>
  <si>
    <t>Date</t>
  </si>
  <si>
    <t>Modifications</t>
  </si>
  <si>
    <t>Auteur(s)</t>
  </si>
  <si>
    <t>Vérificateur(s)</t>
  </si>
  <si>
    <t>Approbateur</t>
  </si>
  <si>
    <t>V1.0</t>
  </si>
  <si>
    <t>Version interne  (envoyée et validée par client)</t>
  </si>
  <si>
    <t>Nihel K.</t>
  </si>
  <si>
    <t>Amani S.</t>
  </si>
  <si>
    <t>Imed A.</t>
  </si>
  <si>
    <t>V1.1</t>
  </si>
  <si>
    <t xml:space="preserve">Mise à jour des exigences après la visite du 15/17 février </t>
  </si>
  <si>
    <t>V1.2</t>
  </si>
  <si>
    <t>Mise à jour des exigences : 
•Mise à jour des HJ des exigences 
•Rajout des nouvelles demandes au niveau de la fiche qualité "E019--E024"
•Supprimer l'exigence E008</t>
  </si>
  <si>
    <t>Mahdi B. + Ferjania B.</t>
  </si>
  <si>
    <t>Exigence identifiée pendant la phase</t>
  </si>
  <si>
    <t>Oui/Non</t>
  </si>
  <si>
    <t>Statut Interne</t>
  </si>
  <si>
    <t>CdC client</t>
  </si>
  <si>
    <t>Oui</t>
  </si>
  <si>
    <t>Validée par le client</t>
  </si>
  <si>
    <t>*** SE</t>
  </si>
  <si>
    <t>Performance</t>
  </si>
  <si>
    <t>Conception</t>
  </si>
  <si>
    <t>Non</t>
  </si>
  <si>
    <t>Non validée par client</t>
  </si>
  <si>
    <t>Non validée</t>
  </si>
  <si>
    <t>SE-Processus</t>
  </si>
  <si>
    <t>Reglementaire</t>
  </si>
  <si>
    <t>Réalisation</t>
  </si>
  <si>
    <t>Workshop/réunion Interne</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</si>
  <si>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</si>
  <si>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</si>
  <si>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</si>
  <si>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</si>
  <si>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</si>
  <si>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</si>
  <si>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</si>
  <si>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</si>
  <si>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</si>
  <si>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</si>
  <si>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</si>
  <si>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</si>
  <si>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</si>
  <si>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</si>
  <si>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</si>
  <si>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</si>
  <si>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</si>
  <si>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</si>
  <si>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SF-Fonctionnelle</t>
  </si>
  <si>
    <t>SF-Intégration SI</t>
  </si>
  <si>
    <t>SF-Software</t>
  </si>
  <si>
    <t>SF-Infra IT</t>
  </si>
  <si>
    <t>*** TC</t>
  </si>
  <si>
    <t>TC-Prestations sur site client</t>
  </si>
  <si>
    <t>Permettre le choix de nombre de chiffre après la virgule pour la quantité produite par unité</t>
  </si>
  <si>
    <t>Gestion des sites</t>
  </si>
  <si>
    <t>gestion des sites</t>
  </si>
  <si>
    <t xml:space="preserve">Ajouter une entité " sites " sous le module configuration </t>
  </si>
  <si>
    <t>Permettre de gérer le même OF sur plusieurs ligne</t>
  </si>
  <si>
    <t>Permettre le choix de nombre de chiffre après la virgule pour la quantité produite par unité
Adaptation au niveau de la vue 360° pour définir le nombre de chiffre après la virgule des quantités produites et non conformes.
Adaptation au niveau du tableau de bord pour définir le nombre de chiffre après la virgule des quantités produites et non conformes.</t>
  </si>
  <si>
    <t>Détecter le début réel de la production cuisson, MEF, Dragéification</t>
  </si>
  <si>
    <t>Insérer matricule opérateur à la déclaration de production</t>
  </si>
  <si>
    <t>Ajouter une formule de cacul de la quantité produite en fonction de la vitesse linéaire</t>
  </si>
  <si>
    <t>Calcul de la quantité produite en fonction de la vitesse linéaire</t>
  </si>
  <si>
    <t>Ajouter un champ de recherche au niveau de la liste produit dans le modale d'ajout ou de la modification de l'OF</t>
  </si>
  <si>
    <t xml:space="preserve">Recherche produit </t>
  </si>
  <si>
    <t xml:space="preserve">Insérer un champ de recherche produit </t>
  </si>
  <si>
    <t>Colonne1</t>
  </si>
  <si>
    <t>Colonne2</t>
  </si>
  <si>
    <t>Colonne3</t>
  </si>
  <si>
    <t>Colonne4</t>
  </si>
  <si>
    <t>Colonne5</t>
  </si>
  <si>
    <t>Colonne6</t>
  </si>
  <si>
    <t>Colonne7</t>
  </si>
  <si>
    <t>Colonne8</t>
  </si>
  <si>
    <t>Colonne9</t>
  </si>
  <si>
    <t>Colonne10</t>
  </si>
  <si>
    <t>Colonne11</t>
  </si>
  <si>
    <t>Colonne12</t>
  </si>
  <si>
    <t>Colonne13</t>
  </si>
  <si>
    <t>Colonne14</t>
  </si>
  <si>
    <t>Ajouter la possibilité d'insérer la matricule opérateur à la déclaration de la production</t>
  </si>
  <si>
    <t>Ajouter une formule de calcul de la quantité produite en fonction de la vitesse linéaire ( Nbre de mètre linéaire * nbre de pièce par détection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</si>
</sst>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sz val="8"/>
      <name val="Calibri Light"/>
      <family val="2"/>
    </font>
    <font>
      <b/>
      <sz val="11"/>
      <color theme="2" tint="-0.89999084444715716"/>
      <name val="Calibri Light"/>
      <family val="2"/>
    </font>
    <font>
      <b/>
      <sz val="14"/>
      <color rgb="FFFF0000"/>
      <name val="Calibri Light"/>
      <family val="2"/>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0"/>
        <bgColor indexed="64"/>
      </patternFill>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medium">
        <color indexed="64"/>
      </left>
      <right/>
      <top style="thin">
        <color theme="1"/>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7">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horizontal="left" vertical="center" wrapText="1"/>
    </xf>
    <xf numFmtId="0" fontId="6" fillId="0" borderId="0" xfId="0" applyFont="1" applyAlignment="1">
      <alignment horizontal="left" vertical="center"/>
    </xf>
    <xf numFmtId="0" fontId="14" fillId="0" borderId="0" xfId="0" applyFont="1" applyAlignment="1">
      <alignment horizontal="left" vertical="center"/>
    </xf>
    <xf numFmtId="0" fontId="15"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0" fillId="0" borderId="0" xfId="0" applyFont="1" applyAlignment="1">
      <alignment wrapText="1"/>
    </xf>
    <xf numFmtId="0" fontId="10" fillId="0" borderId="0" xfId="0" applyFont="1" applyAlignment="1">
      <alignment vertical="center" wrapText="1"/>
    </xf>
    <xf numFmtId="0" fontId="16" fillId="0" borderId="0" xfId="0" applyFont="1" applyAlignment="1">
      <alignment wrapText="1"/>
    </xf>
    <xf numFmtId="14" fontId="3" fillId="0" borderId="0" xfId="0" applyNumberFormat="1" applyFont="1" applyAlignment="1">
      <alignment wrapText="1"/>
    </xf>
    <xf numFmtId="0" fontId="3" fillId="0" borderId="0" xfId="0" applyFont="1" applyAlignment="1">
      <alignment vertical="center" wrapText="1"/>
    </xf>
    <xf numFmtId="0" fontId="10" fillId="0" borderId="4"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0" fillId="5" borderId="7" xfId="0" applyFont="1" applyFill="1" applyBorder="1" applyAlignment="1">
      <alignment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5" fillId="0" borderId="0" xfId="0" applyFont="1" applyAlignment="1">
      <alignment horizontal="left" wrapText="1"/>
    </xf>
    <xf numFmtId="0" fontId="12" fillId="2" borderId="5" xfId="0" applyFont="1" applyFill="1" applyBorder="1" applyAlignment="1">
      <alignment horizontal="center" wrapText="1"/>
    </xf>
    <xf numFmtId="0" fontId="12" fillId="2" borderId="4"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80">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left/>
        <right style="medium">
          <color indexed="64"/>
        </right>
        <vertical/>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left style="medium">
          <color indexed="64"/>
        </left>
        <right/>
        <vertical/>
      </border>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2:AJ26" totalsRowCount="1" headerRowDxfId="79" dataDxfId="78">
  <autoFilter ref="B12:AJ25" xr:uid="{DDEA2C8B-EE0D-4C55-9256-CCC64E002CE6}"/>
  <tableColumns count="35">
    <tableColumn id="1" xr3:uid="{E467E0EE-CDAA-4FF5-85A8-CDC0B23A5AD9}" name="ID" dataDxfId="69" totalsRowDxfId="68"/>
    <tableColumn id="2" xr3:uid="{E53952AC-4972-47BD-8B1D-C7EF23088D0D}" name="Exigence" dataDxfId="67" totalsRowDxfId="66"/>
    <tableColumn id="8" xr3:uid="{B2D0BC2C-C803-4015-8FA6-70F84517BDB2}" name="Nature" dataDxfId="65" totalsRowDxfId="64"/>
    <tableColumn id="7" xr3:uid="{24F2F0ED-022E-4EC1-91D8-BFE0E4F2FD36}" name="Catégorie" dataDxfId="63" totalsRowDxfId="62"/>
    <tableColumn id="10" xr3:uid="{1FF81CF1-6D35-421C-8767-9E7FA06FEE6A}" name="Exigence idenfiée pendant la phase" dataDxfId="61" totalsRowDxfId="60"/>
    <tableColumn id="3" xr3:uid="{E7621A68-9552-4853-96A5-92A226EA42DD}" name="Description de l'exigence" dataDxfId="59" totalsRowDxfId="58"/>
    <tableColumn id="9" xr3:uid="{E6EEEC82-3576-4980-94B3-1423906CE531}" name="Source" dataDxfId="57" totalsRowDxfId="56"/>
    <tableColumn id="16" xr3:uid="{1441554A-79F9-4040-9CF5-AEBFF7ADF7D1}" name="Desciption de la solution ADDIXO" dataDxfId="55" totalsRowDxfId="54"/>
    <tableColumn id="17" xr3:uid="{D1BC9C86-C3CE-417F-AC83-FC4786A7656D}" name="Ecart entre exigence client et la solution proposée - préciser aussi les limites et hypothèses si applicable" dataDxfId="53" totalsRowDxfId="52"/>
    <tableColumn id="5" xr3:uid="{2649C3B7-E8B9-44F9-8883-E5BB6F91B4B1}" name="Validation Interne" dataDxfId="51" totalsRowDxfId="50"/>
    <tableColumn id="19" xr3:uid="{1684315C-4BF1-4202-9296-395A9CBBCF5B}" name="Colonne1" dataDxfId="49" totalsRowDxfId="48"/>
    <tableColumn id="23" xr3:uid="{B6C3130B-09EF-45AC-BADA-90DC4AA315FC}" name="Colonne2" dataDxfId="47" totalsRowDxfId="46"/>
    <tableColumn id="24" xr3:uid="{ED6C4BB9-0261-4756-9E2F-D66985E18ED3}" name="Colonne3" dataDxfId="45" totalsRowDxfId="44"/>
    <tableColumn id="25" xr3:uid="{78150193-1C14-44BE-96A3-D80FFAA537A1}" name="Colonne4" dataDxfId="43" totalsRowDxfId="42"/>
    <tableColumn id="26" xr3:uid="{675E0A2C-BB54-404C-AA93-815EC984D2D6}" name="Colonne5" dataDxfId="41" totalsRowDxfId="40"/>
    <tableColumn id="27" xr3:uid="{CBA3FCD9-30EA-4D19-BD7E-D0C0216A2D2C}" name="Colonne6" dataDxfId="39" totalsRowDxfId="38"/>
    <tableColumn id="28" xr3:uid="{64F4902E-4937-4A74-910C-13A5511F7340}" name="Colonne7" dataDxfId="37" totalsRowDxfId="36"/>
    <tableColumn id="29" xr3:uid="{D26DE321-3DF3-4A2C-8283-3F62F92E87F7}" name="Colonne8" dataDxfId="35" totalsRowDxfId="34"/>
    <tableColumn id="30" xr3:uid="{5434348C-D2DE-493F-94CA-198AB6E4DAB4}" name="Colonne9" dataDxfId="33" totalsRowDxfId="32"/>
    <tableColumn id="31" xr3:uid="{06456D23-93D7-4397-815B-7D05CC6463D2}" name="Colonne10" dataDxfId="31" totalsRowDxfId="30"/>
    <tableColumn id="32" xr3:uid="{FB8D074E-F786-450E-8A8C-7D77D212C0ED}" name="Colonne11" dataDxfId="29" totalsRowDxfId="28"/>
    <tableColumn id="33" xr3:uid="{8C68935C-FF3F-4366-B375-B488B353BA68}" name="Colonne12" dataDxfId="27" totalsRowDxfId="26"/>
    <tableColumn id="34" xr3:uid="{78D71331-AEFF-45A6-96F8-D15DAA307F14}" name="Colonne13" dataDxfId="25" totalsRowDxfId="24"/>
    <tableColumn id="35" xr3:uid="{A9FCD645-19CA-4DCD-93DF-19C36E49D180}" name="Colonne14" dataDxfId="23" totalsRowDxfId="22"/>
    <tableColumn id="6" xr3:uid="{8CC493F8-0886-498D-AB98-B77300CC6510}" name="Validation Interne par:" dataDxfId="21" totalsRowDxfId="20"/>
    <tableColumn id="15" xr3:uid="{78231C60-0932-4386-925D-4C689A91C0E3}" name="Statut Client" dataDxfId="19" totalsRowDxfId="18"/>
    <tableColumn id="22" xr3:uid="{D944A0FD-E468-407F-91A6-BD8A29086A7B}" name="HJ Dev" totalsRowFunction="custom" dataDxfId="17" totalsRowDxfId="16">
      <totalsRowFormula>SUBTOTAL(109,AB13:AB25)</totalsRowFormula>
    </tableColumn>
    <tableColumn id="21" xr3:uid="{818C68C5-1CC3-4DC9-9BB8-2CB7816ABE9F}" name="HJ Analyse et test" totalsRowFunction="custom" dataDxfId="15" totalsRowDxfId="14">
      <calculatedColumnFormula>Tableau3[[#This Row],[HJ Dev]]*(25%+25%)</calculatedColumnFormula>
      <totalsRowFormula>SUBTOTAL(109,AC13:AC25)</totalsRowFormula>
    </tableColumn>
    <tableColumn id="20" xr3:uid="{81CB5860-4285-4425-ABF9-C91F3323BF25}" name="Total HJ" totalsRowFunction="custom" dataDxfId="13" totalsRowDxfId="12">
      <totalsRowFormula>SUBTOTAL(109,AD13:AD25)</totalsRowFormula>
    </tableColumn>
    <tableColumn id="11" xr3:uid="{20685332-73A9-4B9D-874E-F1C9F770405F}" name="Description comment la conception de la solution prend en compte l'exigence client" dataDxfId="11" totalsRowDxfId="10"/>
    <tableColumn id="12" xr3:uid="{36B390F4-625A-46E1-864B-7108903FFD96}" name="Conception réalisée par:" dataDxfId="9" totalsRowDxfId="8"/>
    <tableColumn id="13" xr3:uid="{9016419E-83A5-4950-AB28-EA27A0D72FAD}" name="Revue conception réalisée par" dataDxfId="7" totalsRowDxfId="6"/>
    <tableColumn id="14" xr3:uid="{B5F29B7E-09EB-43EF-BD3D-9ADF38F7CC12}" name="Vérification de la conception réalisée par" dataDxfId="5" totalsRowDxfId="4"/>
    <tableColumn id="18" xr3:uid="{0CA25C90-64D6-43D5-90C8-CE6D70CCA638}" name="Preuve de vérification " dataDxfId="3" totalsRowDxfId="2"/>
    <tableColumn id="4" xr3:uid="{B7406A3A-A365-4F76-9A20-372573D19BC9}" name="Notes" dataDxfId="1"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7" dataDxfId="76">
  <autoFilter ref="B13:G18" xr:uid="{96AD1385-A1F5-4391-ABC2-C9F250557626}"/>
  <tableColumns count="6">
    <tableColumn id="1" xr3:uid="{56DA355E-F205-482A-9CF1-CA3361A1D801}" name="Version" dataDxfId="75"/>
    <tableColumn id="2" xr3:uid="{C9D8A0D7-1D6E-479B-AF74-6D39D19E4653}" name="Date" dataDxfId="74"/>
    <tableColumn id="3" xr3:uid="{79109713-8A38-4162-A269-136157905B75}" name="Modifications" dataDxfId="73"/>
    <tableColumn id="4" xr3:uid="{AC928B3E-399C-4A3D-9FB5-9CD96F5D4745}" name="Auteur(s)" dataDxfId="72"/>
    <tableColumn id="5" xr3:uid="{0D0A428D-4F18-4D4E-A0CB-4D1A5057B6E9}" name="Vérificateur(s)" dataDxfId="71"/>
    <tableColumn id="6" xr3:uid="{D81EAB57-FBCA-44D9-8F45-58AF13AA08B6}" name="Approbateur" dataDxfId="7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AJ27"/>
  <sheetViews>
    <sheetView tabSelected="1" topLeftCell="I12" zoomScale="110" zoomScaleNormal="110" workbookViewId="0">
      <selection activeCell="AB16" sqref="AB16"/>
    </sheetView>
  </sheetViews>
  <sheetFormatPr baseColWidth="10" defaultColWidth="11.42578125" defaultRowHeight="12.75" x14ac:dyDescent="0.2"/>
  <cols>
    <col min="1" max="1" width="11.42578125" style="1"/>
    <col min="2" max="2" width="6.140625" style="1" customWidth="1"/>
    <col min="3" max="3" width="37" style="1" customWidth="1"/>
    <col min="4" max="4" width="14.42578125" style="1" hidden="1" customWidth="1"/>
    <col min="5" max="5" width="12.42578125" style="1" hidden="1" customWidth="1"/>
    <col min="6" max="6" width="18.7109375" style="1" hidden="1" customWidth="1"/>
    <col min="7" max="7" width="56.5703125" style="1" customWidth="1"/>
    <col min="8" max="8" width="18.42578125" style="1" hidden="1" customWidth="1"/>
    <col min="9" max="9" width="83.7109375" style="1" customWidth="1"/>
    <col min="10" max="10" width="36.42578125" style="1" customWidth="1"/>
    <col min="11" max="11" width="10.5703125" style="1" customWidth="1"/>
    <col min="12" max="25" width="10.5703125" style="1" hidden="1" customWidth="1"/>
    <col min="26" max="26" width="12" style="1" customWidth="1"/>
    <col min="27" max="27" width="12.7109375" style="1" customWidth="1"/>
    <col min="28" max="28" width="9.140625" style="1" customWidth="1"/>
    <col min="29" max="29" width="14.85546875" style="1" customWidth="1"/>
    <col min="30" max="30" width="10.28515625" style="1" customWidth="1"/>
    <col min="31" max="31" width="33.28515625" style="1" customWidth="1"/>
    <col min="32" max="32" width="15.42578125" style="1" customWidth="1"/>
    <col min="33" max="33" width="14.7109375" style="1" customWidth="1"/>
    <col min="34" max="34" width="17.42578125" style="1" customWidth="1"/>
    <col min="35" max="35" width="24.140625" style="1" customWidth="1"/>
    <col min="36" max="36" width="9" style="1" customWidth="1"/>
    <col min="37" max="37" width="5.5703125" style="1" customWidth="1"/>
    <col min="38" max="39" width="11.42578125" style="1" customWidth="1"/>
    <col min="40" max="16384" width="11.42578125" style="1"/>
  </cols>
  <sheetData>
    <row r="1" spans="2:36" ht="13.5" thickBot="1" x14ac:dyDescent="0.25"/>
    <row r="2" spans="2:36" ht="21.75" customHeight="1" thickBot="1" x14ac:dyDescent="0.35">
      <c r="B2" s="38" t="s">
        <v>0</v>
      </c>
      <c r="C2" s="39"/>
      <c r="D2" s="39"/>
      <c r="E2" s="39"/>
      <c r="F2" s="39"/>
      <c r="G2" s="39"/>
      <c r="H2" s="39"/>
      <c r="I2" s="39"/>
      <c r="J2" s="39"/>
      <c r="K2" s="39"/>
      <c r="L2" s="39"/>
      <c r="M2" s="39"/>
      <c r="N2" s="39"/>
      <c r="O2" s="39"/>
      <c r="P2" s="39"/>
      <c r="Q2" s="39"/>
      <c r="R2" s="39"/>
      <c r="S2" s="39"/>
      <c r="T2" s="39"/>
      <c r="U2" s="39"/>
      <c r="V2" s="39"/>
      <c r="W2" s="39"/>
      <c r="X2" s="39"/>
      <c r="Y2" s="39"/>
      <c r="Z2" s="39"/>
      <c r="AA2" s="40"/>
      <c r="AB2" s="41" t="s">
        <v>1</v>
      </c>
      <c r="AC2" s="42"/>
      <c r="AD2" s="43"/>
      <c r="AE2" s="36" t="s">
        <v>2</v>
      </c>
      <c r="AF2" s="37"/>
      <c r="AG2" s="37"/>
      <c r="AH2" s="37"/>
      <c r="AI2" s="37"/>
      <c r="AJ2" s="37"/>
    </row>
    <row r="3" spans="2:36" ht="21.75" customHeight="1" x14ac:dyDescent="0.2">
      <c r="C3" s="8"/>
      <c r="D3" s="8"/>
      <c r="E3" s="8"/>
      <c r="F3" s="8"/>
      <c r="G3" s="8"/>
      <c r="H3" s="8"/>
      <c r="I3" s="8"/>
    </row>
    <row r="4" spans="2:36" ht="21.75" customHeight="1" x14ac:dyDescent="0.25">
      <c r="C4" s="3" t="s">
        <v>3</v>
      </c>
      <c r="D4" s="35" t="s">
        <v>4</v>
      </c>
      <c r="E4" s="35"/>
      <c r="F4" s="35"/>
      <c r="G4" s="35"/>
      <c r="H4" s="35"/>
      <c r="I4" s="35"/>
    </row>
    <row r="5" spans="2:36" ht="15" x14ac:dyDescent="0.25">
      <c r="C5" s="3" t="s">
        <v>5</v>
      </c>
      <c r="D5" s="35" t="s">
        <v>6</v>
      </c>
      <c r="E5" s="35"/>
      <c r="F5" s="35"/>
      <c r="G5" s="35"/>
      <c r="H5" s="35"/>
      <c r="I5" s="35"/>
    </row>
    <row r="6" spans="2:36" ht="15" x14ac:dyDescent="0.25">
      <c r="C6" s="3" t="s">
        <v>7</v>
      </c>
      <c r="D6" s="35"/>
      <c r="E6" s="35"/>
      <c r="F6" s="35"/>
      <c r="G6" s="35"/>
      <c r="H6" s="35"/>
      <c r="I6" s="35"/>
    </row>
    <row r="7" spans="2:36" ht="15" x14ac:dyDescent="0.25">
      <c r="C7" s="3" t="s">
        <v>8</v>
      </c>
      <c r="D7" s="35"/>
      <c r="E7" s="35"/>
      <c r="F7" s="35"/>
      <c r="G7" s="35"/>
      <c r="H7" s="35"/>
      <c r="I7" s="35"/>
    </row>
    <row r="8" spans="2:36" ht="18.75" x14ac:dyDescent="0.3">
      <c r="C8" s="9" t="s">
        <v>9</v>
      </c>
      <c r="D8" s="9" t="s">
        <v>10</v>
      </c>
      <c r="E8" s="9"/>
      <c r="F8" s="9"/>
      <c r="I8" s="25" t="s">
        <v>11</v>
      </c>
    </row>
    <row r="9" spans="2:36" x14ac:dyDescent="0.2">
      <c r="C9" s="9" t="s">
        <v>12</v>
      </c>
      <c r="D9" s="9" t="s">
        <v>13</v>
      </c>
      <c r="E9" s="9"/>
      <c r="F9" s="9"/>
    </row>
    <row r="11" spans="2:36" s="10" customFormat="1" ht="54" customHeight="1" thickBot="1" x14ac:dyDescent="0.25"/>
    <row r="12" spans="2:36" s="10" customFormat="1" ht="39" thickBot="1" x14ac:dyDescent="0.25">
      <c r="B12" s="20" t="s">
        <v>14</v>
      </c>
      <c r="C12" s="21" t="s">
        <v>15</v>
      </c>
      <c r="D12" s="21" t="s">
        <v>16</v>
      </c>
      <c r="E12" s="21" t="s">
        <v>17</v>
      </c>
      <c r="F12" s="21" t="s">
        <v>18</v>
      </c>
      <c r="G12" s="21" t="s">
        <v>19</v>
      </c>
      <c r="H12" s="21" t="s">
        <v>20</v>
      </c>
      <c r="I12" s="22" t="s">
        <v>21</v>
      </c>
      <c r="J12" s="21" t="s">
        <v>22</v>
      </c>
      <c r="K12" s="21" t="s">
        <v>23</v>
      </c>
      <c r="L12" s="21" t="s">
        <v>148</v>
      </c>
      <c r="M12" s="21" t="s">
        <v>149</v>
      </c>
      <c r="N12" s="21" t="s">
        <v>150</v>
      </c>
      <c r="O12" s="21" t="s">
        <v>151</v>
      </c>
      <c r="P12" s="21" t="s">
        <v>152</v>
      </c>
      <c r="Q12" s="21" t="s">
        <v>153</v>
      </c>
      <c r="R12" s="21" t="s">
        <v>154</v>
      </c>
      <c r="S12" s="21" t="s">
        <v>155</v>
      </c>
      <c r="T12" s="21" t="s">
        <v>156</v>
      </c>
      <c r="U12" s="21" t="s">
        <v>157</v>
      </c>
      <c r="V12" s="21" t="s">
        <v>158</v>
      </c>
      <c r="W12" s="21" t="s">
        <v>159</v>
      </c>
      <c r="X12" s="21" t="s">
        <v>160</v>
      </c>
      <c r="Y12" s="21" t="s">
        <v>161</v>
      </c>
      <c r="Z12" s="21" t="s">
        <v>24</v>
      </c>
      <c r="AA12" s="22" t="s">
        <v>25</v>
      </c>
      <c r="AB12" s="16" t="s">
        <v>26</v>
      </c>
      <c r="AC12" s="16" t="s">
        <v>27</v>
      </c>
      <c r="AD12" s="16" t="s">
        <v>28</v>
      </c>
      <c r="AE12" s="17" t="s">
        <v>29</v>
      </c>
      <c r="AF12" s="18" t="s">
        <v>30</v>
      </c>
      <c r="AG12" s="18" t="s">
        <v>31</v>
      </c>
      <c r="AH12" s="18" t="s">
        <v>32</v>
      </c>
      <c r="AI12" s="18" t="s">
        <v>33</v>
      </c>
      <c r="AJ12" s="19" t="s">
        <v>34</v>
      </c>
    </row>
    <row r="13" spans="2:36" s="10" customFormat="1" ht="25.5" x14ac:dyDescent="0.2">
      <c r="B13" s="29" t="s">
        <v>35</v>
      </c>
      <c r="C13" s="10" t="s">
        <v>44</v>
      </c>
      <c r="D13" s="10" t="s">
        <v>36</v>
      </c>
      <c r="E13" s="10" t="s">
        <v>37</v>
      </c>
      <c r="F13" s="10" t="s">
        <v>38</v>
      </c>
      <c r="G13" s="10" t="s">
        <v>45</v>
      </c>
      <c r="H13" s="10" t="s">
        <v>39</v>
      </c>
      <c r="I13" s="30" t="s">
        <v>139</v>
      </c>
      <c r="J13" s="10" t="s">
        <v>40</v>
      </c>
      <c r="K13" s="10" t="s">
        <v>41</v>
      </c>
      <c r="Z13" s="10" t="s">
        <v>42</v>
      </c>
      <c r="AB13" s="10">
        <v>8</v>
      </c>
      <c r="AC13" s="10">
        <f>Tableau3[[#This Row],[HJ Dev]]*(25%+25%)</f>
        <v>4</v>
      </c>
      <c r="AD13" s="10">
        <f>Tableau3[[#This Row],[HJ Analyse et test]]+Tableau3[[#This Row],[HJ Dev]]</f>
        <v>12</v>
      </c>
    </row>
    <row r="14" spans="2:36" s="10" customFormat="1" ht="38.25" x14ac:dyDescent="0.2">
      <c r="B14" s="29" t="s">
        <v>43</v>
      </c>
      <c r="C14" s="10" t="s">
        <v>141</v>
      </c>
      <c r="D14" s="10" t="s">
        <v>36</v>
      </c>
      <c r="E14" s="10" t="s">
        <v>46</v>
      </c>
      <c r="F14" s="10" t="s">
        <v>38</v>
      </c>
      <c r="G14" s="10" t="s">
        <v>47</v>
      </c>
      <c r="H14" s="10" t="s">
        <v>39</v>
      </c>
      <c r="I14" s="30" t="s">
        <v>48</v>
      </c>
      <c r="J14" s="10" t="s">
        <v>40</v>
      </c>
      <c r="K14" s="10" t="s">
        <v>41</v>
      </c>
      <c r="Z14" s="10" t="s">
        <v>42</v>
      </c>
      <c r="AB14" s="10">
        <v>2</v>
      </c>
      <c r="AC14" s="10">
        <f>Tableau3[[#This Row],[HJ Dev]]*(25%+25%)</f>
        <v>1</v>
      </c>
      <c r="AD14" s="10">
        <f>Tableau3[[#This Row],[HJ Analyse et test]]+Tableau3[[#This Row],[HJ Dev]]</f>
        <v>3</v>
      </c>
    </row>
    <row r="15" spans="2:36" ht="36" customHeight="1" x14ac:dyDescent="0.2">
      <c r="B15" s="29" t="s">
        <v>49</v>
      </c>
      <c r="C15" s="10" t="s">
        <v>135</v>
      </c>
      <c r="D15" s="10" t="s">
        <v>36</v>
      </c>
      <c r="E15" s="10" t="s">
        <v>37</v>
      </c>
      <c r="F15" s="10" t="s">
        <v>38</v>
      </c>
      <c r="G15" s="10" t="s">
        <v>135</v>
      </c>
      <c r="H15" s="10" t="s">
        <v>39</v>
      </c>
      <c r="I15" s="30" t="s">
        <v>140</v>
      </c>
      <c r="J15" s="10" t="s">
        <v>40</v>
      </c>
      <c r="K15" s="10" t="s">
        <v>41</v>
      </c>
      <c r="L15" s="10"/>
      <c r="M15" s="10"/>
      <c r="N15" s="10"/>
      <c r="O15" s="10"/>
      <c r="P15" s="10"/>
      <c r="Q15" s="10"/>
      <c r="R15" s="10"/>
      <c r="S15" s="10"/>
      <c r="T15" s="10"/>
      <c r="U15" s="10"/>
      <c r="V15" s="10"/>
      <c r="W15" s="10"/>
      <c r="X15" s="10"/>
      <c r="Y15" s="10"/>
      <c r="Z15" s="10" t="s">
        <v>42</v>
      </c>
      <c r="AA15" s="10"/>
      <c r="AB15" s="10">
        <v>1</v>
      </c>
      <c r="AC15" s="10">
        <f>Tableau3[[#This Row],[HJ Dev]]*(25%+25%)</f>
        <v>0.5</v>
      </c>
      <c r="AD15" s="10">
        <f>Tableau3[[#This Row],[HJ Analyse et test]]+Tableau3[[#This Row],[HJ Dev]]</f>
        <v>1.5</v>
      </c>
      <c r="AE15" s="10"/>
      <c r="AF15" s="10"/>
      <c r="AG15" s="10"/>
      <c r="AH15" s="10"/>
      <c r="AI15" s="10"/>
      <c r="AJ15" s="10"/>
    </row>
    <row r="16" spans="2:36" ht="25.5" x14ac:dyDescent="0.2">
      <c r="B16" s="29" t="s">
        <v>50</v>
      </c>
      <c r="C16" s="10" t="s">
        <v>136</v>
      </c>
      <c r="D16" s="10" t="s">
        <v>36</v>
      </c>
      <c r="E16" s="10" t="s">
        <v>37</v>
      </c>
      <c r="F16" s="10" t="s">
        <v>38</v>
      </c>
      <c r="G16" s="10" t="s">
        <v>137</v>
      </c>
      <c r="H16" s="10" t="s">
        <v>39</v>
      </c>
      <c r="I16" s="30" t="s">
        <v>138</v>
      </c>
      <c r="J16" s="10" t="s">
        <v>40</v>
      </c>
      <c r="K16" s="10" t="s">
        <v>41</v>
      </c>
      <c r="L16" s="10"/>
      <c r="M16" s="10"/>
      <c r="N16" s="10"/>
      <c r="O16" s="10"/>
      <c r="P16" s="10"/>
      <c r="Q16" s="10"/>
      <c r="R16" s="10"/>
      <c r="S16" s="10"/>
      <c r="T16" s="10"/>
      <c r="U16" s="10"/>
      <c r="V16" s="10"/>
      <c r="W16" s="10"/>
      <c r="X16" s="10"/>
      <c r="Y16" s="10"/>
      <c r="Z16" s="10" t="s">
        <v>42</v>
      </c>
      <c r="AA16" s="10"/>
      <c r="AB16" s="10">
        <v>12</v>
      </c>
      <c r="AC16" s="10">
        <f>Tableau3[[#This Row],[HJ Dev]]*(25%+25%)</f>
        <v>6</v>
      </c>
      <c r="AD16" s="10">
        <f>Tableau3[[#This Row],[HJ Analyse et test]]+Tableau3[[#This Row],[HJ Dev]]</f>
        <v>18</v>
      </c>
      <c r="AE16" s="10"/>
      <c r="AF16" s="10"/>
      <c r="AG16" s="10"/>
      <c r="AH16" s="10"/>
      <c r="AI16" s="10"/>
      <c r="AJ16" s="10"/>
    </row>
    <row r="17" spans="2:36" ht="38.25" x14ac:dyDescent="0.2">
      <c r="B17" s="29" t="s">
        <v>51</v>
      </c>
      <c r="C17" s="10" t="s">
        <v>58</v>
      </c>
      <c r="D17" s="10" t="s">
        <v>36</v>
      </c>
      <c r="E17" s="10" t="s">
        <v>37</v>
      </c>
      <c r="F17" s="10" t="s">
        <v>38</v>
      </c>
      <c r="G17" s="10" t="s">
        <v>59</v>
      </c>
      <c r="H17" s="10" t="s">
        <v>39</v>
      </c>
      <c r="I17" s="30" t="s">
        <v>60</v>
      </c>
      <c r="J17" s="10" t="s">
        <v>61</v>
      </c>
      <c r="K17" s="10" t="s">
        <v>41</v>
      </c>
      <c r="L17" s="10"/>
      <c r="M17" s="10"/>
      <c r="N17" s="10"/>
      <c r="O17" s="10"/>
      <c r="P17" s="10"/>
      <c r="Q17" s="10"/>
      <c r="R17" s="10"/>
      <c r="S17" s="10"/>
      <c r="T17" s="10"/>
      <c r="U17" s="10"/>
      <c r="V17" s="10"/>
      <c r="W17" s="10"/>
      <c r="X17" s="10"/>
      <c r="Y17" s="10"/>
      <c r="Z17" s="10" t="s">
        <v>42</v>
      </c>
      <c r="AA17" s="10"/>
      <c r="AB17" s="10">
        <f>4-4</f>
        <v>0</v>
      </c>
      <c r="AC17" s="10">
        <f>Tableau3[[#This Row],[HJ Dev]]*(25%+25%)</f>
        <v>0</v>
      </c>
      <c r="AD17" s="10">
        <f>Tableau3[[#This Row],[HJ Analyse et test]]+Tableau3[[#This Row],[HJ Dev]]</f>
        <v>0</v>
      </c>
      <c r="AE17" s="10"/>
      <c r="AF17" s="10"/>
      <c r="AG17" s="10"/>
      <c r="AH17" s="10"/>
      <c r="AI17" s="10"/>
      <c r="AJ17" s="10"/>
    </row>
    <row r="18" spans="2:36" ht="25.5" x14ac:dyDescent="0.2">
      <c r="B18" s="29" t="s">
        <v>52</v>
      </c>
      <c r="C18" s="10" t="s">
        <v>63</v>
      </c>
      <c r="D18" s="10" t="s">
        <v>36</v>
      </c>
      <c r="E18" s="10" t="s">
        <v>37</v>
      </c>
      <c r="F18" s="10" t="s">
        <v>38</v>
      </c>
      <c r="G18" s="10" t="s">
        <v>64</v>
      </c>
      <c r="H18" s="10" t="s">
        <v>39</v>
      </c>
      <c r="I18" s="30" t="s">
        <v>65</v>
      </c>
      <c r="J18" s="10" t="s">
        <v>40</v>
      </c>
      <c r="K18" s="10" t="s">
        <v>41</v>
      </c>
      <c r="L18" s="10"/>
      <c r="M18" s="10"/>
      <c r="N18" s="10"/>
      <c r="O18" s="10"/>
      <c r="P18" s="10"/>
      <c r="Q18" s="10"/>
      <c r="R18" s="10"/>
      <c r="S18" s="10"/>
      <c r="T18" s="10"/>
      <c r="U18" s="10"/>
      <c r="V18" s="10"/>
      <c r="W18" s="10"/>
      <c r="X18" s="10"/>
      <c r="Y18" s="10"/>
      <c r="Z18" s="10" t="s">
        <v>42</v>
      </c>
      <c r="AA18" s="10"/>
      <c r="AB18" s="10">
        <v>2</v>
      </c>
      <c r="AC18" s="10">
        <f>Tableau3[[#This Row],[HJ Dev]]*(25%+25%)</f>
        <v>1</v>
      </c>
      <c r="AD18" s="10">
        <f>Tableau3[[#This Row],[HJ Analyse et test]]+Tableau3[[#This Row],[HJ Dev]]</f>
        <v>3</v>
      </c>
      <c r="AE18" s="10"/>
      <c r="AF18" s="10"/>
      <c r="AG18" s="10"/>
      <c r="AH18" s="10"/>
      <c r="AI18" s="10"/>
      <c r="AJ18" s="10"/>
    </row>
    <row r="19" spans="2:36" ht="25.5" x14ac:dyDescent="0.2">
      <c r="B19" s="29" t="s">
        <v>53</v>
      </c>
      <c r="C19" s="10" t="s">
        <v>67</v>
      </c>
      <c r="D19" s="10" t="s">
        <v>36</v>
      </c>
      <c r="E19" s="10" t="s">
        <v>37</v>
      </c>
      <c r="F19" s="10" t="s">
        <v>38</v>
      </c>
      <c r="G19" s="10" t="s">
        <v>68</v>
      </c>
      <c r="H19" s="10" t="s">
        <v>39</v>
      </c>
      <c r="I19" s="31" t="s">
        <v>69</v>
      </c>
      <c r="J19" s="10" t="s">
        <v>40</v>
      </c>
      <c r="K19" s="10" t="s">
        <v>41</v>
      </c>
      <c r="L19" s="10"/>
      <c r="M19" s="10"/>
      <c r="N19" s="10"/>
      <c r="O19" s="10"/>
      <c r="P19" s="10"/>
      <c r="Q19" s="10"/>
      <c r="R19" s="10"/>
      <c r="S19" s="10"/>
      <c r="T19" s="10"/>
      <c r="U19" s="10"/>
      <c r="V19" s="10"/>
      <c r="W19" s="10"/>
      <c r="X19" s="10"/>
      <c r="Y19" s="10"/>
      <c r="Z19" s="10" t="s">
        <v>42</v>
      </c>
      <c r="AA19" s="10"/>
      <c r="AB19" s="10">
        <v>1</v>
      </c>
      <c r="AC19" s="10">
        <f>Tableau3[[#This Row],[HJ Dev]]*(25%+25%)</f>
        <v>0.5</v>
      </c>
      <c r="AD19" s="10">
        <f>Tableau3[[#This Row],[HJ Analyse et test]]+Tableau3[[#This Row],[HJ Dev]]</f>
        <v>1.5</v>
      </c>
      <c r="AE19" s="10"/>
      <c r="AF19" s="10"/>
      <c r="AG19" s="10"/>
      <c r="AH19" s="10"/>
      <c r="AI19" s="10"/>
      <c r="AJ19" s="10"/>
    </row>
    <row r="20" spans="2:36" ht="25.5" x14ac:dyDescent="0.2">
      <c r="B20" s="29" t="s">
        <v>54</v>
      </c>
      <c r="C20" s="10" t="s">
        <v>70</v>
      </c>
      <c r="D20" s="10" t="s">
        <v>36</v>
      </c>
      <c r="E20" s="10" t="s">
        <v>37</v>
      </c>
      <c r="F20" s="10" t="s">
        <v>38</v>
      </c>
      <c r="G20" s="10" t="s">
        <v>71</v>
      </c>
      <c r="H20" s="10" t="s">
        <v>39</v>
      </c>
      <c r="I20" s="30" t="s">
        <v>71</v>
      </c>
      <c r="J20" s="10" t="s">
        <v>40</v>
      </c>
      <c r="K20" s="10" t="s">
        <v>41</v>
      </c>
      <c r="L20" s="10"/>
      <c r="M20" s="10"/>
      <c r="N20" s="10"/>
      <c r="O20" s="10"/>
      <c r="P20" s="10"/>
      <c r="Q20" s="10"/>
      <c r="R20" s="10"/>
      <c r="S20" s="10"/>
      <c r="T20" s="10"/>
      <c r="U20" s="10"/>
      <c r="V20" s="10"/>
      <c r="W20" s="10"/>
      <c r="X20" s="10"/>
      <c r="Y20" s="10"/>
      <c r="Z20" s="10" t="s">
        <v>42</v>
      </c>
      <c r="AA20" s="10"/>
      <c r="AB20" s="10">
        <v>3</v>
      </c>
      <c r="AC20" s="10">
        <f>Tableau3[[#This Row],[HJ Dev]]*(25%+25%)</f>
        <v>1.5</v>
      </c>
      <c r="AD20" s="10">
        <f>Tableau3[[#This Row],[HJ Analyse et test]]+Tableau3[[#This Row],[HJ Dev]]</f>
        <v>4.5</v>
      </c>
      <c r="AE20" s="10"/>
      <c r="AF20" s="10"/>
      <c r="AG20" s="10"/>
      <c r="AH20" s="10"/>
      <c r="AI20" s="10"/>
      <c r="AJ20" s="10"/>
    </row>
    <row r="21" spans="2:36" ht="25.5" x14ac:dyDescent="0.2">
      <c r="B21" s="29" t="s">
        <v>55</v>
      </c>
      <c r="C21" s="10" t="s">
        <v>72</v>
      </c>
      <c r="D21" s="10" t="s">
        <v>36</v>
      </c>
      <c r="E21" s="10" t="s">
        <v>37</v>
      </c>
      <c r="F21" s="10" t="s">
        <v>38</v>
      </c>
      <c r="G21" s="10" t="s">
        <v>73</v>
      </c>
      <c r="H21" s="10" t="s">
        <v>39</v>
      </c>
      <c r="I21" s="30" t="s">
        <v>74</v>
      </c>
      <c r="J21" s="10" t="s">
        <v>40</v>
      </c>
      <c r="K21" s="10" t="s">
        <v>41</v>
      </c>
      <c r="L21" s="10"/>
      <c r="M21" s="10"/>
      <c r="N21" s="10"/>
      <c r="O21" s="10"/>
      <c r="P21" s="10"/>
      <c r="Q21" s="10"/>
      <c r="R21" s="10"/>
      <c r="S21" s="10"/>
      <c r="T21" s="10"/>
      <c r="U21" s="10"/>
      <c r="V21" s="10"/>
      <c r="W21" s="10"/>
      <c r="X21" s="10"/>
      <c r="Y21" s="10"/>
      <c r="Z21" s="10" t="s">
        <v>42</v>
      </c>
      <c r="AA21" s="10"/>
      <c r="AB21" s="10">
        <v>2</v>
      </c>
      <c r="AC21" s="10">
        <f>Tableau3[[#This Row],[HJ Dev]]*(25%+25%)</f>
        <v>1</v>
      </c>
      <c r="AD21" s="10">
        <f>Tableau3[[#This Row],[HJ Analyse et test]]+Tableau3[[#This Row],[HJ Dev]]</f>
        <v>3</v>
      </c>
      <c r="AE21" s="10"/>
      <c r="AF21" s="10"/>
      <c r="AG21" s="10"/>
      <c r="AH21" s="10"/>
      <c r="AI21" s="10"/>
      <c r="AJ21" s="10"/>
    </row>
    <row r="22" spans="2:36" ht="25.5" x14ac:dyDescent="0.2">
      <c r="B22" s="29" t="s">
        <v>56</v>
      </c>
      <c r="C22" s="10" t="s">
        <v>75</v>
      </c>
      <c r="D22" s="10" t="s">
        <v>36</v>
      </c>
      <c r="E22" s="10" t="s">
        <v>37</v>
      </c>
      <c r="F22" s="10" t="s">
        <v>38</v>
      </c>
      <c r="G22" s="10" t="s">
        <v>76</v>
      </c>
      <c r="H22" s="10" t="s">
        <v>39</v>
      </c>
      <c r="I22" s="30" t="s">
        <v>77</v>
      </c>
      <c r="J22" s="10" t="s">
        <v>40</v>
      </c>
      <c r="K22" s="10" t="s">
        <v>41</v>
      </c>
      <c r="L22" s="10"/>
      <c r="M22" s="10"/>
      <c r="N22" s="10"/>
      <c r="O22" s="10"/>
      <c r="P22" s="10"/>
      <c r="Q22" s="10"/>
      <c r="R22" s="10"/>
      <c r="S22" s="10"/>
      <c r="T22" s="10"/>
      <c r="U22" s="10"/>
      <c r="V22" s="10"/>
      <c r="W22" s="10"/>
      <c r="X22" s="10"/>
      <c r="Y22" s="10"/>
      <c r="Z22" s="10" t="s">
        <v>42</v>
      </c>
      <c r="AA22" s="10"/>
      <c r="AB22" s="10">
        <v>3</v>
      </c>
      <c r="AC22" s="10">
        <f>Tableau3[[#This Row],[HJ Dev]]*(25%+25%)</f>
        <v>1.5</v>
      </c>
      <c r="AD22" s="10">
        <f>Tableau3[[#This Row],[HJ Analyse et test]]+Tableau3[[#This Row],[HJ Dev]]</f>
        <v>4.5</v>
      </c>
      <c r="AE22" s="10"/>
      <c r="AF22" s="10"/>
      <c r="AG22" s="10"/>
      <c r="AH22" s="10"/>
      <c r="AI22" s="10"/>
      <c r="AJ22" s="10"/>
    </row>
    <row r="23" spans="2:36" ht="25.5" x14ac:dyDescent="0.2">
      <c r="B23" s="29" t="s">
        <v>57</v>
      </c>
      <c r="C23" s="10" t="s">
        <v>144</v>
      </c>
      <c r="D23" s="10" t="s">
        <v>36</v>
      </c>
      <c r="E23" s="10" t="s">
        <v>37</v>
      </c>
      <c r="F23" s="10" t="s">
        <v>38</v>
      </c>
      <c r="G23" s="10" t="s">
        <v>143</v>
      </c>
      <c r="H23" s="10" t="s">
        <v>39</v>
      </c>
      <c r="I23" s="30" t="s">
        <v>163</v>
      </c>
      <c r="J23" s="10" t="s">
        <v>40</v>
      </c>
      <c r="K23" s="10" t="s">
        <v>41</v>
      </c>
      <c r="L23" s="10"/>
      <c r="M23" s="10"/>
      <c r="N23" s="10"/>
      <c r="O23" s="10"/>
      <c r="P23" s="10"/>
      <c r="Q23" s="10"/>
      <c r="R23" s="10"/>
      <c r="S23" s="10"/>
      <c r="T23" s="10"/>
      <c r="U23" s="10"/>
      <c r="V23" s="10"/>
      <c r="W23" s="10"/>
      <c r="X23" s="10"/>
      <c r="Y23" s="10"/>
      <c r="Z23" s="10" t="s">
        <v>42</v>
      </c>
      <c r="AA23" s="10"/>
      <c r="AB23" s="10">
        <v>1</v>
      </c>
      <c r="AC23" s="10">
        <f>Tableau3[[#This Row],[HJ Dev]]*(25%+25%)</f>
        <v>0.5</v>
      </c>
      <c r="AD23" s="10">
        <f>Tableau3[[#This Row],[HJ Analyse et test]]+Tableau3[[#This Row],[HJ Dev]]</f>
        <v>1.5</v>
      </c>
      <c r="AE23" s="10"/>
      <c r="AF23" s="10"/>
      <c r="AG23" s="10"/>
      <c r="AH23" s="10"/>
      <c r="AI23" s="10"/>
      <c r="AJ23" s="10"/>
    </row>
    <row r="24" spans="2:36" ht="25.5" x14ac:dyDescent="0.2">
      <c r="B24" s="29" t="s">
        <v>62</v>
      </c>
      <c r="C24" s="10" t="s">
        <v>142</v>
      </c>
      <c r="D24" s="10" t="s">
        <v>36</v>
      </c>
      <c r="E24" s="10" t="s">
        <v>37</v>
      </c>
      <c r="F24" s="10" t="s">
        <v>38</v>
      </c>
      <c r="G24" s="10" t="s">
        <v>142</v>
      </c>
      <c r="H24" s="10" t="s">
        <v>39</v>
      </c>
      <c r="I24" s="30" t="s">
        <v>162</v>
      </c>
      <c r="J24" s="10" t="s">
        <v>40</v>
      </c>
      <c r="K24" s="10" t="s">
        <v>41</v>
      </c>
      <c r="L24" s="10"/>
      <c r="M24" s="10"/>
      <c r="N24" s="10"/>
      <c r="O24" s="10"/>
      <c r="P24" s="10"/>
      <c r="Q24" s="10"/>
      <c r="R24" s="10"/>
      <c r="S24" s="10"/>
      <c r="T24" s="10"/>
      <c r="U24" s="10"/>
      <c r="V24" s="10"/>
      <c r="W24" s="10"/>
      <c r="X24" s="10"/>
      <c r="Y24" s="10"/>
      <c r="Z24" s="10" t="s">
        <v>42</v>
      </c>
      <c r="AA24" s="10"/>
      <c r="AB24" s="10">
        <v>1</v>
      </c>
      <c r="AC24" s="10">
        <f>Tableau3[[#This Row],[HJ Dev]]*(25%+25%)</f>
        <v>0.5</v>
      </c>
      <c r="AD24" s="10">
        <f>Tableau3[[#This Row],[HJ Analyse et test]]+Tableau3[[#This Row],[HJ Dev]]</f>
        <v>1.5</v>
      </c>
      <c r="AE24" s="10"/>
      <c r="AF24" s="10"/>
      <c r="AG24" s="10"/>
      <c r="AH24" s="10"/>
      <c r="AI24" s="10"/>
      <c r="AJ24" s="10"/>
    </row>
    <row r="25" spans="2:36" ht="21.75" customHeight="1" thickBot="1" x14ac:dyDescent="0.25">
      <c r="B25" s="32" t="s">
        <v>66</v>
      </c>
      <c r="C25" s="33" t="s">
        <v>146</v>
      </c>
      <c r="D25" s="33"/>
      <c r="E25" s="33"/>
      <c r="F25" s="33"/>
      <c r="G25" s="33" t="s">
        <v>147</v>
      </c>
      <c r="H25" s="33"/>
      <c r="I25" s="34" t="s">
        <v>145</v>
      </c>
      <c r="J25" s="10" t="s">
        <v>40</v>
      </c>
      <c r="K25" s="10" t="s">
        <v>41</v>
      </c>
      <c r="L25" s="10"/>
      <c r="M25" s="10"/>
      <c r="N25" s="10"/>
      <c r="O25" s="10"/>
      <c r="P25" s="10"/>
      <c r="Q25" s="10"/>
      <c r="R25" s="10"/>
      <c r="S25" s="10"/>
      <c r="T25" s="10"/>
      <c r="U25" s="10"/>
      <c r="V25" s="10"/>
      <c r="W25" s="10"/>
      <c r="X25" s="10"/>
      <c r="Y25" s="10"/>
      <c r="Z25" s="10" t="s">
        <v>42</v>
      </c>
      <c r="AA25" s="10"/>
      <c r="AB25" s="10">
        <v>0.5</v>
      </c>
      <c r="AC25" s="10">
        <f>Tableau3[[#This Row],[HJ Dev]]*(25%+25%)</f>
        <v>0.25</v>
      </c>
      <c r="AD25" s="10">
        <f>Tableau3[[#This Row],[HJ Analyse et test]]+Tableau3[[#This Row],[HJ Dev]]</f>
        <v>0.75</v>
      </c>
      <c r="AE25" s="10"/>
      <c r="AF25" s="10"/>
      <c r="AG25" s="10"/>
      <c r="AH25" s="10"/>
      <c r="AI25" s="10"/>
      <c r="AJ25" s="10"/>
    </row>
    <row r="26" spans="2:36" x14ac:dyDescent="0.2">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f>SUBTOTAL(109,AB13:AB25)</f>
        <v>36.5</v>
      </c>
      <c r="AC26" s="10">
        <f>SUBTOTAL(109,AC13:AC25)</f>
        <v>18.25</v>
      </c>
      <c r="AD26" s="28">
        <f>SUBTOTAL(109,AD13:AD25)</f>
        <v>54.75</v>
      </c>
      <c r="AE26" s="10"/>
      <c r="AF26" s="10"/>
      <c r="AG26" s="10"/>
      <c r="AH26" s="10"/>
      <c r="AI26" s="10"/>
      <c r="AJ26" s="10"/>
    </row>
    <row r="27" spans="2:36" ht="36" customHeight="1" x14ac:dyDescent="0.2"/>
  </sheetData>
  <mergeCells count="7">
    <mergeCell ref="D7:I7"/>
    <mergeCell ref="D6:I6"/>
    <mergeCell ref="AE2:AJ2"/>
    <mergeCell ref="B2:AA2"/>
    <mergeCell ref="D4:I4"/>
    <mergeCell ref="D5:I5"/>
    <mergeCell ref="AB2:AD2"/>
  </mergeCells>
  <phoneticPr fontId="2" type="noConversion"/>
  <dataValidations count="1">
    <dataValidation type="whole" operator="greaterThanOrEqual" allowBlank="1" showInputMessage="1" showErrorMessage="1" sqref="AB13:AB19 AD13:AD25" xr:uid="{10E2E794-3894-4CC1-AB1A-9BB5BF41EABB}">
      <formula1>0</formula1>
    </dataValidation>
  </dataValidations>
  <pageMargins left="0.7" right="0.7" top="0.75" bottom="0.75" header="0.3" footer="0.3"/>
  <pageSetup paperSize="9" scale="74" fitToHeight="0" orientation="landscape"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06B2A4DB-2A94-4B0B-971B-CDFF438E23BA}">
          <x14:formula1>
            <xm:f>Params!$F$3:$F$9</xm:f>
          </x14:formula1>
          <xm:sqref>AA21 AA13:AA19</xm:sqref>
        </x14:dataValidation>
        <x14:dataValidation type="list" allowBlank="1" showInputMessage="1" showErrorMessage="1" xr:uid="{63E576AD-8CDE-4B1B-8DEC-1BE67CC8DE6D}">
          <x14:formula1>
            <xm:f>Params!$C$3:$C$10</xm:f>
          </x14:formula1>
          <xm:sqref>F13:F24</xm:sqref>
        </x14:dataValidation>
        <x14:dataValidation type="list" allowBlank="1" showInputMessage="1" showErrorMessage="1" xr:uid="{C43D2377-E8A5-4EC4-8F56-2516FCD07F2A}">
          <x14:formula1>
            <xm:f>Params!$D$3:$D$12</xm:f>
          </x14:formula1>
          <xm:sqref>H13:H24</xm:sqref>
        </x14:dataValidation>
        <x14:dataValidation type="list" allowBlank="1" showInputMessage="1" showErrorMessage="1" xr:uid="{63FB3CBD-0303-4DD5-A1D9-0AE10EE7B36C}">
          <x14:formula1>
            <xm:f>Params!$B$3:$B$10</xm:f>
          </x14:formula1>
          <xm:sqref>D13:D24</xm:sqref>
        </x14:dataValidation>
        <x14:dataValidation type="list" allowBlank="1" showInputMessage="1" showErrorMessage="1" xr:uid="{ACD971DD-EBC0-49A2-8B0F-955749BFC348}">
          <x14:formula1>
            <xm:f>Params!$H$3:$H$19</xm:f>
          </x14:formula1>
          <xm:sqref>E13:E24</xm:sqref>
        </x14:dataValidation>
        <x14:dataValidation type="list" allowBlank="1" showInputMessage="1" showErrorMessage="1" xr:uid="{1F2CF1C1-BE35-4DC9-A975-F49F788F3D6A}">
          <x14:formula1>
            <xm:f>Params!$G$3:$G$6</xm:f>
          </x14:formula1>
          <xm:sqref>K13:Y25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topLeftCell="A7" workbookViewId="0">
      <selection activeCell="D7" sqref="D7"/>
    </sheetView>
  </sheetViews>
  <sheetFormatPr baseColWidth="10" defaultColWidth="11.42578125" defaultRowHeight="15" x14ac:dyDescent="0.25"/>
  <cols>
    <col min="1" max="1" width="16.5703125" style="2" customWidth="1"/>
    <col min="2" max="2" width="19.5703125" style="2" customWidth="1"/>
    <col min="3" max="3" width="11.42578125" style="2"/>
    <col min="4" max="4" width="67.7109375" style="2" customWidth="1"/>
    <col min="5" max="5" width="15.85546875" style="2" customWidth="1"/>
    <col min="6" max="6" width="21.28515625" style="2" customWidth="1"/>
    <col min="7" max="7" width="16.5703125" style="2" customWidth="1"/>
    <col min="8" max="16384" width="11.42578125" style="2"/>
  </cols>
  <sheetData>
    <row r="2" spans="1:7" ht="15.75" thickBot="1" x14ac:dyDescent="0.3"/>
    <row r="3" spans="1:7" ht="24" customHeight="1" thickBot="1" x14ac:dyDescent="0.3">
      <c r="A3" s="2" t="s">
        <v>78</v>
      </c>
      <c r="B3" s="44" t="s">
        <v>0</v>
      </c>
      <c r="C3" s="45"/>
      <c r="D3" s="45"/>
      <c r="E3" s="45"/>
      <c r="F3" s="45"/>
      <c r="G3" s="46"/>
    </row>
    <row r="4" spans="1:7" x14ac:dyDescent="0.25">
      <c r="B4" s="4"/>
      <c r="C4" s="5"/>
      <c r="D4" s="5"/>
      <c r="E4" s="5"/>
      <c r="F4" s="5"/>
      <c r="G4" s="5"/>
    </row>
    <row r="5" spans="1:7" x14ac:dyDescent="0.25">
      <c r="B5" s="4" t="str">
        <f>'Gestion Exigences'!C4</f>
        <v>Client</v>
      </c>
      <c r="C5" s="13" t="str">
        <f>'Gestion Exigences'!D4</f>
        <v>Confiserie TRIKI</v>
      </c>
      <c r="D5" s="5"/>
      <c r="E5" s="5"/>
      <c r="F5" s="5"/>
      <c r="G5" s="5"/>
    </row>
    <row r="6" spans="1:7" x14ac:dyDescent="0.25">
      <c r="B6" s="4" t="str">
        <f>'Gestion Exigences'!C5</f>
        <v>Projet</v>
      </c>
      <c r="C6" s="13" t="str">
        <f>'Gestion Exigences'!D5</f>
        <v>Digitalisation site 3</v>
      </c>
      <c r="D6" s="5"/>
      <c r="E6" s="5"/>
      <c r="F6" s="5"/>
      <c r="G6" s="5"/>
    </row>
    <row r="7" spans="1:7" x14ac:dyDescent="0.25">
      <c r="B7" s="4" t="str">
        <f>'Gestion Exigences'!C6</f>
        <v>Réf BPA du Devis</v>
      </c>
      <c r="C7" s="13">
        <f>'Gestion Exigences'!D6</f>
        <v>0</v>
      </c>
      <c r="D7" s="5"/>
      <c r="E7" s="5"/>
      <c r="F7" s="5"/>
      <c r="G7" s="5"/>
    </row>
    <row r="8" spans="1:7" x14ac:dyDescent="0.25">
      <c r="B8" s="4" t="str">
        <f>'Gestion Exigences'!C7</f>
        <v>Réf BPA du Projet</v>
      </c>
      <c r="C8" s="13">
        <f>'Gestion Exigences'!D7</f>
        <v>0</v>
      </c>
      <c r="D8" s="5"/>
      <c r="E8" s="5"/>
      <c r="F8" s="5"/>
      <c r="G8" s="5"/>
    </row>
    <row r="9" spans="1:7" x14ac:dyDescent="0.25">
      <c r="B9" s="12" t="str">
        <f>'Gestion Exigences'!C8</f>
        <v>Réf Modèle Document</v>
      </c>
      <c r="C9" s="14" t="str">
        <f>'Gestion Exigences'!D8</f>
        <v>MD203</v>
      </c>
      <c r="D9" s="5"/>
      <c r="E9" s="5"/>
      <c r="F9" s="5"/>
      <c r="G9" s="5"/>
    </row>
    <row r="10" spans="1:7" x14ac:dyDescent="0.25">
      <c r="B10" s="12" t="str">
        <f>'Gestion Exigences'!C9</f>
        <v>Version Modèle Document</v>
      </c>
      <c r="C10" s="14" t="str">
        <f>'Gestion Exigences'!D9</f>
        <v>V1.5</v>
      </c>
      <c r="D10" s="5"/>
      <c r="E10" s="5"/>
      <c r="F10" s="5"/>
      <c r="G10" s="5"/>
    </row>
    <row r="11" spans="1:7" x14ac:dyDescent="0.25">
      <c r="B11" s="4"/>
      <c r="C11" s="5"/>
      <c r="D11" s="5"/>
      <c r="E11" s="5"/>
      <c r="F11" s="5"/>
      <c r="G11" s="5"/>
    </row>
    <row r="12" spans="1:7" x14ac:dyDescent="0.25">
      <c r="B12" s="4"/>
      <c r="C12" s="5"/>
      <c r="D12" s="5"/>
      <c r="E12" s="5"/>
      <c r="F12" s="5"/>
      <c r="G12" s="5"/>
    </row>
    <row r="13" spans="1:7" x14ac:dyDescent="0.25">
      <c r="B13" s="15" t="s">
        <v>79</v>
      </c>
      <c r="C13" s="15" t="s">
        <v>80</v>
      </c>
      <c r="D13" s="15" t="s">
        <v>81</v>
      </c>
      <c r="E13" s="15" t="s">
        <v>82</v>
      </c>
      <c r="F13" s="15" t="s">
        <v>83</v>
      </c>
      <c r="G13" s="15" t="s">
        <v>84</v>
      </c>
    </row>
    <row r="14" spans="1:7" x14ac:dyDescent="0.25">
      <c r="B14" s="6" t="s">
        <v>85</v>
      </c>
      <c r="C14" s="7">
        <v>44741</v>
      </c>
      <c r="D14" s="24" t="s">
        <v>86</v>
      </c>
      <c r="E14" s="6" t="s">
        <v>87</v>
      </c>
      <c r="F14" s="23" t="s">
        <v>88</v>
      </c>
      <c r="G14" s="6" t="s">
        <v>89</v>
      </c>
    </row>
    <row r="15" spans="1:7" x14ac:dyDescent="0.25">
      <c r="B15" s="2" t="s">
        <v>90</v>
      </c>
      <c r="C15" s="26">
        <v>44978</v>
      </c>
      <c r="D15" s="2" t="s">
        <v>91</v>
      </c>
      <c r="E15" s="6" t="s">
        <v>87</v>
      </c>
      <c r="F15" s="2" t="s">
        <v>42</v>
      </c>
      <c r="G15" s="2" t="s">
        <v>89</v>
      </c>
    </row>
    <row r="16" spans="1:7" ht="60" x14ac:dyDescent="0.25">
      <c r="B16" s="2" t="s">
        <v>92</v>
      </c>
      <c r="C16" s="26">
        <v>45021</v>
      </c>
      <c r="D16" s="27" t="s">
        <v>93</v>
      </c>
      <c r="E16" s="6" t="s">
        <v>87</v>
      </c>
      <c r="F16" s="27" t="s">
        <v>94</v>
      </c>
      <c r="G16" s="27" t="s">
        <v>89</v>
      </c>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H22"/>
  <sheetViews>
    <sheetView workbookViewId="0">
      <selection activeCell="C23" sqref="C23"/>
    </sheetView>
  </sheetViews>
  <sheetFormatPr baseColWidth="10" defaultColWidth="11.42578125" defaultRowHeight="12.75" x14ac:dyDescent="0.2"/>
  <cols>
    <col min="1" max="1" width="11.42578125" style="10"/>
    <col min="2" max="3" width="19.7109375" style="10" customWidth="1"/>
    <col min="4" max="4" width="21.5703125" style="10" customWidth="1"/>
    <col min="5" max="5" width="11.42578125" style="10"/>
    <col min="6" max="6" width="16.140625" style="10" customWidth="1"/>
    <col min="7" max="16384" width="11.42578125" style="10"/>
  </cols>
  <sheetData>
    <row r="2" spans="2:8" ht="25.5" x14ac:dyDescent="0.2">
      <c r="B2" s="11" t="s">
        <v>16</v>
      </c>
      <c r="C2" s="11" t="s">
        <v>95</v>
      </c>
      <c r="D2" s="11" t="s">
        <v>20</v>
      </c>
      <c r="E2" s="11" t="s">
        <v>96</v>
      </c>
      <c r="F2" s="11" t="s">
        <v>25</v>
      </c>
      <c r="G2" s="11" t="s">
        <v>97</v>
      </c>
      <c r="H2" s="11" t="s">
        <v>17</v>
      </c>
    </row>
    <row r="3" spans="2:8" x14ac:dyDescent="0.2">
      <c r="B3" s="10" t="s">
        <v>36</v>
      </c>
      <c r="C3" s="10" t="s">
        <v>38</v>
      </c>
      <c r="D3" s="10" t="s">
        <v>98</v>
      </c>
      <c r="E3" s="10" t="s">
        <v>99</v>
      </c>
      <c r="F3" s="10" t="s">
        <v>100</v>
      </c>
      <c r="G3" s="10" t="s">
        <v>41</v>
      </c>
      <c r="H3" s="10" t="s">
        <v>101</v>
      </c>
    </row>
    <row r="4" spans="2:8" ht="25.5" x14ac:dyDescent="0.2">
      <c r="B4" s="10" t="s">
        <v>102</v>
      </c>
      <c r="C4" s="10" t="s">
        <v>103</v>
      </c>
      <c r="D4" s="10" t="s">
        <v>39</v>
      </c>
      <c r="E4" s="10" t="s">
        <v>104</v>
      </c>
      <c r="F4" s="10" t="s">
        <v>105</v>
      </c>
      <c r="G4" s="10" t="s">
        <v>106</v>
      </c>
      <c r="H4" s="10" t="s">
        <v>107</v>
      </c>
    </row>
    <row r="5" spans="2:8" ht="25.5" x14ac:dyDescent="0.2">
      <c r="B5" s="10" t="s">
        <v>108</v>
      </c>
      <c r="C5" s="10" t="s">
        <v>109</v>
      </c>
      <c r="D5" s="10" t="s">
        <v>110</v>
      </c>
      <c r="E5" s="10" t="s">
        <v>111</v>
      </c>
      <c r="H5" s="10" t="s">
        <v>112</v>
      </c>
    </row>
    <row r="6" spans="2:8" x14ac:dyDescent="0.2">
      <c r="B6" s="10" t="s">
        <v>113</v>
      </c>
      <c r="C6" s="10" t="s">
        <v>114</v>
      </c>
      <c r="D6" s="10" t="s">
        <v>115</v>
      </c>
      <c r="H6" s="10" t="s">
        <v>116</v>
      </c>
    </row>
    <row r="7" spans="2:8" x14ac:dyDescent="0.2">
      <c r="B7" s="10" t="s">
        <v>117</v>
      </c>
      <c r="C7" s="10" t="s">
        <v>118</v>
      </c>
      <c r="D7" s="10" t="s">
        <v>119</v>
      </c>
      <c r="H7" s="10" t="s">
        <v>120</v>
      </c>
    </row>
    <row r="8" spans="2:8" x14ac:dyDescent="0.2">
      <c r="B8" s="10" t="s">
        <v>121</v>
      </c>
      <c r="D8" s="10" t="s">
        <v>122</v>
      </c>
      <c r="H8" s="10" t="s">
        <v>123</v>
      </c>
    </row>
    <row r="9" spans="2:8" ht="25.5" x14ac:dyDescent="0.2">
      <c r="D9" s="10" t="s">
        <v>124</v>
      </c>
      <c r="H9" s="10" t="s">
        <v>125</v>
      </c>
    </row>
    <row r="10" spans="2:8" x14ac:dyDescent="0.2">
      <c r="H10" s="10" t="s">
        <v>126</v>
      </c>
    </row>
    <row r="11" spans="2:8" x14ac:dyDescent="0.2">
      <c r="H11" s="10" t="s">
        <v>127</v>
      </c>
    </row>
    <row r="13" spans="2:8" x14ac:dyDescent="0.2">
      <c r="H13" s="10" t="s">
        <v>128</v>
      </c>
    </row>
    <row r="14" spans="2:8" x14ac:dyDescent="0.2">
      <c r="H14" s="10" t="s">
        <v>37</v>
      </c>
    </row>
    <row r="15" spans="2:8" ht="25.5" x14ac:dyDescent="0.2">
      <c r="H15" s="10" t="s">
        <v>129</v>
      </c>
    </row>
    <row r="16" spans="2:8" ht="38.25" x14ac:dyDescent="0.2">
      <c r="H16" s="10" t="s">
        <v>46</v>
      </c>
    </row>
    <row r="17" spans="8:8" ht="25.5" x14ac:dyDescent="0.2">
      <c r="H17" s="10" t="s">
        <v>130</v>
      </c>
    </row>
    <row r="18" spans="8:8" x14ac:dyDescent="0.2">
      <c r="H18" s="10" t="s">
        <v>131</v>
      </c>
    </row>
    <row r="19" spans="8:8" x14ac:dyDescent="0.2">
      <c r="H19" s="10" t="s">
        <v>132</v>
      </c>
    </row>
    <row r="21" spans="8:8" x14ac:dyDescent="0.2">
      <c r="H21" s="10" t="s">
        <v>133</v>
      </c>
    </row>
    <row r="22" spans="8:8" ht="38.25" x14ac:dyDescent="0.2">
      <c r="H22" s="10" t="s">
        <v>134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503822-DF13-4051-A489-72B75648E37A}">
  <ds:schemaRefs>
    <ds:schemaRef ds:uri="http://purl.org/dc/terms/"/>
    <ds:schemaRef ds:uri="http://schemas.microsoft.com/office/2006/documentManagement/types"/>
    <ds:schemaRef ds:uri="http://schemas.microsoft.com/office/2006/metadata/properties"/>
    <ds:schemaRef ds:uri="http://purl.org/dc/elements/1.1/"/>
    <ds:schemaRef ds:uri="http://www.w3.org/XML/1998/namespace"/>
    <ds:schemaRef ds:uri="98d07ac0-315d-4ba4-a3f8-0e1dfb824eb0"/>
    <ds:schemaRef ds:uri="f681d081-fe2e-4389-8dd1-c7421b0f7b61"/>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3.xml><?xml version="1.0" encoding="utf-8"?>
<ds:datastoreItem xmlns:ds="http://schemas.openxmlformats.org/officeDocument/2006/customXml" ds:itemID="{B109E58E-9E7A-4053-AED1-E2D677EF47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Mahdi  Besbes</cp:lastModifiedBy>
  <cp:revision/>
  <dcterms:created xsi:type="dcterms:W3CDTF">2000-07-05T17:03:55Z</dcterms:created>
  <dcterms:modified xsi:type="dcterms:W3CDTF">2024-05-10T15:21:29Z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ies>
</file>