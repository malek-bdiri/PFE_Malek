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momsoftware.sharepoint.com/sites/Commercial/Documents partages/06 Prospects/021 APEM/22 Digitalisation StandUp Meeting/2 Préparation Offre/"/>
    </mc:Choice>
  </mc:AlternateContent>
  <xr:revisionPtr revIDLastSave="3" documentId="8_{78DBCE08-C13D-4C8D-BF80-51DC72F6B9B0}" xr6:coauthVersionLast="47" xr6:coauthVersionMax="47" xr10:uidLastSave="{4AF2850B-0C81-44AE-9C9F-8A623A5EF530}"/>
  <bookViews>
    <workbookView xWindow="-108" yWindow="-108" windowWidth="23256" windowHeight="12456" tabRatio="620" xr2:uid="{00000000-000D-0000-FFFF-FFFF00000000}"/>
  </bookViews>
  <sheets>
    <sheet name="Gestion Exigences" sheetId="27" r:id="rId1"/>
    <sheet name="Modifs Doc" sheetId="29" r:id="rId2"/>
    <sheet name="Params" sheetId="30" r:id="rId3"/>
  </sheets>
  <definedNames>
    <definedName name="_xlnm.Print_Area" localSheetId="0">'Gestion Exigences'!$C$2:$I$14</definedName>
    <definedName name="_xlnm.Print_Area" localSheetId="1">'Modifs Doc'!$B$2:$G$18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29" l="1"/>
  <c r="D6" i="29"/>
  <c r="D7" i="29"/>
  <c r="D8" i="29"/>
  <c r="C10" i="29"/>
  <c r="C11" i="29"/>
  <c r="B6" i="29"/>
  <c r="B7" i="29"/>
  <c r="B8" i="29"/>
  <c r="B10" i="29"/>
  <c r="B11" i="29"/>
  <c r="B5" i="29"/>
</calcChain>
</file>

<file path=xl/sharedStrings.xml><?xml version="1.0" encoding="utf-8"?>
<sst xmlns="http://schemas.openxmlformats.org/spreadsheetml/2006/main" count="190" uniqueCount="119">
  <si>
    <t>Gestion Exigences Projet</t>
  </si>
  <si>
    <t>BU</t>
  </si>
  <si>
    <t>A définir</t>
  </si>
  <si>
    <t>Client</t>
  </si>
  <si>
    <t>Projet</t>
  </si>
  <si>
    <t>Réf Modèle Document</t>
  </si>
  <si>
    <t>MD203</t>
  </si>
  <si>
    <t>Confidentiel | Usage Client Limité</t>
  </si>
  <si>
    <t>Version Modèle Document</t>
  </si>
  <si>
    <t>V1.5</t>
  </si>
  <si>
    <t>ID</t>
  </si>
  <si>
    <t>Nature</t>
  </si>
  <si>
    <t>Catégorie</t>
  </si>
  <si>
    <t>Exigence idenfiée pendant la phase</t>
  </si>
  <si>
    <t>Source</t>
  </si>
  <si>
    <t>Validation Interne</t>
  </si>
  <si>
    <t>Validation Interne par:</t>
  </si>
  <si>
    <t>Statut Client</t>
  </si>
  <si>
    <t>E001</t>
  </si>
  <si>
    <t>N/A</t>
  </si>
  <si>
    <t>E006</t>
  </si>
  <si>
    <t>E007</t>
  </si>
  <si>
    <t>E008</t>
  </si>
  <si>
    <t xml:space="preserve"> </t>
  </si>
  <si>
    <t>Version</t>
  </si>
  <si>
    <t>Date</t>
  </si>
  <si>
    <t>Modifications</t>
  </si>
  <si>
    <t>Auteur(s)</t>
  </si>
  <si>
    <t>Vérificateur(s)</t>
  </si>
  <si>
    <t>Approbateur</t>
  </si>
  <si>
    <t>Imed A.</t>
  </si>
  <si>
    <t>Exigence identifiée pendant la phase</t>
  </si>
  <si>
    <t>Oui/Non</t>
  </si>
  <si>
    <t>Statut Interne</t>
  </si>
  <si>
    <t>Fonctionnelle</t>
  </si>
  <si>
    <t>Commerciale</t>
  </si>
  <si>
    <t>CdC client</t>
  </si>
  <si>
    <t>Oui</t>
  </si>
  <si>
    <t>Validée par le client</t>
  </si>
  <si>
    <t>Validée</t>
  </si>
  <si>
    <t>Performance</t>
  </si>
  <si>
    <t>Conception</t>
  </si>
  <si>
    <t>Workshop/réunion client</t>
  </si>
  <si>
    <t>Non</t>
  </si>
  <si>
    <t>Non validée par client</t>
  </si>
  <si>
    <t>Non validée</t>
  </si>
  <si>
    <t>Reglementaire</t>
  </si>
  <si>
    <t>Réalisation</t>
  </si>
  <si>
    <t>Workshop/réunion Interne</t>
  </si>
  <si>
    <t>SF</t>
  </si>
  <si>
    <t>Sécurité</t>
  </si>
  <si>
    <t>Mise en œuvre</t>
  </si>
  <si>
    <t>Standards client</t>
  </si>
  <si>
    <t>R&amp;D</t>
  </si>
  <si>
    <t>Standard Client</t>
  </si>
  <si>
    <t>Support et maintenance</t>
  </si>
  <si>
    <t>Reglementation</t>
  </si>
  <si>
    <t>Demande modification</t>
  </si>
  <si>
    <t>*** SF</t>
  </si>
  <si>
    <t>SF-Processus</t>
  </si>
  <si>
    <t>SF-Fonctionnelle</t>
  </si>
  <si>
    <t>SF-Connectivité Machine</t>
  </si>
  <si>
    <t>SF-Intégration SI</t>
  </si>
  <si>
    <t>SF-Software</t>
  </si>
  <si>
    <t>SF-Infra IT</t>
  </si>
  <si>
    <t>*** TC</t>
  </si>
  <si>
    <t>TC-Prestations sur site client</t>
  </si>
  <si>
    <t>V1.0</t>
  </si>
  <si>
    <t xml:space="preserve">Version initiale </t>
  </si>
  <si>
    <t>Nihel K.</t>
  </si>
  <si>
    <t xml:space="preserve">Mahdi B. + Ferjania BA </t>
  </si>
  <si>
    <t>E009</t>
  </si>
  <si>
    <t>E010</t>
  </si>
  <si>
    <t>Standard MOMSOFT</t>
  </si>
  <si>
    <t>Standards MOMSOFT</t>
  </si>
  <si>
    <t>Desciption de la solution MOMSOFT</t>
  </si>
  <si>
    <t>V1.1</t>
  </si>
  <si>
    <t>Moatez D.</t>
  </si>
  <si>
    <t>Mahdi B.</t>
  </si>
  <si>
    <t xml:space="preserve"> Adaptation des paramètres et du logo</t>
  </si>
  <si>
    <t>E002</t>
  </si>
  <si>
    <t>E003</t>
  </si>
  <si>
    <t>E004</t>
  </si>
  <si>
    <t>E005</t>
  </si>
  <si>
    <t>APEM</t>
  </si>
  <si>
    <t>Digitalisation Stand Up Meeting</t>
  </si>
  <si>
    <t>Exigence</t>
  </si>
  <si>
    <t>Description de l'exigence</t>
  </si>
  <si>
    <t>Pilotage de l'îlot : Suivi de la performance</t>
  </si>
  <si>
    <t xml:space="preserve">Digitaliser la partie Suivi de la performance du tableau de bord Pilotage de l'ilot. </t>
  </si>
  <si>
    <t>Ecart</t>
  </si>
  <si>
    <t>Pilotage de l'îlot : Suivi 5S</t>
  </si>
  <si>
    <t xml:space="preserve">Digitaliser la partie Suivi 5S du tableau de bord Pilotage de l'ilot. </t>
  </si>
  <si>
    <t>Pilotage de l'îlot : Suivi QRQC</t>
  </si>
  <si>
    <t>Digitaliser la partie Suivi QRQC du tableau de bord Pilotage de l'ilot.</t>
  </si>
  <si>
    <t>Pilotage de l'îlot : Tour de terrain</t>
  </si>
  <si>
    <t>Digitaliser la partie Tour du terrain du tableau de bord Pilotage de l'ilot.</t>
  </si>
  <si>
    <t>Suivi d'activité : KPI du mois</t>
  </si>
  <si>
    <t>Digitaliser la partie KPI du mois du tableau de bord Suivi de l'activité.</t>
  </si>
  <si>
    <t>Suivi d'activité : KPI de la semaine</t>
  </si>
  <si>
    <t>Digitaliser la partie KPI de la semaine</t>
  </si>
  <si>
    <t>Ajouter le graphique Nombre d'incidents sécurité et environnement : données saisies manuellement
Ajouter le graphique Nombre d'OF refusé ; données saisies manuellement.
Ajouter le graphique Taux de respect engagement : OTD : OF clôturé à l'heure / OF Planifé.
Ajouter le graphique Nombre d'heure non productivres : Données saisies manuellement.</t>
  </si>
  <si>
    <t>Gestion de tâches</t>
  </si>
  <si>
    <t>Digitaliser la gestion des tâches</t>
  </si>
  <si>
    <t>Instructions de travail</t>
  </si>
  <si>
    <t>Permettre d'afficher des instructions de travail au niveau du Tableau de bord</t>
  </si>
  <si>
    <t>Configuration des données</t>
  </si>
  <si>
    <t>Importation des données</t>
  </si>
  <si>
    <t>Configurer les donnnées nécessaires de l'usine</t>
  </si>
  <si>
    <t>Automatiser la configuration des données</t>
  </si>
  <si>
    <t>La solution comprend un Module Core permettant la modélisation, la gestion et la planification d'une usine connectée :
•Modélisation hiérarchique de l’usine : Sites, ateliers, lignes de production, stations, machines
•Gestion des produits
•Gestion des incidents et des défauts
•Gestion des utilisateurs et des autorisations : Rôles et accès contrôlés
•Gestion des équipes
•Planification des lignes et des équipes</t>
  </si>
  <si>
    <t>la solution intègre un Module d’Intégration SI pour l’automatisation des échanges de données, incluant :
•Importation automatique de données à partir de fichiers CSV ou des systèmes d’information clients
•Intégration des principales entités : Produits, utilisateurs, outillages
•Gestion détaillée des erreurs pour une intégration fluide</t>
  </si>
  <si>
    <t>Suivi de la Performance
Ajouter un graphique de suivi de la performance affichant le nombre d'heures réalisées par rapport à l'objectif horaire</t>
  </si>
  <si>
    <t>Tableau de Bord 5S
•Ajouter la possibilité de charger et afficher des images dans le tableau de bord 5S pour intégrer les standards des îlots
•Afficher le score 5S hebdomadaire par atelier
•Créer, mettre à jour et suivre les actions issues des évaluations 5S</t>
  </si>
  <si>
    <t>Tableau de Bord QRQC (Quick Response Quality Control)
•Afficher le nombre de QRQC (ouverts, en cours, traités, etc.)
•Présenter le nombre de QRQC par niveau de criticité
•Offrir un accès rapide aux fiches QRQC depuis le tableau de bord
•Créer, mettre à jour et suivre les actions issues des QRQC</t>
  </si>
  <si>
    <t>Checklist et Suivi Gemba Walk
•Ajouter une checklist Gemba Walk
•Afficher des statistiques basées sur la checklist
•Mettre en place un tableau de bord des postes de production et de leur statut (Contrôlé, À contrôler)
•Créer, mettre à jour et suivre les actions issues des évaluations Gemba Walk</t>
  </si>
  <si>
    <t>Tableaux de Bord KPI : Sécurité, Environnement, Qualité et OTD
Ajouter un graphique Sécurité/Environnement dans la section KPI mensuelle :
•Présente le nombre d’accidents avec arrêt (APEM TN) et les incidents environnementaux (SACEMA) dans toutes les usines du groupe
•Données issues du système ERP
Ajouter un graphique de Performance Qualité :
•Affiche le PPM mensuel vs. l’objectif PPM vs. la moyenne PPM sur 12 mois glissants
•Données issues du système ERP
Ajouter un graphique de suivi OTD (On-Time Delivery) :
•Les dates de fin planifiées sont extraites d’un fichier Excel chargé chaque semaine
•Les dates de fin réelles sont issues du système ERP
Afficher la Marge sur coût direct et les Ventes Sacema, avec des données issues de l’ERP</t>
  </si>
  <si>
    <t>Gestion des Tâches (Adaptation du Module Standard de Smart Factory)
Ajouts et modifications :
•Ajouter un type de tâche "Suggestion d’amélioration"
•Ajouter "Réclamation client" comme source de tâche
•Limiter la planification des tâches à 2 semaines pour les tâches de priorité haute et moyenne
•Une tâche ne peut être reportée qu’une seule fois après sa création</t>
  </si>
  <si>
    <t>Intégration des Instructions de Travail
Permettre la sélection et l’affichage d’un fichier depuis le module Instructions de Travail dans le tableau de bord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</si>
</sst>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8"/>
      <name val="Arial"/>
    </font>
    <font>
      <sz val="10"/>
      <color rgb="FF000000"/>
      <name val="Calibri Light"/>
      <family val="2"/>
      <scheme val="major"/>
    </font>
  </fonts>
  <fills count="4">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6">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2"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3" fillId="2" borderId="0" xfId="0" applyFont="1" applyFill="1" applyAlignment="1">
      <alignment horizontal="center" vertical="center" wrapText="1"/>
    </xf>
    <xf numFmtId="0" fontId="14"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5" fillId="0" borderId="0" xfId="0" applyFont="1" applyAlignment="1">
      <alignment horizontal="left" vertical="center" wrapText="1"/>
    </xf>
    <xf numFmtId="0" fontId="15" fillId="0" borderId="0" xfId="0" applyFont="1" applyAlignment="1">
      <alignment horizontal="left" vertical="center"/>
    </xf>
    <xf numFmtId="0" fontId="5" fillId="0" borderId="0" xfId="0" applyFont="1"/>
    <xf numFmtId="0" fontId="16" fillId="0" borderId="0" xfId="0" applyFont="1"/>
    <xf numFmtId="0" fontId="1" fillId="0" borderId="0" xfId="0" applyFont="1"/>
    <xf numFmtId="0" fontId="11" fillId="0" borderId="0" xfId="0" applyFont="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18" fillId="0" borderId="0" xfId="0" applyFont="1" applyAlignment="1">
      <alignment vertic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cellXfs>
  <cellStyles count="1">
    <cellStyle name="Normal" xfId="0" builtinId="0"/>
  </cellStyles>
  <dxfs count="34">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solid">
          <fgColor indexed="64"/>
          <bgColor theme="9" tint="0.79998168889431442"/>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52293</xdr:colOff>
      <xdr:row>2</xdr:row>
      <xdr:rowOff>171825</xdr:rowOff>
    </xdr:from>
    <xdr:to>
      <xdr:col>2</xdr:col>
      <xdr:colOff>1828776</xdr:colOff>
      <xdr:row>2</xdr:row>
      <xdr:rowOff>493060</xdr:rowOff>
    </xdr:to>
    <xdr:pic>
      <xdr:nvPicPr>
        <xdr:cNvPr id="3" name="Image 2" descr="Une image contenant Graphique, graphisme, capture d’écran, Caractère coloré&#10;&#10;Description générée automatiquement">
          <a:extLst>
            <a:ext uri="{FF2B5EF4-FFF2-40B4-BE49-F238E27FC236}">
              <a16:creationId xmlns:a16="http://schemas.microsoft.com/office/drawing/2014/main" id="{E0C86A04-4B7C-4F14-9627-464F2D137E63}"/>
            </a:ext>
          </a:extLst>
        </xdr:cNvPr>
        <xdr:cNvPicPr>
          <a:picLocks noChangeAspect="1"/>
        </xdr:cNvPicPr>
      </xdr:nvPicPr>
      <xdr:blipFill>
        <a:blip xmlns:r="http://schemas.openxmlformats.org/officeDocument/2006/relationships" r:embed="rId1"/>
        <a:stretch>
          <a:fillRect/>
        </a:stretch>
      </xdr:blipFill>
      <xdr:spPr>
        <a:xfrm>
          <a:off x="851646" y="620060"/>
          <a:ext cx="2209777" cy="32123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1:M22" totalsRowCount="1" headerRowDxfId="33" dataDxfId="32">
  <autoFilter ref="B11:M21" xr:uid="{DDEA2C8B-EE0D-4C55-9256-CCC64E002CE6}"/>
  <tableColumns count="12">
    <tableColumn id="1" xr3:uid="{E467E0EE-CDAA-4FF5-85A8-CDC0B23A5AD9}" name="ID" dataDxfId="31" totalsRowDxfId="30"/>
    <tableColumn id="2" xr3:uid="{E53952AC-4972-47BD-8B1D-C7EF23088D0D}" name="Exigence" dataDxfId="29" totalsRowDxfId="28"/>
    <tableColumn id="8" xr3:uid="{B2D0BC2C-C803-4015-8FA6-70F84517BDB2}" name="Nature" dataDxfId="27" totalsRowDxfId="26"/>
    <tableColumn id="7" xr3:uid="{24F2F0ED-022E-4EC1-91D8-BFE0E4F2FD36}" name="Catégorie" dataDxfId="25" totalsRowDxfId="24"/>
    <tableColumn id="10" xr3:uid="{1FF81CF1-6D35-421C-8767-9E7FA06FEE6A}" name="Exigence idenfiée pendant la phase" dataDxfId="23" totalsRowDxfId="22"/>
    <tableColumn id="3" xr3:uid="{E7621A68-9552-4853-96A5-92A226EA42DD}" name="Description de l'exigence" dataDxfId="21" totalsRowDxfId="20"/>
    <tableColumn id="9" xr3:uid="{E6EEEC82-3576-4980-94B3-1423906CE531}" name="Source" dataDxfId="19" totalsRowDxfId="18"/>
    <tableColumn id="16" xr3:uid="{1441554A-79F9-4040-9CF5-AEBFF7ADF7D1}" name="Desciption de la solution MOMSOFT" dataDxfId="17" totalsRowDxfId="16"/>
    <tableColumn id="17" xr3:uid="{D1BC9C86-C3CE-417F-AC83-FC4786A7656D}" name="Ecart" dataDxfId="15" totalsRowDxfId="14"/>
    <tableColumn id="5" xr3:uid="{2649C3B7-E8B9-44F9-8883-E5BB6F91B4B1}" name="Validation Interne" dataDxfId="13" totalsRowDxfId="12"/>
    <tableColumn id="6" xr3:uid="{8CC493F8-0886-498D-AB98-B77300CC6510}" name="Validation Interne par:" dataDxfId="11" totalsRowDxfId="10"/>
    <tableColumn id="15" xr3:uid="{78231C60-0932-4386-925D-4C689A91C0E3}" name="Statut Client" dataDxfId="9" totalsRow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M22"/>
  <sheetViews>
    <sheetView tabSelected="1" topLeftCell="H1" zoomScale="85" zoomScaleNormal="85" workbookViewId="0">
      <selection activeCell="Q8" sqref="Q8"/>
    </sheetView>
  </sheetViews>
  <sheetFormatPr baseColWidth="10" defaultColWidth="11.44140625" defaultRowHeight="13.8" x14ac:dyDescent="0.3"/>
  <cols>
    <col min="1" max="1" width="11.44140625" style="1"/>
    <col min="2" max="2" width="6.21875" style="1" customWidth="1"/>
    <col min="3" max="3" width="29.21875" style="1" customWidth="1"/>
    <col min="4" max="4" width="32.6640625" style="1" bestFit="1" customWidth="1"/>
    <col min="5" max="5" width="18.21875" style="1" customWidth="1"/>
    <col min="6" max="6" width="19.44140625" style="1" customWidth="1"/>
    <col min="7" max="7" width="49.6640625" style="1" customWidth="1"/>
    <col min="8" max="8" width="18.44140625" style="1" customWidth="1"/>
    <col min="9" max="9" width="114.33203125" style="1" customWidth="1"/>
    <col min="10" max="10" width="21" style="1" customWidth="1"/>
    <col min="11" max="12" width="13.5546875" style="1" customWidth="1"/>
    <col min="13" max="13" width="15.21875" style="1" customWidth="1"/>
    <col min="14" max="16384" width="11.44140625" style="1"/>
  </cols>
  <sheetData>
    <row r="1" spans="2:13" ht="14.4" thickBot="1" x14ac:dyDescent="0.35"/>
    <row r="2" spans="2:13" ht="21.75" customHeight="1" thickBot="1" x14ac:dyDescent="0.4">
      <c r="B2" s="30" t="s">
        <v>0</v>
      </c>
      <c r="C2" s="31"/>
      <c r="D2" s="31"/>
      <c r="E2" s="31"/>
      <c r="F2" s="31"/>
      <c r="G2" s="31"/>
      <c r="H2" s="31"/>
      <c r="I2" s="31"/>
      <c r="J2" s="31"/>
      <c r="K2" s="31"/>
      <c r="L2" s="31"/>
      <c r="M2" s="32"/>
    </row>
    <row r="3" spans="2:13" ht="53.25" customHeight="1" x14ac:dyDescent="0.3">
      <c r="C3" s="8"/>
      <c r="D3" s="8"/>
      <c r="E3" s="8"/>
      <c r="F3" s="8"/>
      <c r="G3" s="8"/>
      <c r="H3" s="8"/>
      <c r="I3" s="8"/>
    </row>
    <row r="4" spans="2:13" ht="21" customHeight="1" x14ac:dyDescent="0.3">
      <c r="B4" s="23" t="s">
        <v>1</v>
      </c>
      <c r="C4" s="8"/>
      <c r="D4" s="24"/>
      <c r="E4" s="8"/>
      <c r="F4" s="8"/>
      <c r="G4" s="8" t="s">
        <v>49</v>
      </c>
      <c r="H4" s="8"/>
      <c r="I4" s="8"/>
    </row>
    <row r="5" spans="2:13" ht="21.75" customHeight="1" x14ac:dyDescent="0.3">
      <c r="B5" s="20" t="s">
        <v>3</v>
      </c>
      <c r="D5" s="3" t="s">
        <v>84</v>
      </c>
      <c r="E5" s="3"/>
      <c r="F5" s="3"/>
    </row>
    <row r="6" spans="2:13" ht="21" customHeight="1" x14ac:dyDescent="0.3">
      <c r="B6" s="20" t="s">
        <v>4</v>
      </c>
      <c r="D6" s="3" t="s">
        <v>85</v>
      </c>
      <c r="E6" s="3"/>
      <c r="F6" s="3"/>
    </row>
    <row r="7" spans="2:13" ht="14.4" x14ac:dyDescent="0.3">
      <c r="C7" s="3"/>
      <c r="D7" s="17"/>
      <c r="E7" s="17"/>
      <c r="F7" s="17"/>
      <c r="G7" s="17"/>
      <c r="H7" s="17"/>
      <c r="I7" s="17"/>
    </row>
    <row r="8" spans="2:13" x14ac:dyDescent="0.3">
      <c r="B8" s="21" t="s">
        <v>5</v>
      </c>
      <c r="C8" s="22"/>
      <c r="D8" s="21" t="s">
        <v>6</v>
      </c>
      <c r="E8" s="9"/>
      <c r="F8" s="9"/>
      <c r="I8" s="14" t="s">
        <v>7</v>
      </c>
    </row>
    <row r="9" spans="2:13" x14ac:dyDescent="0.3">
      <c r="B9" s="21" t="s">
        <v>8</v>
      </c>
      <c r="C9" s="22"/>
      <c r="D9" s="21" t="s">
        <v>9</v>
      </c>
      <c r="E9" s="9"/>
      <c r="F9" s="9"/>
    </row>
    <row r="10" spans="2:13" ht="14.4" thickBot="1" x14ac:dyDescent="0.35"/>
    <row r="11" spans="2:13" s="10" customFormat="1" ht="28.2" thickBot="1" x14ac:dyDescent="0.3">
      <c r="B11" s="26" t="s">
        <v>10</v>
      </c>
      <c r="C11" s="27" t="s">
        <v>86</v>
      </c>
      <c r="D11" s="27" t="s">
        <v>11</v>
      </c>
      <c r="E11" s="27" t="s">
        <v>12</v>
      </c>
      <c r="F11" s="27" t="s">
        <v>13</v>
      </c>
      <c r="G11" s="27" t="s">
        <v>87</v>
      </c>
      <c r="H11" s="27" t="s">
        <v>14</v>
      </c>
      <c r="I11" s="27" t="s">
        <v>75</v>
      </c>
      <c r="J11" s="27" t="s">
        <v>90</v>
      </c>
      <c r="K11" s="27" t="s">
        <v>15</v>
      </c>
      <c r="L11" s="27" t="s">
        <v>16</v>
      </c>
      <c r="M11" s="28" t="s">
        <v>17</v>
      </c>
    </row>
    <row r="12" spans="2:13" s="10" customFormat="1" ht="103.8" customHeight="1" x14ac:dyDescent="0.25">
      <c r="B12" s="10" t="s">
        <v>18</v>
      </c>
      <c r="C12" s="10" t="s">
        <v>106</v>
      </c>
      <c r="D12" s="10" t="s">
        <v>34</v>
      </c>
      <c r="E12" s="10" t="s">
        <v>60</v>
      </c>
      <c r="F12" s="10" t="s">
        <v>35</v>
      </c>
      <c r="G12" s="10" t="s">
        <v>108</v>
      </c>
      <c r="H12" s="10" t="s">
        <v>42</v>
      </c>
      <c r="I12" s="10" t="s">
        <v>110</v>
      </c>
      <c r="K12" s="10" t="s">
        <v>39</v>
      </c>
      <c r="L12" s="10" t="s">
        <v>78</v>
      </c>
    </row>
    <row r="13" spans="2:13" s="10" customFormat="1" ht="55.2" x14ac:dyDescent="0.25">
      <c r="B13" s="10" t="s">
        <v>80</v>
      </c>
      <c r="C13" s="10" t="s">
        <v>107</v>
      </c>
      <c r="D13" s="10" t="s">
        <v>34</v>
      </c>
      <c r="E13" s="10" t="s">
        <v>60</v>
      </c>
      <c r="F13" s="10" t="s">
        <v>35</v>
      </c>
      <c r="G13" s="10" t="s">
        <v>109</v>
      </c>
      <c r="H13" s="10" t="s">
        <v>42</v>
      </c>
      <c r="I13" s="10" t="s">
        <v>111</v>
      </c>
      <c r="K13" s="10" t="s">
        <v>39</v>
      </c>
      <c r="L13" s="10" t="s">
        <v>78</v>
      </c>
    </row>
    <row r="14" spans="2:13" s="10" customFormat="1" ht="27.6" x14ac:dyDescent="0.25">
      <c r="B14" s="10" t="s">
        <v>81</v>
      </c>
      <c r="C14" s="10" t="s">
        <v>88</v>
      </c>
      <c r="D14" s="10" t="s">
        <v>34</v>
      </c>
      <c r="E14" s="10" t="s">
        <v>60</v>
      </c>
      <c r="F14" s="10" t="s">
        <v>35</v>
      </c>
      <c r="G14" s="10" t="s">
        <v>89</v>
      </c>
      <c r="H14" s="10" t="s">
        <v>42</v>
      </c>
      <c r="I14" s="10" t="s">
        <v>112</v>
      </c>
      <c r="J14" s="29"/>
      <c r="K14" s="10" t="s">
        <v>39</v>
      </c>
      <c r="L14" s="10" t="s">
        <v>78</v>
      </c>
    </row>
    <row r="15" spans="2:13" s="10" customFormat="1" ht="55.2" x14ac:dyDescent="0.25">
      <c r="B15" s="10" t="s">
        <v>82</v>
      </c>
      <c r="C15" s="10" t="s">
        <v>91</v>
      </c>
      <c r="D15" s="10" t="s">
        <v>34</v>
      </c>
      <c r="E15" s="10" t="s">
        <v>60</v>
      </c>
      <c r="F15" s="10" t="s">
        <v>35</v>
      </c>
      <c r="G15" s="10" t="s">
        <v>92</v>
      </c>
      <c r="H15" s="10" t="s">
        <v>42</v>
      </c>
      <c r="I15" s="10" t="s">
        <v>113</v>
      </c>
      <c r="K15" s="10" t="s">
        <v>39</v>
      </c>
      <c r="L15" s="10" t="s">
        <v>78</v>
      </c>
    </row>
    <row r="16" spans="2:13" s="10" customFormat="1" ht="69" x14ac:dyDescent="0.25">
      <c r="B16" s="10" t="s">
        <v>83</v>
      </c>
      <c r="C16" s="10" t="s">
        <v>93</v>
      </c>
      <c r="D16" s="10" t="s">
        <v>34</v>
      </c>
      <c r="E16" s="10" t="s">
        <v>60</v>
      </c>
      <c r="F16" s="10" t="s">
        <v>35</v>
      </c>
      <c r="G16" s="10" t="s">
        <v>94</v>
      </c>
      <c r="H16" s="10" t="s">
        <v>42</v>
      </c>
      <c r="I16" s="10" t="s">
        <v>114</v>
      </c>
      <c r="K16" s="10" t="s">
        <v>39</v>
      </c>
      <c r="L16" s="10" t="s">
        <v>78</v>
      </c>
    </row>
    <row r="17" spans="2:13" ht="69" x14ac:dyDescent="0.3">
      <c r="B17" s="10" t="s">
        <v>20</v>
      </c>
      <c r="C17" s="10" t="s">
        <v>95</v>
      </c>
      <c r="D17" s="10" t="s">
        <v>34</v>
      </c>
      <c r="E17" s="10" t="s">
        <v>60</v>
      </c>
      <c r="F17" s="10" t="s">
        <v>35</v>
      </c>
      <c r="G17" s="10" t="s">
        <v>96</v>
      </c>
      <c r="H17" s="10" t="s">
        <v>42</v>
      </c>
      <c r="I17" s="10" t="s">
        <v>115</v>
      </c>
      <c r="J17" s="10"/>
      <c r="K17" s="10" t="s">
        <v>39</v>
      </c>
      <c r="L17" s="10" t="s">
        <v>78</v>
      </c>
      <c r="M17" s="10"/>
    </row>
    <row r="18" spans="2:13" ht="182.4" customHeight="1" x14ac:dyDescent="0.3">
      <c r="B18" s="10" t="s">
        <v>21</v>
      </c>
      <c r="C18" s="10" t="s">
        <v>97</v>
      </c>
      <c r="D18" s="10" t="s">
        <v>34</v>
      </c>
      <c r="E18" s="10" t="s">
        <v>60</v>
      </c>
      <c r="F18" s="10" t="s">
        <v>35</v>
      </c>
      <c r="G18" s="10" t="s">
        <v>98</v>
      </c>
      <c r="H18" s="10" t="s">
        <v>42</v>
      </c>
      <c r="I18" s="10" t="s">
        <v>116</v>
      </c>
      <c r="J18" s="10"/>
      <c r="K18" s="10" t="s">
        <v>39</v>
      </c>
      <c r="L18" s="10" t="s">
        <v>78</v>
      </c>
      <c r="M18" s="10"/>
    </row>
    <row r="19" spans="2:13" ht="76.8" customHeight="1" x14ac:dyDescent="0.3">
      <c r="B19" s="10" t="s">
        <v>22</v>
      </c>
      <c r="C19" s="10" t="s">
        <v>99</v>
      </c>
      <c r="D19" s="10" t="s">
        <v>34</v>
      </c>
      <c r="E19" s="10" t="s">
        <v>60</v>
      </c>
      <c r="F19" s="10" t="s">
        <v>35</v>
      </c>
      <c r="G19" s="10" t="s">
        <v>100</v>
      </c>
      <c r="H19" s="10" t="s">
        <v>42</v>
      </c>
      <c r="I19" s="10" t="s">
        <v>101</v>
      </c>
      <c r="J19" s="10"/>
      <c r="K19" s="10" t="s">
        <v>39</v>
      </c>
      <c r="L19" s="10" t="s">
        <v>78</v>
      </c>
      <c r="M19" s="10"/>
    </row>
    <row r="20" spans="2:13" ht="106.2" customHeight="1" x14ac:dyDescent="0.3">
      <c r="B20" s="10" t="s">
        <v>71</v>
      </c>
      <c r="C20" s="10" t="s">
        <v>102</v>
      </c>
      <c r="D20" s="10" t="s">
        <v>34</v>
      </c>
      <c r="E20" s="10" t="s">
        <v>60</v>
      </c>
      <c r="F20" s="10" t="s">
        <v>35</v>
      </c>
      <c r="G20" s="10" t="s">
        <v>103</v>
      </c>
      <c r="H20" s="10" t="s">
        <v>42</v>
      </c>
      <c r="I20" s="10" t="s">
        <v>117</v>
      </c>
      <c r="J20" s="10"/>
      <c r="K20" s="10" t="s">
        <v>39</v>
      </c>
      <c r="L20" s="10" t="s">
        <v>78</v>
      </c>
      <c r="M20" s="10"/>
    </row>
    <row r="21" spans="2:13" ht="76.8" customHeight="1" x14ac:dyDescent="0.3">
      <c r="B21" s="10" t="s">
        <v>72</v>
      </c>
      <c r="C21" s="10" t="s">
        <v>104</v>
      </c>
      <c r="D21" s="10" t="s">
        <v>34</v>
      </c>
      <c r="E21" s="10" t="s">
        <v>60</v>
      </c>
      <c r="F21" s="10" t="s">
        <v>35</v>
      </c>
      <c r="G21" s="10" t="s">
        <v>105</v>
      </c>
      <c r="H21" s="10" t="s">
        <v>42</v>
      </c>
      <c r="I21" s="10" t="s">
        <v>118</v>
      </c>
      <c r="J21" s="29"/>
      <c r="K21" s="10" t="s">
        <v>39</v>
      </c>
      <c r="L21" s="10" t="s">
        <v>78</v>
      </c>
      <c r="M21" s="10"/>
    </row>
    <row r="22" spans="2:13" x14ac:dyDescent="0.3">
      <c r="B22" s="10"/>
      <c r="C22" s="10"/>
      <c r="D22" s="10"/>
      <c r="E22" s="10"/>
      <c r="F22" s="10"/>
      <c r="G22" s="10"/>
      <c r="H22" s="10"/>
      <c r="I22" s="10"/>
      <c r="J22" s="10"/>
      <c r="K22" s="10"/>
      <c r="L22" s="10"/>
      <c r="M22" s="10"/>
    </row>
  </sheetData>
  <mergeCells count="1">
    <mergeCell ref="B2:M2"/>
  </mergeCells>
  <phoneticPr fontId="2" type="noConversion"/>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9E253E9F-6967-4CE3-BEC2-E6EF086F8550}">
          <x14:formula1>
            <xm:f>Params!$B$3:$B$5</xm:f>
          </x14:formula1>
          <xm:sqref>D4</xm:sqref>
        </x14:dataValidation>
        <x14:dataValidation type="list" allowBlank="1" showInputMessage="1" showErrorMessage="1" xr:uid="{06B2A4DB-2A94-4B0B-971B-CDFF438E23BA}">
          <x14:formula1>
            <xm:f>Params!$G$3:$G$9</xm:f>
          </x14:formula1>
          <xm:sqref>M12:M21</xm:sqref>
        </x14:dataValidation>
        <x14:dataValidation type="list" allowBlank="1" showInputMessage="1" showErrorMessage="1" xr:uid="{1F2CF1C1-BE35-4DC9-A975-F49F788F3D6A}">
          <x14:formula1>
            <xm:f>Params!$H$3:$H$6</xm:f>
          </x14:formula1>
          <xm:sqref>K12:K21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J16" sqref="J16"/>
    </sheetView>
  </sheetViews>
  <sheetFormatPr baseColWidth="10" defaultColWidth="11.44140625" defaultRowHeight="14.4" x14ac:dyDescent="0.3"/>
  <cols>
    <col min="1" max="1" width="12" style="2" customWidth="1"/>
    <col min="2" max="2" width="10.21875" style="2" customWidth="1"/>
    <col min="3" max="3" width="11.44140625" style="2"/>
    <col min="4" max="4" width="58.21875" style="2" customWidth="1"/>
    <col min="5" max="5" width="15.77734375" style="2" customWidth="1"/>
    <col min="6" max="6" width="22.21875" style="2" customWidth="1"/>
    <col min="7" max="7" width="16.5546875" style="2" customWidth="1"/>
    <col min="8" max="16384" width="11.44140625" style="2"/>
  </cols>
  <sheetData>
    <row r="2" spans="1:7" ht="15" thickBot="1" x14ac:dyDescent="0.35"/>
    <row r="3" spans="1:7" ht="24" customHeight="1" thickBot="1" x14ac:dyDescent="0.35">
      <c r="A3" s="2" t="s">
        <v>23</v>
      </c>
      <c r="B3" s="33" t="s">
        <v>0</v>
      </c>
      <c r="C3" s="34"/>
      <c r="D3" s="34"/>
      <c r="E3" s="34"/>
      <c r="F3" s="34"/>
      <c r="G3" s="35"/>
    </row>
    <row r="4" spans="1:7" x14ac:dyDescent="0.3">
      <c r="B4" s="4"/>
      <c r="C4" s="5"/>
      <c r="D4" s="5"/>
      <c r="E4" s="5"/>
      <c r="F4" s="5"/>
      <c r="G4" s="5"/>
    </row>
    <row r="5" spans="1:7" x14ac:dyDescent="0.3">
      <c r="B5" s="12" t="str">
        <f>'Gestion Exigences'!B5</f>
        <v>Client</v>
      </c>
      <c r="D5" s="12" t="e">
        <f>'Gestion Exigences'!#REF!</f>
        <v>#REF!</v>
      </c>
      <c r="E5" s="5"/>
      <c r="F5" s="5"/>
      <c r="G5" s="5"/>
    </row>
    <row r="6" spans="1:7" x14ac:dyDescent="0.3">
      <c r="B6" s="12" t="str">
        <f>'Gestion Exigences'!B6</f>
        <v>Projet</v>
      </c>
      <c r="D6" s="12" t="e">
        <f>'Gestion Exigences'!#REF!</f>
        <v>#REF!</v>
      </c>
      <c r="E6" s="5"/>
      <c r="F6" s="5"/>
      <c r="G6" s="5"/>
    </row>
    <row r="7" spans="1:7" x14ac:dyDescent="0.3">
      <c r="B7" s="12" t="e">
        <f>'Gestion Exigences'!#REF!</f>
        <v>#REF!</v>
      </c>
      <c r="D7" s="12" t="e">
        <f>'Gestion Exigences'!#REF!</f>
        <v>#REF!</v>
      </c>
      <c r="E7" s="5"/>
      <c r="F7" s="5"/>
      <c r="G7" s="5"/>
    </row>
    <row r="8" spans="1:7" x14ac:dyDescent="0.3">
      <c r="B8" s="12" t="e">
        <f>'Gestion Exigences'!#REF!</f>
        <v>#REF!</v>
      </c>
      <c r="D8" s="12" t="e">
        <f>'Gestion Exigences'!#REF!</f>
        <v>#REF!</v>
      </c>
      <c r="E8" s="5"/>
      <c r="F8" s="5"/>
      <c r="G8" s="5"/>
    </row>
    <row r="9" spans="1:7" x14ac:dyDescent="0.3">
      <c r="B9" s="4"/>
      <c r="C9" s="12"/>
      <c r="D9" s="5"/>
      <c r="E9" s="5"/>
      <c r="F9" s="5"/>
      <c r="G9" s="5"/>
    </row>
    <row r="10" spans="1:7" x14ac:dyDescent="0.3">
      <c r="B10" s="18" t="str">
        <f>'Gestion Exigences'!B8</f>
        <v>Réf Modèle Document</v>
      </c>
      <c r="C10" s="19" t="str">
        <f>'Gestion Exigences'!D8</f>
        <v>MD203</v>
      </c>
      <c r="D10" s="5"/>
      <c r="E10" s="5"/>
      <c r="F10" s="5"/>
      <c r="G10" s="5"/>
    </row>
    <row r="11" spans="1:7" x14ac:dyDescent="0.3">
      <c r="B11" s="18" t="str">
        <f>'Gestion Exigences'!B9</f>
        <v>Version Modèle Document</v>
      </c>
      <c r="C11" s="19" t="str">
        <f>'Gestion Exigences'!D9</f>
        <v>V1.5</v>
      </c>
      <c r="D11" s="5"/>
      <c r="E11" s="5"/>
      <c r="F11" s="5"/>
      <c r="G11" s="5"/>
    </row>
    <row r="12" spans="1:7" x14ac:dyDescent="0.3">
      <c r="B12" s="4"/>
      <c r="C12" s="5"/>
      <c r="D12" s="5"/>
      <c r="E12" s="5"/>
      <c r="F12" s="5"/>
      <c r="G12" s="5"/>
    </row>
    <row r="13" spans="1:7" x14ac:dyDescent="0.3">
      <c r="B13" s="13" t="s">
        <v>24</v>
      </c>
      <c r="C13" s="13" t="s">
        <v>25</v>
      </c>
      <c r="D13" s="13" t="s">
        <v>26</v>
      </c>
      <c r="E13" s="13" t="s">
        <v>27</v>
      </c>
      <c r="F13" s="13" t="s">
        <v>28</v>
      </c>
      <c r="G13" s="13" t="s">
        <v>29</v>
      </c>
    </row>
    <row r="14" spans="1:7" ht="29.55" customHeight="1" x14ac:dyDescent="0.3">
      <c r="B14" s="6" t="s">
        <v>67</v>
      </c>
      <c r="C14" s="7">
        <v>45342</v>
      </c>
      <c r="D14" s="16" t="s">
        <v>68</v>
      </c>
      <c r="E14" s="6" t="s">
        <v>69</v>
      </c>
      <c r="F14" s="15" t="s">
        <v>70</v>
      </c>
      <c r="G14" s="6" t="s">
        <v>30</v>
      </c>
    </row>
    <row r="15" spans="1:7" x14ac:dyDescent="0.3">
      <c r="B15" s="6" t="s">
        <v>76</v>
      </c>
      <c r="C15" s="25">
        <v>45701</v>
      </c>
      <c r="D15" s="2" t="s">
        <v>79</v>
      </c>
      <c r="E15" s="2" t="s">
        <v>77</v>
      </c>
      <c r="F15" s="15" t="s">
        <v>78</v>
      </c>
      <c r="G15" s="6" t="s">
        <v>30</v>
      </c>
    </row>
    <row r="16" spans="1:7" x14ac:dyDescent="0.3">
      <c r="C16" s="25"/>
    </row>
  </sheetData>
  <mergeCells count="1">
    <mergeCell ref="B3:G3"/>
  </mergeCells>
  <phoneticPr fontId="17" type="noConversion"/>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12"/>
  <sheetViews>
    <sheetView workbookViewId="0">
      <selection activeCell="I17" sqref="I17"/>
    </sheetView>
  </sheetViews>
  <sheetFormatPr baseColWidth="10" defaultColWidth="11.44140625" defaultRowHeight="13.8" x14ac:dyDescent="0.25"/>
  <cols>
    <col min="1" max="2" width="11.44140625" style="10"/>
    <col min="3" max="4" width="19.77734375" style="10" customWidth="1"/>
    <col min="5" max="5" width="23.77734375" style="10" customWidth="1"/>
    <col min="6" max="6" width="14.44140625" style="10" customWidth="1"/>
    <col min="7" max="7" width="23.77734375" style="10" customWidth="1"/>
    <col min="8" max="8" width="25.21875" style="10" customWidth="1"/>
    <col min="9" max="9" width="20.44140625" style="10" customWidth="1"/>
    <col min="10" max="16384" width="11.44140625" style="10"/>
  </cols>
  <sheetData>
    <row r="2" spans="2:9" ht="27.6" x14ac:dyDescent="0.25">
      <c r="B2" s="11" t="s">
        <v>1</v>
      </c>
      <c r="C2" s="11" t="s">
        <v>11</v>
      </c>
      <c r="D2" s="11" t="s">
        <v>31</v>
      </c>
      <c r="E2" s="11" t="s">
        <v>14</v>
      </c>
      <c r="F2" s="11" t="s">
        <v>32</v>
      </c>
      <c r="G2" s="11" t="s">
        <v>17</v>
      </c>
      <c r="H2" s="11" t="s">
        <v>33</v>
      </c>
      <c r="I2" s="11" t="s">
        <v>12</v>
      </c>
    </row>
    <row r="3" spans="2:9" x14ac:dyDescent="0.25">
      <c r="B3" s="10" t="s">
        <v>49</v>
      </c>
      <c r="C3" s="10" t="s">
        <v>34</v>
      </c>
      <c r="D3" s="10" t="s">
        <v>35</v>
      </c>
      <c r="E3" s="10" t="s">
        <v>36</v>
      </c>
      <c r="F3" s="10" t="s">
        <v>37</v>
      </c>
      <c r="G3" s="10" t="s">
        <v>38</v>
      </c>
      <c r="H3" s="10" t="s">
        <v>39</v>
      </c>
      <c r="I3" s="10" t="s">
        <v>58</v>
      </c>
    </row>
    <row r="4" spans="2:9" x14ac:dyDescent="0.25">
      <c r="B4" s="10" t="s">
        <v>53</v>
      </c>
      <c r="C4" s="10" t="s">
        <v>40</v>
      </c>
      <c r="D4" s="10" t="s">
        <v>41</v>
      </c>
      <c r="E4" s="10" t="s">
        <v>42</v>
      </c>
      <c r="F4" s="10" t="s">
        <v>43</v>
      </c>
      <c r="G4" s="10" t="s">
        <v>44</v>
      </c>
      <c r="H4" s="10" t="s">
        <v>45</v>
      </c>
      <c r="I4" s="10" t="s">
        <v>59</v>
      </c>
    </row>
    <row r="5" spans="2:9" x14ac:dyDescent="0.25">
      <c r="B5" s="10" t="s">
        <v>2</v>
      </c>
      <c r="C5" s="10" t="s">
        <v>46</v>
      </c>
      <c r="D5" s="10" t="s">
        <v>47</v>
      </c>
      <c r="E5" s="10" t="s">
        <v>48</v>
      </c>
      <c r="F5" s="10" t="s">
        <v>19</v>
      </c>
      <c r="G5" s="10" t="s">
        <v>19</v>
      </c>
      <c r="H5" s="10" t="s">
        <v>19</v>
      </c>
      <c r="I5" s="10" t="s">
        <v>60</v>
      </c>
    </row>
    <row r="6" spans="2:9" x14ac:dyDescent="0.25">
      <c r="B6" s="10" t="s">
        <v>2</v>
      </c>
      <c r="C6" s="10" t="s">
        <v>50</v>
      </c>
      <c r="D6" s="10" t="s">
        <v>51</v>
      </c>
      <c r="E6" s="10" t="s">
        <v>52</v>
      </c>
      <c r="I6" s="10" t="s">
        <v>61</v>
      </c>
    </row>
    <row r="7" spans="2:9" x14ac:dyDescent="0.25">
      <c r="C7" s="10" t="s">
        <v>54</v>
      </c>
      <c r="D7" s="10" t="s">
        <v>55</v>
      </c>
      <c r="E7" s="10" t="s">
        <v>74</v>
      </c>
      <c r="I7" s="10" t="s">
        <v>62</v>
      </c>
    </row>
    <row r="8" spans="2:9" x14ac:dyDescent="0.25">
      <c r="C8" s="10" t="s">
        <v>73</v>
      </c>
      <c r="E8" s="10" t="s">
        <v>56</v>
      </c>
      <c r="I8" s="10" t="s">
        <v>63</v>
      </c>
    </row>
    <row r="9" spans="2:9" x14ac:dyDescent="0.25">
      <c r="E9" s="10" t="s">
        <v>57</v>
      </c>
      <c r="I9" s="10" t="s">
        <v>64</v>
      </c>
    </row>
    <row r="11" spans="2:9" x14ac:dyDescent="0.25">
      <c r="I11" s="10" t="s">
        <v>65</v>
      </c>
    </row>
    <row r="12" spans="2:9" ht="27.6" x14ac:dyDescent="0.25">
      <c r="I12" s="10" t="s">
        <v>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503822-DF13-4051-A489-72B75648E37A}">
  <ds:schemaRefs>
    <ds:schemaRef ds:uri="http://schemas.microsoft.com/office/infopath/2007/PartnerControls"/>
    <ds:schemaRef ds:uri="http://purl.org/dc/elements/1.1/"/>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43b908ec-9e92-424c-a4ad-3174bac6e888"/>
    <ds:schemaRef ds:uri="5f2f9e80-f74a-40c7-b145-b94d8e4966f0"/>
    <ds:schemaRef ds:uri="http://purl.org/dc/dcmitype/"/>
    <ds:schemaRef ds:uri="http://purl.org/dc/terms/"/>
  </ds:schemaRefs>
</ds:datastoreItem>
</file>

<file path=customXml/itemProps2.xml><?xml version="1.0" encoding="utf-8"?>
<ds:datastoreItem xmlns:ds="http://schemas.openxmlformats.org/officeDocument/2006/customXml" ds:itemID="{2468494F-A22F-4BD0-8BC0-81483168AD41}"/>
</file>

<file path=customXml/itemProps3.xml><?xml version="1.0" encoding="utf-8"?>
<ds:datastoreItem xmlns:ds="http://schemas.openxmlformats.org/officeDocument/2006/customXml" ds:itemID="{431C8B5B-7A06-4686-9F8A-E8F24EECD8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Mahdi Besbes</cp:lastModifiedBy>
  <cp:revision/>
  <dcterms:created xsi:type="dcterms:W3CDTF">2000-07-05T17:03:55Z</dcterms:created>
  <dcterms:modified xsi:type="dcterms:W3CDTF">2025-03-26T12:11:59Z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