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03"/>
  <workbookPr/>
  <mc:AlternateContent xmlns:mc="http://schemas.openxmlformats.org/markup-compatibility/2006">
    <mc:Choice Requires="x15">
      <x15ac:absPath xmlns:x15ac="http://schemas.microsoft.com/office/spreadsheetml/2010/11/ac" url="C:\Users\siwar.abbes\Desktop\"/>
    </mc:Choice>
  </mc:AlternateContent>
  <xr:revisionPtr revIDLastSave="133" documentId="13_ncr:1_{35145A49-D408-4ED4-BFCC-8701DD9F0FE1}" xr6:coauthVersionLast="47" xr6:coauthVersionMax="47" xr10:uidLastSave="{9C9A5476-ED9E-4BBC-9F11-5EA00BAA1E0C}"/>
  <bookViews>
    <workbookView xWindow="-110" yWindow="-110" windowWidth="19420" windowHeight="10300" tabRatio="620" xr2:uid="{00000000-000D-0000-FFFF-FFFF00000000}"/>
  </bookViews>
  <sheets>
    <sheet name="Gestion Exigences" sheetId="27" r:id="rId1"/>
    <sheet name="Modifs Doc" sheetId="29" r:id="rId2"/>
    <sheet name="Params" sheetId="30" r:id="rId3"/>
  </sheets>
  <definedNames>
    <definedName name="_xlnm.Print_Area" localSheetId="0">'Gestion Exigences'!$C$2:$I$24</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27" l="1"/>
  <c r="P20" i="27"/>
  <c r="O27" i="27"/>
  <c r="P27" i="27" s="1"/>
  <c r="O28" i="27"/>
  <c r="P28" i="27"/>
  <c r="O29" i="27"/>
  <c r="P29" i="27"/>
  <c r="O26" i="27"/>
  <c r="P26" i="27" s="1"/>
  <c r="O16" i="27" l="1"/>
  <c r="P16" i="27" s="1"/>
  <c r="O21" i="27" l="1"/>
  <c r="P21" i="27" s="1"/>
  <c r="O19" i="27"/>
  <c r="P19" i="27" s="1"/>
  <c r="O15" i="27"/>
  <c r="P15" i="27" s="1"/>
  <c r="O23" i="27"/>
  <c r="P23" i="27" s="1"/>
  <c r="O14" i="27"/>
  <c r="P14" i="27" s="1"/>
  <c r="O17" i="27"/>
  <c r="P17" i="27" s="1"/>
  <c r="O18" i="27"/>
  <c r="P18" i="27" s="1"/>
  <c r="O22" i="27"/>
  <c r="P22" i="27" s="1"/>
  <c r="O24" i="27"/>
  <c r="P24" i="27" s="1"/>
  <c r="O25" i="27"/>
  <c r="P25" i="27" s="1"/>
  <c r="D5" i="29"/>
  <c r="D6" i="29"/>
  <c r="D7" i="29"/>
  <c r="D8" i="29"/>
  <c r="C10" i="29"/>
  <c r="C11" i="29"/>
  <c r="B6" i="29"/>
  <c r="B7" i="29"/>
  <c r="B8" i="29"/>
  <c r="B10" i="29"/>
  <c r="B11" i="29"/>
  <c r="B5" i="29"/>
  <c r="P40" i="27" l="1"/>
  <c r="P37" i="27"/>
</calcChain>
</file>

<file path=xl/sharedStrings.xml><?xml version="1.0" encoding="utf-8"?>
<sst xmlns="http://schemas.openxmlformats.org/spreadsheetml/2006/main" count="304" uniqueCount="162">
  <si>
    <t>Gestion Exigences Projet</t>
  </si>
  <si>
    <t>Chiffrage Réalisation (SF only)</t>
  </si>
  <si>
    <t>Revue et Vérification Pendant la Conception</t>
  </si>
  <si>
    <t>BU</t>
  </si>
  <si>
    <t>Client</t>
  </si>
  <si>
    <t>X-PACK</t>
  </si>
  <si>
    <t>Projet</t>
  </si>
  <si>
    <t>Digitalisation du processus qualité</t>
  </si>
  <si>
    <t>Confidentiel | Usage Client Limité</t>
  </si>
  <si>
    <t>ID</t>
  </si>
  <si>
    <t>Intitulé Exigence</t>
  </si>
  <si>
    <t>Nature</t>
  </si>
  <si>
    <t>Catégorie</t>
  </si>
  <si>
    <t>Exigence idenfiée pendant la phase</t>
  </si>
  <si>
    <t>Description de l'exigence</t>
  </si>
  <si>
    <t>Source</t>
  </si>
  <si>
    <t>Type de l'exigence</t>
  </si>
  <si>
    <t>Desciption de la solution ADDIXO</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</si>
  <si>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</si>
  <si>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</si>
  <si>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</si>
  <si>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</si>
  <si>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</si>
  <si>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</si>
  <si>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</si>
  <si>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</si>
  <si>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</si>
  <si>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</si>
  <si>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</si>
  <si>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</si>
  <si>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</si>
  <si>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des données </t>
  </si>
  <si>
    <t>Fonctionnelle</t>
  </si>
  <si>
    <t>SF-Fonctionnelle</t>
  </si>
  <si>
    <t>Commerciale</t>
  </si>
  <si>
    <t>Configuration complète et gestion de l'usine</t>
  </si>
  <si>
    <t>Workshop/réunion client</t>
  </si>
  <si>
    <t>Standard</t>
  </si>
  <si>
    <t>La solution offre un Module Core permettant la modélisation, gestion et planification pour une usine connectée:
• Modélisation hiérarchique de l'usine: Sites, ateliers, lignes, postes, machines, 
• Gestion des produits
• Gestion des incidents et défauts
• Gestion des utilisateurs et des autorisations: Rôles et accès contrôlés.
• Gestion des équipes
• Planification des lignes et des équipes
• Configuration des moules
• etc</t>
  </si>
  <si>
    <t>Validée</t>
  </si>
  <si>
    <t>Mahdi B.</t>
  </si>
  <si>
    <t>Validée par le client</t>
  </si>
  <si>
    <t>N/A</t>
  </si>
  <si>
    <t>E002</t>
  </si>
  <si>
    <t xml:space="preserve">Chargement des données </t>
  </si>
  <si>
    <t xml:space="preserve"> Automatisation de l'importation de données dans la solution</t>
  </si>
  <si>
    <t xml:space="preserve">La solution comprend un module "Intégartion SI" permettant l'intégration automatisée de données: Chargement automatique de données depuis des fichiers CSV ou des systèmes d'information clients. En supportant les entités produits, utilisateurs et outillages, avec une gestion détaillée des erreurs d'intégration. </t>
  </si>
  <si>
    <t>E003</t>
  </si>
  <si>
    <t>Gestion des OF</t>
  </si>
  <si>
    <t xml:space="preserve">Création , gestion et suivi des ordres de fabrications </t>
  </si>
  <si>
    <t>Adaptation</t>
  </si>
  <si>
    <r>
      <rPr>
        <sz val="10"/>
        <color rgb="FF000000"/>
        <rFont val="Calibri Light"/>
        <scheme val="major"/>
      </rPr>
      <t>La solution offre une interface pour la gestion simplifié des OF sous le module qualité permettant de :
• Ajout manuel des Ordres de fabrication en spécifiant les informations associées nécessaires : Atelier , ligne , commande , produit , quantité objectif , durée  de changement de série ,</t>
    </r>
    <r>
      <rPr>
        <sz val="10"/>
        <color rgb="FFFF0000"/>
        <rFont val="Calibri Light"/>
        <scheme val="major"/>
      </rPr>
      <t xml:space="preserve"> </t>
    </r>
    <r>
      <rPr>
        <sz val="10"/>
        <color rgb="FF000000"/>
        <rFont val="Calibri Light"/>
        <scheme val="major"/>
      </rPr>
      <t>matière .
•Gestion centralisée des OF:
Gestion et suivi des différents statuts des OF (planifié, lancé, suspendu, changement de série, etc.)
• Mise à jour en temps réel des statuts du validation process des OF ( Surveillance process validé / non validé) 
• Accés rapide aux dossier de fabrication du produit associé à l'OF</t>
    </r>
  </si>
  <si>
    <t>E004</t>
  </si>
  <si>
    <t>Déclaration manuelle des non-conformités par OF</t>
  </si>
  <si>
    <t>Déclaration des non-conformités détectées par l'opérateur</t>
  </si>
  <si>
    <t>Standard/adaptation</t>
  </si>
  <si>
    <t>La solution propose une interface intuitive pour les opérateurs "Compatge qualité ", permettant la déclaration des non-conformités détectées lors du processus de production en suivant les étapes :
• Déclaration de la production brute
• Déclaration de la quantité non conforme
• Identification du lieu de détection
• Décomposition et quantification des types de défauts des articles non conformes.</t>
  </si>
  <si>
    <t>E005</t>
  </si>
  <si>
    <t xml:space="preserve">Déclaration manuelle des non-conformités par OF / sous-OF à partir d'un formulaire </t>
  </si>
  <si>
    <t>Déclaration des non-conformités détectées par l'opérateur/ contrôleur qualité et leur validation par le responsable qualité.</t>
  </si>
  <si>
    <t>La solution propose une interface "Fiche Non-Conformité" pour identifier, documenter, analyser et résoudre les incidents de qualité en production, avec les fonctionnalités suivantes :
• Identification du problème :Définir le lieu de détection, le type de défaut, et la quantité affectée,Analyser les causes racines (QQCQ), Indiquer le statut du produit (isolé, livré, bloqué).
• Actions immédiates :Définir les actions correctives, Décider si le produit sera livré après correction ou nécessite un traitement supplémentaire, Fournir une description complète de la non-conformité.
• Analyse des causes :Utiliser les méthodologies 5M (Ishikawa) et 5 Pourquoi.
• Actions définitives :Élaborer un plan pour traiter les causes profondes et prévenir la récurrence.
Attribuer les responsabilités, informer les parties concernées, et planifier les dates d'exécution.
• Historique et consultation :Maintenir un référentiel centralisé des fiches de non-conformité</t>
  </si>
  <si>
    <t>E006</t>
  </si>
  <si>
    <t>Analyse des causes des non-conformités avec l'outil QRQC</t>
  </si>
  <si>
    <t>Suivi et analyses des causes des non-conformités avec l'outil QRQC</t>
  </si>
  <si>
    <t xml:space="preserve">la solution offre un QRQC qui permet de rédoudre les non conformité en déclenchant la création des fiches  en s'appuyant sur des seuils de qualité paramètrable , permettant ainsi: 
• D'idententifier le problème et le contexte de l'incident
• De mettre en place un tri pour catégoriser les incidents en fonction de leur gravité
• De définir les actions immédiates et bloquer la production si nécéssaire
• De définir les causes racines avec les méthodes 5M et 5 pourquoi 
• Définition et suivi des actions définitives en élaborant un plan d'action correctif détaillé, en assignant des responsabilités aux personnes concernées et en définissant des échéances . Le système assure un suivi de l'avancement des actions et permet une validation une fois les actions terminées. </t>
  </si>
  <si>
    <t>E007</t>
  </si>
  <si>
    <t>Standardisation des actions correctives</t>
  </si>
  <si>
    <t xml:space="preserve">Standardisation des actions correctives et mesure de l'efficacité </t>
  </si>
  <si>
    <t xml:space="preserve">La solution proposée permettre la standardisation automatisée des actions correctives issues des QRQC , ainsi qu'un suivi quantitatif de leur efficacité, mesurée par des indicateurs pertinents. </t>
  </si>
  <si>
    <t>E008</t>
  </si>
  <si>
    <t xml:space="preserve">Gestion des réclamation Client </t>
  </si>
  <si>
    <t>Déclaration, Suivi et Analyse des Défauts Provenant des Réclamations Clients</t>
  </si>
  <si>
    <t>La solution propose d'intégrer une interface  pour la saisie et l'analyse  des incidents signalés par les clients  permettant ainsi de  : 
•Créer une "Réclamation client"  incluant les informations clés ( Code client , Produit , commande , OF  , lot ...)  
• Classifier et quanitifier les défaut par type par produit et par client.
• Affecter les reponsables concernés
• Déclencher un ou plusieurs QRQC suite à la réclamation et suivi de l'avancement et de l'efficacité des actions correctives mises en place .
• Suivi du status des réclamations ( non entamée , en cours , fermée)</t>
  </si>
  <si>
    <t>E009</t>
  </si>
  <si>
    <t>Historisation des déclarations de non conformités</t>
  </si>
  <si>
    <t xml:space="preserve">Fournir un historique détaillé des déclarations de non-conformité </t>
  </si>
  <si>
    <t xml:space="preserve">La solution offre une interface "Détail Qualité" permettant d'historiser tous les déclaration des non-conformité par Atelier , Ligne , OF , produits , client avec une décortication des défauts de chaque déclaration </t>
  </si>
  <si>
    <t>E010</t>
  </si>
  <si>
    <t xml:space="preserve">Gestion des outils de mesures </t>
  </si>
  <si>
    <t>Gérer les outils de mesures de qualité des produits</t>
  </si>
  <si>
    <r>
      <rPr>
        <sz val="10"/>
        <color rgb="FF000000"/>
        <rFont val="Calibri Light"/>
        <scheme val="major"/>
      </rPr>
      <t>la solution offre un module de gestion des outils de mesure de qualité permet de suivre et gérer les outils de mesures de la qualité des prodduits en  mettant en place des études R&amp;R pour évaluer la fiabilité des outils avec un suivi de statut de échantillonnage</t>
    </r>
    <r>
      <rPr>
        <sz val="10"/>
        <color rgb="FFFF0000"/>
        <rFont val="Calibri Light"/>
        <scheme val="major"/>
      </rPr>
      <t xml:space="preserve"> </t>
    </r>
    <r>
      <rPr>
        <sz val="10"/>
        <color rgb="FF000000"/>
        <rFont val="Calibri Light"/>
        <scheme val="major"/>
      </rPr>
      <t>.</t>
    </r>
  </si>
  <si>
    <t>E011</t>
  </si>
  <si>
    <t>Fiches Qualité</t>
  </si>
  <si>
    <t>Gérer les gammes de contrôles et générer des fiches de qualité selon des fréquences paramétrables</t>
  </si>
  <si>
    <r>
      <rPr>
        <sz val="10"/>
        <color rgb="FF000000"/>
        <rFont val="Calibri Light"/>
        <scheme val="major"/>
      </rPr>
      <t xml:space="preserve">La solution propose un module de gestion des gammes de contrôle offrant les fonctionnalités suivantes :
• Définition de </t>
    </r>
    <r>
      <rPr>
        <b/>
        <sz val="10"/>
        <color rgb="FF000000"/>
        <rFont val="Calibri Light"/>
        <scheme val="major"/>
      </rPr>
      <t>gammes de contrôle</t>
    </r>
    <r>
      <rPr>
        <sz val="10"/>
        <color rgb="FF000000"/>
        <rFont val="Calibri Light"/>
        <scheme val="major"/>
      </rPr>
      <t xml:space="preserve">: Configuration détaillée des critères de contrôle (visuels, dimensionnels), des paramètres de réglage du processus, des tolérances et des fréquences de génération des fiches.
• Génération automatisée de fiches de contrôle: Création automatique de </t>
    </r>
    <r>
      <rPr>
        <b/>
        <sz val="10"/>
        <color rgb="FF000000"/>
        <rFont val="Calibri Light"/>
        <scheme val="major"/>
      </rPr>
      <t xml:space="preserve">fiches de démarrage, de fin de série </t>
    </r>
    <r>
      <rPr>
        <sz val="10"/>
        <color rgb="FF000000"/>
        <rFont val="Calibri Light"/>
        <scheme val="major"/>
      </rPr>
      <t xml:space="preserve">et de suivi en fonction des événements de production (lancement, suspension, clôture d'OF) et des fréquences définies , ainsi que des </t>
    </r>
    <r>
      <rPr>
        <b/>
        <sz val="10"/>
        <color rgb="FF000000"/>
        <rFont val="Calibri Light"/>
        <scheme val="major"/>
      </rPr>
      <t>fiches de suivi</t>
    </r>
    <r>
      <rPr>
        <sz val="10"/>
        <color rgb="FF000000"/>
        <rFont val="Calibri Light"/>
        <scheme val="major"/>
      </rPr>
      <t xml:space="preserve"> périodiques en fonction des fréquences définies.
• Workflow de validation et suivi: Implémentation d'un workflow de validation multi-niveaux (opérateur, contrôleur qualité, etc.) et stockage d'un historique complet des fiches pour une traçabilité optimale.</t>
    </r>
  </si>
  <si>
    <t>E012</t>
  </si>
  <si>
    <t>Suivi MSP</t>
  </si>
  <si>
    <t xml:space="preserve">
Analyse de la capabilité et anticipation des écarts des processus de production avec des cartes de contrôle MSP.</t>
  </si>
  <si>
    <t>La solution offre un module "MSP" permettant de : 
•Spécifier les caractéristiques spéciaux à surveiller, les tolérances associées et la fréquence de collecte des données.
• Évaluer la stabilité du processus de production en calculant des indices de capabilité (Cp, Cpk) 
• Mettre en œuvre des contrôles statistiques en temps réel (moyenne, écart-type) et mettre à jour les limites de contrôle 
• Suivre et anticiper les variations de qualité:  des processus avec des cartes de contrôle et identifier les tendances et les déviations significatives.
• Configurer des alertes automatiques pour signaler les dépassements des limites de contrôle ou les variations inattendues
• Assurer la traçabilité et l'historisation des données</t>
  </si>
  <si>
    <t>E013</t>
  </si>
  <si>
    <t>Suivi 6S</t>
  </si>
  <si>
    <t xml:space="preserve">
Gérer les actions 6s et génération et suivi  et historisation des audits 6s .</t>
  </si>
  <si>
    <t>La solution offre un module "6S" permettant de:
• Gérer les actions 6s et les assigner aux lignes et ateliers, en définissant les responsables.
•  Générer des formulaires d'audit à remplir et à valider par les personnes concernées et visualiser l'évolution des résultats d'audit grâce et des graphiques
• Historiser les audits et les résultats pour faciliter le suivi dans le temps et les analyses comparatives.</t>
  </si>
  <si>
    <t>E014</t>
  </si>
  <si>
    <t>Méthode 8D</t>
  </si>
  <si>
    <t xml:space="preserve">
La solution propose d'intègrer la  méthode 8D  pou la résolution des non-conformités , avec les fonctionnalités suivantes :
• Définition du problème et classification de l'incident par produit, type de défaut, et gravité
• Mise en place d'un plan d'action pour les actions correctives immédiates
• Génération de tickets 8D assignés aux groupes concernés
• Analyse et identification des causes racines du problème
• Déclenchement du QRQC en cas de besoin 
• Mise en place d'un plan d'action pour les actions correctives définitives
• Standardisation des actions correctives définitives pour les appliquer en cas de réapparition de l'incident
• Mesure de l'efficacité des actions correctives
• Traçabilité et historisation des incidents et actions</t>
  </si>
  <si>
    <t>E015</t>
  </si>
  <si>
    <t>Tableau de bord qualité</t>
  </si>
  <si>
    <t xml:space="preserve">
Historisation et visualisation des indicateurs de performance qualité</t>
  </si>
  <si>
    <r>
      <t xml:space="preserve">La solution offre Un tableau de bord qualité fournissant une visualisation flexible des performances qualité selon des intervalles flexibles (années, mois, semaines, jours, shifts), permettant de :
• Suivre les taux de qualité et les taux de rebut par atelier et par ligne
• Suivre les quantités et les coûts des non-conformités
• Analyser les quantités de non-conformités par type de défaut
• Suivre les quantités de défauts et les réclamations clients par client et par type de défaut </t>
    </r>
    <r>
      <rPr>
        <b/>
        <sz val="10"/>
        <rFont val="Calibri Light"/>
        <family val="2"/>
        <scheme val="major"/>
      </rPr>
      <t>(Adaptation)</t>
    </r>
    <r>
      <rPr>
        <sz val="10"/>
        <rFont val="Calibri Light"/>
        <family val="2"/>
        <scheme val="major"/>
      </rPr>
      <t xml:space="preserve">
• Présenter des diagrammes de Pareto des défauts
• Effectuer des analyses de cause à effet des défauts</t>
    </r>
  </si>
  <si>
    <t>E016</t>
  </si>
  <si>
    <t>Instruction de travail</t>
  </si>
  <si>
    <t>Centraliser et diffuser les documents techniques relatifs aux processus de production et de qualité.</t>
  </si>
  <si>
    <t>La solution offre un module "Instruction de travail" qui permet :
• Chargement : Importation des fichiers d'instructions.
• Catégorisation : Classification par qualité, maintenance, et production.
• Affectation : Attribution des instructions par ligne et produit.
• Gestion des Versions : Centralisation et gestion du versionnage des documents.
• Accessibilité : Accès en temps réel aux instructions pour les opérateurs et l'équipe qualité.</t>
  </si>
  <si>
    <t xml:space="preserve"> </t>
  </si>
  <si>
    <t>Version</t>
  </si>
  <si>
    <t>Date</t>
  </si>
  <si>
    <t>Modifications</t>
  </si>
  <si>
    <t>Auteur(s)</t>
  </si>
  <si>
    <t>Vérificateur(s)</t>
  </si>
  <si>
    <t>Approbateur</t>
  </si>
  <si>
    <t>V1.0</t>
  </si>
  <si>
    <t xml:space="preserve">Version initiale </t>
  </si>
  <si>
    <t>Nihel K.</t>
  </si>
  <si>
    <t xml:space="preserve">Mahdi B. + Ferjania BA </t>
  </si>
  <si>
    <t>Imed A.</t>
  </si>
  <si>
    <t>Exigence identifiée pendant la phase</t>
  </si>
  <si>
    <t>Oui/Non</t>
  </si>
  <si>
    <t>Statut Interne</t>
  </si>
  <si>
    <t>SE</t>
  </si>
  <si>
    <t>CdC client</t>
  </si>
  <si>
    <t>Oui</t>
  </si>
  <si>
    <t>*** SE</t>
  </si>
  <si>
    <t>SE-TN</t>
  </si>
  <si>
    <t>Performance</t>
  </si>
  <si>
    <t>Conception</t>
  </si>
  <si>
    <t>Non</t>
  </si>
  <si>
    <t>Non validée par client</t>
  </si>
  <si>
    <t>Non validée</t>
  </si>
  <si>
    <t>SE-Processus</t>
  </si>
  <si>
    <t>SE-MA</t>
  </si>
  <si>
    <t>Reglementaire</t>
  </si>
  <si>
    <t>Réalisation</t>
  </si>
  <si>
    <t>Workshop/réunion Interne</t>
  </si>
  <si>
    <t>SE-Mécanique</t>
  </si>
  <si>
    <t>SF</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</si>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</sst>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0"/>
      <color rgb="FF000000"/>
      <name val="Calibri Light"/>
      <family val="2"/>
    </font>
    <font>
      <sz val="10"/>
      <color rgb="FF000000"/>
      <name val="Calibri Light"/>
      <scheme val="major"/>
    </font>
    <font>
      <sz val="10"/>
      <color rgb="FFFF0000"/>
      <name val="Calibri Light"/>
      <scheme val="major"/>
    </font>
    <font>
      <sz val="10"/>
      <name val="Calibri Light"/>
      <scheme val="major"/>
    </font>
    <font>
      <b/>
      <sz val="10"/>
      <color rgb="FF000000"/>
      <name val="Calibri Light"/>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8" fillId="0" borderId="0" xfId="0" applyFont="1" applyAlignment="1">
      <alignment vertical="center" wrapText="1"/>
    </xf>
    <xf numFmtId="0" fontId="21" fillId="0" borderId="0" xfId="0" applyFont="1" applyAlignment="1">
      <alignment vertical="center" wrapText="1"/>
    </xf>
    <xf numFmtId="0" fontId="19" fillId="0" borderId="0" xfId="0" applyFont="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17929</xdr:colOff>
      <xdr:row>2</xdr:row>
      <xdr:rowOff>161363</xdr:rowOff>
    </xdr:from>
    <xdr:to>
      <xdr:col>3</xdr:col>
      <xdr:colOff>443142</xdr:colOff>
      <xdr:row>2</xdr:row>
      <xdr:rowOff>600635</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7966670B-FD7D-478A-B1C8-F131A4F63520}"/>
            </a:ext>
          </a:extLst>
        </xdr:cNvPr>
        <xdr:cNvPicPr>
          <a:picLocks noChangeAspect="1"/>
        </xdr:cNvPicPr>
      </xdr:nvPicPr>
      <xdr:blipFill>
        <a:blip xmlns:r="http://schemas.openxmlformats.org/officeDocument/2006/relationships" r:embed="rId1"/>
        <a:stretch>
          <a:fillRect/>
        </a:stretch>
      </xdr:blipFill>
      <xdr:spPr>
        <a:xfrm>
          <a:off x="806823" y="618563"/>
          <a:ext cx="2729143" cy="4392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37" totalsRowCount="1" headerRowDxfId="51" dataDxfId="50">
  <autoFilter ref="B13:V36" xr:uid="{DDEA2C8B-EE0D-4C55-9256-CCC64E002CE6}"/>
  <tableColumns count="21">
    <tableColumn id="1" xr3:uid="{E467E0EE-CDAA-4FF5-85A8-CDC0B23A5AD9}" name="ID"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Type de l'exigence" dataDxfId="34" totalsRowDxfId="35"/>
    <tableColumn id="17" xr3:uid="{D1BC9C86-C3CE-417F-AC83-FC4786A7656D}" name="Desciption de la solution ADDIXO"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dataDxfId="24" totalsRowDxfId="25"/>
    <tableColumn id="21" xr3:uid="{818C68C5-1CC3-4DC9-9BB8-2CB7816ABE9F}" name="HJ Analyse et Test"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40"/>
  <sheetViews>
    <sheetView tabSelected="1" topLeftCell="E22" zoomScale="70" zoomScaleNormal="70" workbookViewId="0">
      <selection activeCell="G24" sqref="G24"/>
    </sheetView>
  </sheetViews>
  <sheetFormatPr defaultColWidth="11.42578125" defaultRowHeight="12.75" customHeight="1"/>
  <cols>
    <col min="1" max="1" width="11.42578125" style="1"/>
    <col min="2" max="2" width="6.140625" style="1" customWidth="1"/>
    <col min="3" max="3" width="27.42578125" style="1" customWidth="1"/>
    <col min="4" max="4" width="16" style="1" customWidth="1"/>
    <col min="5" max="5" width="18.28515625" style="1" customWidth="1"/>
    <col min="6" max="6" width="15.140625" style="1" customWidth="1"/>
    <col min="7" max="7" width="46" style="1" customWidth="1"/>
    <col min="8" max="8" width="14.140625" style="1" customWidth="1"/>
    <col min="9" max="9" width="13.28515625" style="1" customWidth="1"/>
    <col min="10" max="10" width="128" style="1" customWidth="1"/>
    <col min="11" max="11" width="11" style="1" customWidth="1"/>
    <col min="12" max="12" width="10.85546875" style="1" customWidth="1"/>
    <col min="13" max="13" width="12" style="1" customWidth="1"/>
    <col min="14" max="14" width="11.42578125" style="1" customWidth="1"/>
    <col min="15" max="15" width="13.42578125" style="1" customWidth="1"/>
    <col min="16" max="16" width="11.85546875" style="1" customWidth="1"/>
    <col min="17" max="17" width="22.42578125" style="1" customWidth="1"/>
    <col min="18" max="18" width="21.42578125" style="1" customWidth="1"/>
    <col min="19" max="19" width="28.7109375" style="1" customWidth="1"/>
    <col min="20" max="20" width="16.28515625" style="1" customWidth="1"/>
    <col min="21" max="21" width="18.7109375" style="1" customWidth="1"/>
    <col min="22" max="22" width="19" style="1" customWidth="1"/>
    <col min="23" max="16384" width="11.42578125" style="1"/>
  </cols>
  <sheetData>
    <row r="1" spans="2:22"/>
    <row r="2" spans="2:22" ht="21.75" customHeight="1">
      <c r="B2" s="39" t="s">
        <v>0</v>
      </c>
      <c r="C2" s="40"/>
      <c r="D2" s="40"/>
      <c r="E2" s="40"/>
      <c r="F2" s="40"/>
      <c r="G2" s="40"/>
      <c r="H2" s="40"/>
      <c r="I2" s="40"/>
      <c r="J2" s="40"/>
      <c r="K2" s="40"/>
      <c r="L2" s="40"/>
      <c r="M2" s="41"/>
      <c r="N2" s="42" t="s">
        <v>1</v>
      </c>
      <c r="O2" s="43"/>
      <c r="P2" s="44"/>
      <c r="Q2" s="36" t="s">
        <v>2</v>
      </c>
      <c r="R2" s="37"/>
      <c r="S2" s="37"/>
      <c r="T2" s="37"/>
      <c r="U2" s="37"/>
      <c r="V2" s="38"/>
    </row>
    <row r="3" spans="2:22" ht="53.25" customHeight="1">
      <c r="C3" s="8"/>
      <c r="D3" s="8"/>
      <c r="E3" s="8"/>
      <c r="F3" s="8"/>
      <c r="G3" s="8"/>
      <c r="H3" s="8"/>
      <c r="I3" s="8"/>
    </row>
    <row r="4" spans="2:22" ht="21" customHeight="1">
      <c r="B4" s="27" t="s">
        <v>3</v>
      </c>
      <c r="C4" s="8"/>
      <c r="D4" s="28"/>
      <c r="E4" s="8"/>
      <c r="F4" s="8"/>
      <c r="G4" s="8"/>
      <c r="H4" s="8"/>
      <c r="I4" s="8"/>
    </row>
    <row r="5" spans="2:22" ht="21.75" customHeight="1">
      <c r="B5" s="24" t="s">
        <v>4</v>
      </c>
      <c r="D5" s="3" t="s">
        <v>5</v>
      </c>
      <c r="E5" s="3"/>
      <c r="F5" s="3"/>
      <c r="G5" s="3"/>
      <c r="H5" s="3"/>
      <c r="I5" s="3"/>
    </row>
    <row r="6" spans="2:22" ht="21" customHeight="1">
      <c r="B6" s="24" t="s">
        <v>6</v>
      </c>
      <c r="D6" s="3" t="s">
        <v>7</v>
      </c>
      <c r="E6" s="3"/>
      <c r="F6" s="3"/>
      <c r="G6" s="3"/>
      <c r="H6" s="3"/>
      <c r="I6" s="3"/>
    </row>
    <row r="7" spans="2:22" ht="20.45" customHeight="1">
      <c r="B7" s="24"/>
      <c r="D7" s="3"/>
      <c r="E7" s="3"/>
      <c r="F7" s="3"/>
      <c r="G7" s="3"/>
      <c r="H7" s="3"/>
      <c r="I7" s="3"/>
    </row>
    <row r="8" spans="2:22" ht="21.6" customHeight="1">
      <c r="B8" s="24"/>
      <c r="D8" s="3"/>
      <c r="E8" s="3"/>
      <c r="F8" s="3"/>
      <c r="G8" s="3"/>
      <c r="H8" s="3"/>
      <c r="I8" s="3"/>
    </row>
    <row r="9" spans="2:22" ht="15">
      <c r="C9" s="3"/>
      <c r="D9" s="21"/>
      <c r="E9" s="21"/>
      <c r="F9" s="21"/>
      <c r="G9" s="21"/>
      <c r="H9" s="21"/>
      <c r="I9" s="21"/>
    </row>
    <row r="10" spans="2:22" ht="44.25">
      <c r="B10" s="25"/>
      <c r="C10" s="26"/>
      <c r="D10" s="25"/>
      <c r="E10" s="9"/>
      <c r="F10" s="9"/>
      <c r="I10" s="18" t="s">
        <v>8</v>
      </c>
    </row>
    <row r="11" spans="2:22">
      <c r="B11" s="25"/>
      <c r="C11" s="26"/>
      <c r="D11" s="25"/>
      <c r="E11" s="9"/>
      <c r="F11" s="9"/>
    </row>
    <row r="12" spans="2:22"/>
    <row r="13" spans="2:22" s="10" customFormat="1" ht="36" customHeight="1">
      <c r="B13" s="30" t="s">
        <v>9</v>
      </c>
      <c r="C13" s="31" t="s">
        <v>10</v>
      </c>
      <c r="D13" s="31" t="s">
        <v>11</v>
      </c>
      <c r="E13" s="31" t="s">
        <v>12</v>
      </c>
      <c r="F13" s="31" t="s">
        <v>13</v>
      </c>
      <c r="G13" s="31" t="s">
        <v>14</v>
      </c>
      <c r="H13" s="31" t="s">
        <v>15</v>
      </c>
      <c r="I13" s="31" t="s">
        <v>16</v>
      </c>
      <c r="J13" s="31" t="s">
        <v>17</v>
      </c>
      <c r="K13" s="31" t="s">
        <v>18</v>
      </c>
      <c r="L13" s="31" t="s">
        <v>19</v>
      </c>
      <c r="M13" s="32" t="s">
        <v>20</v>
      </c>
      <c r="N13" s="14" t="s">
        <v>21</v>
      </c>
      <c r="O13" s="14" t="s">
        <v>22</v>
      </c>
      <c r="P13" s="14" t="s">
        <v>23</v>
      </c>
      <c r="Q13" s="15" t="s">
        <v>24</v>
      </c>
      <c r="R13" s="16" t="s">
        <v>25</v>
      </c>
      <c r="S13" s="16" t="s">
        <v>26</v>
      </c>
      <c r="T13" s="16" t="s">
        <v>27</v>
      </c>
      <c r="U13" s="16" t="s">
        <v>28</v>
      </c>
      <c r="V13" s="17" t="s">
        <v>29</v>
      </c>
    </row>
    <row r="14" spans="2:22" s="10" customFormat="1" ht="57.75" customHeight="1">
      <c r="B14" s="10" t="s">
        <v>30</v>
      </c>
      <c r="C14" s="10" t="s">
        <v>31</v>
      </c>
      <c r="D14" s="10" t="s">
        <v>32</v>
      </c>
      <c r="E14" s="10" t="s">
        <v>33</v>
      </c>
      <c r="F14" s="10" t="s">
        <v>34</v>
      </c>
      <c r="G14" s="10" t="s">
        <v>35</v>
      </c>
      <c r="H14" s="10" t="s">
        <v>36</v>
      </c>
      <c r="I14" s="10" t="s">
        <v>37</v>
      </c>
      <c r="J14" s="10" t="s">
        <v>38</v>
      </c>
      <c r="K14" s="10" t="s">
        <v>39</v>
      </c>
      <c r="L14" s="10" t="s">
        <v>40</v>
      </c>
      <c r="M14" s="10" t="s">
        <v>41</v>
      </c>
      <c r="N14" s="10">
        <v>0</v>
      </c>
      <c r="O14" s="10">
        <f>Tableau3[[#This Row],[HJ Dev]]*(25%+25%)</f>
        <v>0</v>
      </c>
      <c r="P14" s="10">
        <f>Tableau3[[#This Row],[HJ Analyse et Test]]+Tableau3[[#This Row],[HJ Dev]]</f>
        <v>0</v>
      </c>
      <c r="Q14" s="10" t="s">
        <v>42</v>
      </c>
      <c r="R14" s="10" t="s">
        <v>42</v>
      </c>
      <c r="S14" s="10" t="s">
        <v>42</v>
      </c>
      <c r="T14" s="10" t="s">
        <v>42</v>
      </c>
      <c r="U14" s="10" t="s">
        <v>42</v>
      </c>
    </row>
    <row r="15" spans="2:22" s="10" customFormat="1" ht="48.75" customHeight="1">
      <c r="B15" s="10" t="s">
        <v>43</v>
      </c>
      <c r="C15" s="10" t="s">
        <v>44</v>
      </c>
      <c r="D15" s="10" t="s">
        <v>32</v>
      </c>
      <c r="E15" s="10" t="s">
        <v>33</v>
      </c>
      <c r="F15" s="10" t="s">
        <v>34</v>
      </c>
      <c r="G15" s="10" t="s">
        <v>45</v>
      </c>
      <c r="H15" s="10" t="s">
        <v>36</v>
      </c>
      <c r="I15" s="10" t="s">
        <v>37</v>
      </c>
      <c r="J15" s="10" t="s">
        <v>46</v>
      </c>
      <c r="K15" s="10" t="s">
        <v>39</v>
      </c>
      <c r="L15" s="10" t="s">
        <v>40</v>
      </c>
      <c r="M15" s="10" t="s">
        <v>41</v>
      </c>
      <c r="N15" s="10">
        <v>0</v>
      </c>
      <c r="O15" s="10">
        <f>Tableau3[[#This Row],[HJ Dev]]*(25%+25%)</f>
        <v>0</v>
      </c>
      <c r="P15" s="10">
        <f>Tableau3[[#This Row],[HJ Analyse et Test]]+Tableau3[[#This Row],[HJ Dev]]</f>
        <v>0</v>
      </c>
    </row>
    <row r="16" spans="2:22" s="10" customFormat="1" ht="117.75" customHeight="1">
      <c r="B16" s="10" t="s">
        <v>47</v>
      </c>
      <c r="C16" s="10" t="s">
        <v>48</v>
      </c>
      <c r="D16" s="10" t="s">
        <v>32</v>
      </c>
      <c r="E16" s="10" t="s">
        <v>33</v>
      </c>
      <c r="F16" s="10" t="s">
        <v>34</v>
      </c>
      <c r="G16" s="10" t="s">
        <v>49</v>
      </c>
      <c r="H16" s="10" t="s">
        <v>36</v>
      </c>
      <c r="I16" s="10" t="s">
        <v>50</v>
      </c>
      <c r="J16" s="34" t="s">
        <v>51</v>
      </c>
      <c r="K16" s="10" t="s">
        <v>39</v>
      </c>
      <c r="L16" s="10" t="s">
        <v>40</v>
      </c>
      <c r="M16" s="10" t="s">
        <v>41</v>
      </c>
      <c r="N16" s="10">
        <v>0</v>
      </c>
      <c r="O16" s="10">
        <f>Tableau3[[#This Row],[HJ Dev]]*(25%+25%)</f>
        <v>0</v>
      </c>
      <c r="P16" s="10">
        <f>Tableau3[[#This Row],[HJ Analyse et Test]]+Tableau3[[#This Row],[HJ Dev]]</f>
        <v>0</v>
      </c>
    </row>
    <row r="17" spans="2:22" s="10" customFormat="1" ht="112.5" customHeight="1">
      <c r="B17" s="10" t="s">
        <v>52</v>
      </c>
      <c r="C17" s="10" t="s">
        <v>53</v>
      </c>
      <c r="D17" s="10" t="s">
        <v>32</v>
      </c>
      <c r="E17" s="10" t="s">
        <v>33</v>
      </c>
      <c r="F17" s="10" t="s">
        <v>34</v>
      </c>
      <c r="G17" s="10" t="s">
        <v>54</v>
      </c>
      <c r="H17" s="10" t="s">
        <v>36</v>
      </c>
      <c r="I17" s="10" t="s">
        <v>55</v>
      </c>
      <c r="J17" s="10" t="s">
        <v>56</v>
      </c>
      <c r="K17" s="10" t="s">
        <v>39</v>
      </c>
      <c r="L17" s="10" t="s">
        <v>40</v>
      </c>
      <c r="M17" s="10" t="s">
        <v>41</v>
      </c>
      <c r="N17" s="10">
        <v>1.5</v>
      </c>
      <c r="O17" s="10">
        <f>Tableau3[[#This Row],[HJ Dev]]*(25%+25%)</f>
        <v>0.75</v>
      </c>
      <c r="P17" s="10">
        <f>Tableau3[[#This Row],[HJ Analyse et Test]]+Tableau3[[#This Row],[HJ Dev]]</f>
        <v>2.25</v>
      </c>
    </row>
    <row r="18" spans="2:22" s="10" customFormat="1" ht="152.25" customHeight="1">
      <c r="B18" s="10" t="s">
        <v>57</v>
      </c>
      <c r="C18" s="10" t="s">
        <v>58</v>
      </c>
      <c r="D18" s="10" t="s">
        <v>32</v>
      </c>
      <c r="E18" s="10" t="s">
        <v>33</v>
      </c>
      <c r="F18" s="10" t="s">
        <v>34</v>
      </c>
      <c r="G18" s="10" t="s">
        <v>59</v>
      </c>
      <c r="H18" s="10" t="s">
        <v>36</v>
      </c>
      <c r="I18" s="10" t="s">
        <v>37</v>
      </c>
      <c r="J18" s="10" t="s">
        <v>60</v>
      </c>
      <c r="K18" s="10" t="s">
        <v>39</v>
      </c>
      <c r="L18" s="10" t="s">
        <v>40</v>
      </c>
      <c r="M18" s="10" t="s">
        <v>41</v>
      </c>
      <c r="N18" s="10">
        <v>0</v>
      </c>
      <c r="O18" s="10">
        <f>Tableau3[[#This Row],[HJ Dev]]*(25%+25%)</f>
        <v>0</v>
      </c>
      <c r="P18" s="10">
        <f>Tableau3[[#This Row],[HJ Analyse et Test]]+Tableau3[[#This Row],[HJ Dev]]</f>
        <v>0</v>
      </c>
    </row>
    <row r="19" spans="2:22" s="10" customFormat="1" ht="174.75" customHeight="1">
      <c r="B19" s="10" t="s">
        <v>61</v>
      </c>
      <c r="C19" s="10" t="s">
        <v>62</v>
      </c>
      <c r="D19" s="10" t="s">
        <v>32</v>
      </c>
      <c r="E19" s="10" t="s">
        <v>33</v>
      </c>
      <c r="F19" s="10" t="s">
        <v>34</v>
      </c>
      <c r="G19" s="33" t="s">
        <v>63</v>
      </c>
      <c r="H19" s="10" t="s">
        <v>36</v>
      </c>
      <c r="I19" s="10" t="s">
        <v>37</v>
      </c>
      <c r="J19" s="10" t="s">
        <v>64</v>
      </c>
      <c r="K19" s="10" t="s">
        <v>39</v>
      </c>
      <c r="L19" s="10" t="s">
        <v>40</v>
      </c>
      <c r="M19" s="10" t="s">
        <v>41</v>
      </c>
      <c r="N19" s="10">
        <v>0</v>
      </c>
      <c r="O19" s="10">
        <f>Tableau3[[#This Row],[HJ Dev]]*(25%+25%)</f>
        <v>0</v>
      </c>
      <c r="P19" s="10">
        <f>Tableau3[[#This Row],[HJ Analyse et Test]]+Tableau3[[#This Row],[HJ Dev]]</f>
        <v>0</v>
      </c>
    </row>
    <row r="20" spans="2:22" s="10" customFormat="1" ht="96" customHeight="1">
      <c r="B20" s="10" t="s">
        <v>65</v>
      </c>
      <c r="C20" s="10" t="s">
        <v>66</v>
      </c>
      <c r="D20" s="10" t="s">
        <v>32</v>
      </c>
      <c r="E20" s="10" t="s">
        <v>33</v>
      </c>
      <c r="F20" s="10" t="s">
        <v>34</v>
      </c>
      <c r="G20" s="10" t="s">
        <v>67</v>
      </c>
      <c r="H20" s="10" t="s">
        <v>36</v>
      </c>
      <c r="I20" s="10" t="s">
        <v>50</v>
      </c>
      <c r="J20" s="10" t="s">
        <v>68</v>
      </c>
      <c r="K20" s="10" t="s">
        <v>39</v>
      </c>
      <c r="L20" s="10" t="s">
        <v>40</v>
      </c>
      <c r="M20" s="10" t="s">
        <v>41</v>
      </c>
      <c r="N20" s="10">
        <v>4</v>
      </c>
      <c r="O20" s="10">
        <f>Tableau3[[#This Row],[HJ Dev]]*(25%+25%)</f>
        <v>2</v>
      </c>
      <c r="P20" s="10">
        <f>Tableau3[[#This Row],[HJ Analyse et Test]]+Tableau3[[#This Row],[HJ Dev]]</f>
        <v>6</v>
      </c>
    </row>
    <row r="21" spans="2:22" s="10" customFormat="1" ht="54" customHeight="1">
      <c r="B21" s="10" t="s">
        <v>69</v>
      </c>
      <c r="C21" s="10" t="s">
        <v>70</v>
      </c>
      <c r="D21" s="10" t="s">
        <v>32</v>
      </c>
      <c r="E21" s="10" t="s">
        <v>33</v>
      </c>
      <c r="F21" s="10" t="s">
        <v>34</v>
      </c>
      <c r="G21" s="10" t="s">
        <v>71</v>
      </c>
      <c r="H21" s="10" t="s">
        <v>36</v>
      </c>
      <c r="I21" s="10" t="s">
        <v>50</v>
      </c>
      <c r="J21" s="10" t="s">
        <v>72</v>
      </c>
      <c r="K21" s="10" t="s">
        <v>39</v>
      </c>
      <c r="L21" s="10" t="s">
        <v>40</v>
      </c>
      <c r="M21" s="10" t="s">
        <v>41</v>
      </c>
      <c r="N21" s="10">
        <v>1</v>
      </c>
      <c r="O21" s="10">
        <f>Tableau3[[#This Row],[HJ Dev]]*(25%+25%)</f>
        <v>0.5</v>
      </c>
      <c r="P21" s="10">
        <f>Tableau3[[#This Row],[HJ Analyse et Test]]+Tableau3[[#This Row],[HJ Dev]]</f>
        <v>1.5</v>
      </c>
    </row>
    <row r="22" spans="2:22" ht="66" customHeight="1">
      <c r="B22" s="10" t="s">
        <v>73</v>
      </c>
      <c r="C22" s="10" t="s">
        <v>74</v>
      </c>
      <c r="D22" s="10" t="s">
        <v>32</v>
      </c>
      <c r="E22" s="10" t="s">
        <v>33</v>
      </c>
      <c r="F22" s="10" t="s">
        <v>34</v>
      </c>
      <c r="G22" s="10" t="s">
        <v>75</v>
      </c>
      <c r="H22" s="10" t="s">
        <v>36</v>
      </c>
      <c r="I22" s="10" t="s">
        <v>37</v>
      </c>
      <c r="J22" s="10" t="s">
        <v>76</v>
      </c>
      <c r="K22" s="10" t="s">
        <v>39</v>
      </c>
      <c r="L22" s="10" t="s">
        <v>40</v>
      </c>
      <c r="M22" s="10" t="s">
        <v>41</v>
      </c>
      <c r="N22" s="10">
        <v>0</v>
      </c>
      <c r="O22" s="10">
        <f>Tableau3[[#This Row],[HJ Dev]]*(25%+25%)</f>
        <v>0</v>
      </c>
      <c r="P22" s="10">
        <f>Tableau3[[#This Row],[HJ Analyse et Test]]+Tableau3[[#This Row],[HJ Dev]]</f>
        <v>0</v>
      </c>
      <c r="Q22" s="10"/>
      <c r="R22" s="10"/>
      <c r="S22" s="10"/>
      <c r="T22" s="10"/>
      <c r="U22" s="10"/>
      <c r="V22" s="10"/>
    </row>
    <row r="23" spans="2:22" ht="30">
      <c r="B23" s="10" t="s">
        <v>77</v>
      </c>
      <c r="C23" s="10" t="s">
        <v>78</v>
      </c>
      <c r="D23" s="10" t="s">
        <v>32</v>
      </c>
      <c r="E23" s="10" t="s">
        <v>33</v>
      </c>
      <c r="F23" s="10" t="s">
        <v>34</v>
      </c>
      <c r="G23" s="10" t="s">
        <v>79</v>
      </c>
      <c r="H23" s="10" t="s">
        <v>36</v>
      </c>
      <c r="I23" s="10" t="s">
        <v>37</v>
      </c>
      <c r="J23" s="34" t="s">
        <v>80</v>
      </c>
      <c r="K23" s="10" t="s">
        <v>39</v>
      </c>
      <c r="L23" s="10" t="s">
        <v>40</v>
      </c>
      <c r="M23" s="10" t="s">
        <v>41</v>
      </c>
      <c r="N23" s="10">
        <v>0</v>
      </c>
      <c r="O23" s="10">
        <f>Tableau3[[#This Row],[HJ Dev]]*(25%+25%)</f>
        <v>0</v>
      </c>
      <c r="P23" s="10">
        <f>Tableau3[[#This Row],[HJ Analyse et Test]]+Tableau3[[#This Row],[HJ Dev]]</f>
        <v>0</v>
      </c>
      <c r="Q23" s="10"/>
      <c r="R23" s="10"/>
      <c r="S23" s="10"/>
      <c r="T23" s="10"/>
      <c r="U23" s="10"/>
      <c r="V23" s="10"/>
    </row>
    <row r="24" spans="2:22" ht="102.75">
      <c r="B24" s="10" t="s">
        <v>81</v>
      </c>
      <c r="C24" s="10" t="s">
        <v>82</v>
      </c>
      <c r="D24" s="10" t="s">
        <v>32</v>
      </c>
      <c r="E24" s="10" t="s">
        <v>33</v>
      </c>
      <c r="F24" s="10" t="s">
        <v>34</v>
      </c>
      <c r="G24" s="10" t="s">
        <v>83</v>
      </c>
      <c r="H24" s="10" t="s">
        <v>36</v>
      </c>
      <c r="I24" s="10" t="s">
        <v>37</v>
      </c>
      <c r="J24" s="35" t="s">
        <v>84</v>
      </c>
      <c r="K24" s="10" t="s">
        <v>39</v>
      </c>
      <c r="L24" s="10" t="s">
        <v>40</v>
      </c>
      <c r="M24" s="10" t="s">
        <v>41</v>
      </c>
      <c r="N24" s="10">
        <v>0</v>
      </c>
      <c r="O24" s="10">
        <f>Tableau3[[#This Row],[HJ Dev]]*(25%+25%)</f>
        <v>0</v>
      </c>
      <c r="P24" s="10">
        <f>Tableau3[[#This Row],[HJ Analyse et Test]]+Tableau3[[#This Row],[HJ Dev]]</f>
        <v>0</v>
      </c>
      <c r="Q24" s="10"/>
      <c r="R24" s="10"/>
      <c r="S24" s="10"/>
      <c r="T24" s="10"/>
      <c r="U24" s="10"/>
      <c r="V24" s="10"/>
    </row>
    <row r="25" spans="2:22" ht="165" customHeight="1">
      <c r="B25" s="10" t="s">
        <v>85</v>
      </c>
      <c r="C25" s="10" t="s">
        <v>86</v>
      </c>
      <c r="D25" s="10" t="s">
        <v>32</v>
      </c>
      <c r="E25" s="10" t="s">
        <v>33</v>
      </c>
      <c r="F25" s="10" t="s">
        <v>34</v>
      </c>
      <c r="G25" s="10" t="s">
        <v>87</v>
      </c>
      <c r="H25" s="10" t="s">
        <v>36</v>
      </c>
      <c r="I25" s="10" t="s">
        <v>37</v>
      </c>
      <c r="J25" s="10" t="s">
        <v>88</v>
      </c>
      <c r="K25" s="10" t="s">
        <v>39</v>
      </c>
      <c r="L25" s="10" t="s">
        <v>40</v>
      </c>
      <c r="M25" s="10" t="s">
        <v>41</v>
      </c>
      <c r="N25" s="10">
        <v>0</v>
      </c>
      <c r="O25" s="10">
        <f>Tableau3[[#This Row],[HJ Dev]]*(25%+25%)</f>
        <v>0</v>
      </c>
      <c r="P25" s="10">
        <f>Tableau3[[#This Row],[HJ Analyse et Test]]+Tableau3[[#This Row],[HJ Dev]]</f>
        <v>0</v>
      </c>
      <c r="Q25" s="10"/>
      <c r="R25" s="10"/>
      <c r="S25" s="10"/>
      <c r="T25" s="10"/>
      <c r="U25" s="10"/>
      <c r="V25" s="10"/>
    </row>
    <row r="26" spans="2:22" ht="75.95" customHeight="1">
      <c r="B26" s="10" t="s">
        <v>89</v>
      </c>
      <c r="C26" s="10" t="s">
        <v>90</v>
      </c>
      <c r="D26" s="10" t="s">
        <v>32</v>
      </c>
      <c r="E26" s="10" t="s">
        <v>33</v>
      </c>
      <c r="F26" s="10" t="s">
        <v>34</v>
      </c>
      <c r="G26" s="10" t="s">
        <v>91</v>
      </c>
      <c r="H26" s="10" t="s">
        <v>36</v>
      </c>
      <c r="I26" s="10" t="s">
        <v>37</v>
      </c>
      <c r="J26" s="10" t="s">
        <v>92</v>
      </c>
      <c r="K26" s="10" t="s">
        <v>39</v>
      </c>
      <c r="L26" s="10" t="s">
        <v>40</v>
      </c>
      <c r="M26" s="10" t="s">
        <v>41</v>
      </c>
      <c r="N26" s="10">
        <v>0</v>
      </c>
      <c r="O26" s="10">
        <f>Tableau3[[#This Row],[HJ Dev]]*(25%+25%)</f>
        <v>0</v>
      </c>
      <c r="P26" s="10">
        <f>Tableau3[[#This Row],[HJ Analyse et Test]]+Tableau3[[#This Row],[HJ Dev]]</f>
        <v>0</v>
      </c>
      <c r="Q26" s="10"/>
      <c r="R26" s="10"/>
      <c r="S26" s="10"/>
      <c r="T26" s="10"/>
      <c r="U26" s="10"/>
      <c r="V26" s="10"/>
    </row>
    <row r="27" spans="2:22" ht="193.5" customHeight="1">
      <c r="B27" s="10" t="s">
        <v>93</v>
      </c>
      <c r="C27" s="10" t="s">
        <v>94</v>
      </c>
      <c r="D27" s="10" t="s">
        <v>32</v>
      </c>
      <c r="E27" s="10" t="s">
        <v>33</v>
      </c>
      <c r="F27" s="10" t="s">
        <v>34</v>
      </c>
      <c r="G27" s="10" t="s">
        <v>91</v>
      </c>
      <c r="H27" s="10" t="s">
        <v>36</v>
      </c>
      <c r="I27" s="10" t="s">
        <v>50</v>
      </c>
      <c r="J27" s="10" t="s">
        <v>95</v>
      </c>
      <c r="K27" s="10" t="s">
        <v>39</v>
      </c>
      <c r="L27" s="10" t="s">
        <v>40</v>
      </c>
      <c r="M27" s="10" t="s">
        <v>41</v>
      </c>
      <c r="N27" s="10">
        <v>0</v>
      </c>
      <c r="O27" s="10">
        <f>Tableau3[[#This Row],[HJ Dev]]*(25%+25%)</f>
        <v>0</v>
      </c>
      <c r="P27" s="10">
        <f>Tableau3[[#This Row],[HJ Analyse et Test]]+Tableau3[[#This Row],[HJ Dev]]</f>
        <v>0</v>
      </c>
      <c r="Q27" s="10"/>
      <c r="R27" s="10"/>
      <c r="S27" s="10"/>
      <c r="T27" s="10"/>
      <c r="U27" s="10"/>
      <c r="V27" s="10"/>
    </row>
    <row r="28" spans="2:22" ht="117">
      <c r="B28" s="10" t="s">
        <v>96</v>
      </c>
      <c r="C28" s="10" t="s">
        <v>97</v>
      </c>
      <c r="D28" s="10" t="s">
        <v>32</v>
      </c>
      <c r="E28" s="10" t="s">
        <v>33</v>
      </c>
      <c r="F28" s="10" t="s">
        <v>34</v>
      </c>
      <c r="G28" s="10" t="s">
        <v>98</v>
      </c>
      <c r="H28" s="10" t="s">
        <v>36</v>
      </c>
      <c r="I28" s="10" t="s">
        <v>55</v>
      </c>
      <c r="J28" s="10" t="s">
        <v>99</v>
      </c>
      <c r="K28" s="10" t="s">
        <v>39</v>
      </c>
      <c r="L28" s="10" t="s">
        <v>40</v>
      </c>
      <c r="M28" s="10" t="s">
        <v>41</v>
      </c>
      <c r="N28" s="10">
        <v>4</v>
      </c>
      <c r="O28" s="10">
        <f>Tableau3[[#This Row],[HJ Dev]]*(25%+25%)</f>
        <v>2</v>
      </c>
      <c r="P28" s="10">
        <f>Tableau3[[#This Row],[HJ Analyse et Test]]+Tableau3[[#This Row],[HJ Dev]]</f>
        <v>6</v>
      </c>
      <c r="Q28" s="10"/>
      <c r="R28" s="10"/>
      <c r="S28" s="10"/>
      <c r="T28" s="10"/>
      <c r="U28" s="10"/>
      <c r="V28" s="10"/>
    </row>
    <row r="29" spans="2:22" ht="165" customHeight="1">
      <c r="B29" s="10" t="s">
        <v>100</v>
      </c>
      <c r="C29" s="10" t="s">
        <v>101</v>
      </c>
      <c r="D29" s="10" t="s">
        <v>32</v>
      </c>
      <c r="E29" s="10" t="s">
        <v>33</v>
      </c>
      <c r="F29" s="10" t="s">
        <v>34</v>
      </c>
      <c r="G29" s="10" t="s">
        <v>102</v>
      </c>
      <c r="H29" s="10" t="s">
        <v>36</v>
      </c>
      <c r="I29" s="10" t="s">
        <v>37</v>
      </c>
      <c r="J29" s="10" t="s">
        <v>103</v>
      </c>
      <c r="K29" s="10" t="s">
        <v>39</v>
      </c>
      <c r="L29" s="10" t="s">
        <v>40</v>
      </c>
      <c r="M29" s="10" t="s">
        <v>41</v>
      </c>
      <c r="N29" s="10">
        <v>0</v>
      </c>
      <c r="O29" s="10">
        <f>Tableau3[[#This Row],[HJ Dev]]*(25%+25%)</f>
        <v>0</v>
      </c>
      <c r="P29" s="10">
        <f>Tableau3[[#This Row],[HJ Analyse et Test]]+Tableau3[[#This Row],[HJ Dev]]</f>
        <v>0</v>
      </c>
      <c r="Q29" s="10"/>
      <c r="R29" s="10"/>
      <c r="S29" s="10"/>
      <c r="T29" s="10"/>
      <c r="U29" s="10"/>
      <c r="V29" s="10"/>
    </row>
    <row r="30" spans="2:22">
      <c r="B30" s="10"/>
      <c r="C30" s="10"/>
      <c r="D30" s="10"/>
      <c r="E30" s="10"/>
      <c r="F30" s="10"/>
      <c r="G30" s="10"/>
      <c r="H30" s="10"/>
      <c r="I30" s="10"/>
      <c r="J30" s="10"/>
      <c r="K30" s="10"/>
      <c r="L30" s="10"/>
      <c r="M30" s="10"/>
      <c r="N30" s="10"/>
      <c r="O30" s="10"/>
      <c r="P30" s="10"/>
      <c r="Q30" s="10"/>
      <c r="R30" s="10"/>
      <c r="S30" s="10"/>
      <c r="T30" s="10"/>
      <c r="U30" s="10"/>
      <c r="V30" s="10"/>
    </row>
    <row r="31" spans="2:22">
      <c r="B31" s="10"/>
      <c r="C31" s="10"/>
      <c r="D31" s="10"/>
      <c r="E31" s="10"/>
      <c r="F31" s="10"/>
      <c r="G31" s="10"/>
      <c r="H31" s="10"/>
      <c r="I31" s="10"/>
      <c r="J31" s="10"/>
      <c r="K31" s="10"/>
      <c r="L31" s="10"/>
      <c r="M31" s="10"/>
      <c r="N31" s="10"/>
      <c r="O31" s="10"/>
      <c r="P31" s="10"/>
      <c r="Q31" s="10"/>
      <c r="R31" s="10"/>
      <c r="S31" s="10"/>
      <c r="T31" s="10"/>
      <c r="U31" s="10"/>
      <c r="V31" s="10"/>
    </row>
    <row r="32" spans="2:22">
      <c r="B32" s="10"/>
      <c r="C32" s="10"/>
      <c r="D32" s="10"/>
      <c r="E32" s="10"/>
      <c r="F32" s="10"/>
      <c r="G32" s="10"/>
      <c r="H32" s="10"/>
      <c r="I32" s="10"/>
      <c r="J32" s="10"/>
      <c r="K32" s="10"/>
      <c r="L32" s="10"/>
      <c r="M32" s="10"/>
      <c r="N32" s="10"/>
      <c r="O32" s="10"/>
      <c r="P32" s="10"/>
      <c r="Q32" s="10"/>
      <c r="R32" s="10"/>
      <c r="S32" s="10"/>
      <c r="T32" s="10"/>
      <c r="U32" s="10"/>
      <c r="V32" s="10"/>
    </row>
    <row r="33" spans="2:22">
      <c r="B33" s="10"/>
      <c r="C33" s="10"/>
      <c r="D33" s="10"/>
      <c r="E33" s="10"/>
      <c r="F33" s="10"/>
      <c r="G33" s="10"/>
      <c r="H33" s="10"/>
      <c r="I33" s="10"/>
      <c r="J33" s="10"/>
      <c r="K33" s="10"/>
      <c r="L33" s="10"/>
      <c r="M33" s="10"/>
      <c r="N33" s="10"/>
      <c r="O33" s="10"/>
      <c r="P33" s="10"/>
      <c r="Q33" s="10"/>
      <c r="R33" s="10"/>
      <c r="S33" s="10"/>
      <c r="T33" s="10"/>
      <c r="U33" s="10"/>
      <c r="V33" s="10"/>
    </row>
    <row r="34" spans="2:22">
      <c r="B34" s="10"/>
      <c r="C34" s="10"/>
      <c r="D34" s="10"/>
      <c r="E34" s="10"/>
      <c r="F34" s="10"/>
      <c r="G34" s="10"/>
      <c r="H34" s="10"/>
      <c r="I34" s="10"/>
      <c r="J34" s="10"/>
      <c r="K34" s="10"/>
      <c r="L34" s="10"/>
      <c r="M34" s="10"/>
      <c r="N34" s="10"/>
      <c r="O34" s="10"/>
      <c r="P34" s="10"/>
      <c r="Q34" s="10"/>
      <c r="R34" s="10"/>
      <c r="S34" s="10"/>
      <c r="T34" s="10"/>
      <c r="U34" s="10"/>
      <c r="V34" s="10"/>
    </row>
    <row r="35" spans="2:22">
      <c r="B35" s="10"/>
      <c r="C35" s="10"/>
      <c r="D35" s="10"/>
      <c r="E35" s="10"/>
      <c r="F35" s="10"/>
      <c r="G35" s="10"/>
      <c r="H35" s="10"/>
      <c r="I35" s="10"/>
      <c r="J35" s="10"/>
      <c r="K35" s="10"/>
      <c r="L35" s="10"/>
      <c r="M35" s="10"/>
      <c r="N35" s="10"/>
      <c r="O35" s="10"/>
      <c r="P35" s="10"/>
      <c r="Q35" s="10"/>
      <c r="R35" s="10"/>
      <c r="S35" s="10"/>
      <c r="T35" s="10"/>
      <c r="U35" s="10"/>
      <c r="V35" s="10"/>
    </row>
    <row r="36" spans="2:22">
      <c r="B36" s="10"/>
      <c r="C36" s="10"/>
      <c r="D36" s="10"/>
      <c r="E36" s="10"/>
      <c r="F36" s="10"/>
      <c r="G36" s="10"/>
      <c r="H36" s="10"/>
      <c r="I36" s="10"/>
      <c r="J36" s="10"/>
      <c r="K36" s="10"/>
      <c r="L36" s="10"/>
      <c r="M36" s="10"/>
      <c r="N36" s="10"/>
      <c r="O36" s="10"/>
      <c r="P36" s="10"/>
      <c r="Q36" s="10"/>
      <c r="R36" s="10"/>
      <c r="S36" s="10"/>
      <c r="T36" s="10"/>
      <c r="U36" s="10"/>
      <c r="V36" s="10"/>
    </row>
    <row r="37" spans="2:22">
      <c r="B37" s="10"/>
      <c r="C37" s="10"/>
      <c r="D37" s="10"/>
      <c r="E37" s="10"/>
      <c r="F37" s="10"/>
      <c r="G37" s="10"/>
      <c r="H37" s="10"/>
      <c r="I37" s="10"/>
      <c r="J37" s="10"/>
      <c r="K37" s="10"/>
      <c r="L37" s="10"/>
      <c r="M37" s="10"/>
      <c r="N37" s="10"/>
      <c r="O37" s="10"/>
      <c r="P37" s="10">
        <f>SUBTOTAL(109,Tableau3[Total HJ])</f>
        <v>15.75</v>
      </c>
      <c r="Q37" s="10"/>
      <c r="R37" s="10"/>
      <c r="S37" s="10"/>
      <c r="T37" s="10"/>
      <c r="U37" s="10"/>
      <c r="V37" s="10"/>
    </row>
    <row r="40" spans="2:22" ht="12.75" customHeight="1">
      <c r="P40" s="1">
        <f>SUM(P14:P29)</f>
        <v>15.75</v>
      </c>
    </row>
  </sheetData>
  <mergeCells count="3">
    <mergeCell ref="Q2:V2"/>
    <mergeCell ref="B2:M2"/>
    <mergeCell ref="N2:P2"/>
  </mergeCells>
  <phoneticPr fontId="2" type="noConversion"/>
  <dataValidations count="2">
    <dataValidation type="whole" operator="greaterThanOrEqual" allowBlank="1" showInputMessage="1" showErrorMessage="1" sqref="O14:P36 N14:N16 N30:N36" xr:uid="{10E2E794-3894-4CC1-AB1A-9BB5BF41EABB}">
      <formula1>0</formula1>
    </dataValidation>
    <dataValidation type="decimal" operator="greaterThanOrEqual" allowBlank="1" showInputMessage="1" showErrorMessage="1" sqref="N17:N29" xr:uid="{85D505C7-68FF-48CE-BF0F-C5DC5231D088}">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F17:F36</xm:sqref>
        </x14:dataValidation>
        <x14:dataValidation type="list" allowBlank="1" showInputMessage="1" showErrorMessage="1" xr:uid="{C43D2377-E8A5-4EC4-8F56-2516FCD07F2A}">
          <x14:formula1>
            <xm:f>Params!$E$3:$E$12</xm:f>
          </x14:formula1>
          <xm:sqref>H17:H36</xm:sqref>
        </x14:dataValidation>
        <x14:dataValidation type="list" allowBlank="1" showInputMessage="1" showErrorMessage="1" xr:uid="{63FB3CBD-0303-4DD5-A1D9-0AE10EE7B36C}">
          <x14:formula1>
            <xm:f>Params!$C$3:$C$10</xm:f>
          </x14:formula1>
          <xm:sqref>D17:D36</xm:sqref>
        </x14:dataValidation>
        <x14:dataValidation type="list" allowBlank="1" showInputMessage="1" showErrorMessage="1" xr:uid="{ACD971DD-EBC0-49A2-8B0F-955749BFC348}">
          <x14:formula1>
            <xm:f>Params!$I$3:$I$19</xm:f>
          </x14:formula1>
          <xm:sqref>E17:E36</xm:sqref>
        </x14:dataValidation>
        <x14:dataValidation type="list" allowBlank="1" showInputMessage="1" showErrorMessage="1" xr:uid="{06B2A4DB-2A94-4B0B-971B-CDFF438E23BA}">
          <x14:formula1>
            <xm:f>Params!$G$3:$G$9</xm:f>
          </x14:formula1>
          <xm:sqref>M14:M36</xm:sqref>
        </x14:dataValidation>
        <x14:dataValidation type="list" allowBlank="1" showInputMessage="1" showErrorMessage="1" xr:uid="{9D369EC4-8F03-4A13-886D-1735E9BF659B}">
          <x14:formula1>
            <xm:f>Params!$J$3:$J$5</xm:f>
          </x14:formula1>
          <xm:sqref>I14:I29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F15" sqref="F15"/>
    </sheetView>
  </sheetViews>
  <sheetFormatPr defaultColWidth="11.42578125" defaultRowHeight="14.4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 thickBot="1"/>
    <row r="3" spans="1:7" ht="24" customHeight="1" thickBot="1">
      <c r="A3" s="2" t="s">
        <v>104</v>
      </c>
      <c r="B3" s="45" t="s">
        <v>0</v>
      </c>
      <c r="C3" s="46"/>
      <c r="D3" s="46"/>
      <c r="E3" s="46"/>
      <c r="F3" s="46"/>
      <c r="G3" s="47"/>
    </row>
    <row r="4" spans="1:7">
      <c r="B4" s="4"/>
      <c r="C4" s="5"/>
      <c r="D4" s="5"/>
      <c r="E4" s="5"/>
      <c r="F4" s="5"/>
      <c r="G4" s="5"/>
    </row>
    <row r="5" spans="1:7">
      <c r="B5" s="12" t="str">
        <f>'Gestion Exigences'!B5</f>
        <v>Client</v>
      </c>
      <c r="D5" s="12" t="str">
        <f>'Gestion Exigences'!D5</f>
        <v>X-PACK</v>
      </c>
      <c r="E5" s="5"/>
      <c r="F5" s="5"/>
      <c r="G5" s="5"/>
    </row>
    <row r="6" spans="1:7">
      <c r="B6" s="12" t="str">
        <f>'Gestion Exigences'!B6</f>
        <v>Projet</v>
      </c>
      <c r="D6" s="12" t="str">
        <f>'Gestion Exigences'!D6</f>
        <v>Digitalisation du processus qualité</v>
      </c>
      <c r="E6" s="5"/>
      <c r="F6" s="5"/>
      <c r="G6" s="5"/>
    </row>
    <row r="7" spans="1:7">
      <c r="B7" s="12">
        <f>'Gestion Exigences'!B7</f>
        <v>0</v>
      </c>
      <c r="D7" s="12">
        <f>'Gestion Exigences'!D7</f>
        <v>0</v>
      </c>
      <c r="E7" s="5"/>
      <c r="F7" s="5"/>
      <c r="G7" s="5"/>
    </row>
    <row r="8" spans="1:7">
      <c r="B8" s="12">
        <f>'Gestion Exigences'!B8</f>
        <v>0</v>
      </c>
      <c r="D8" s="12">
        <f>'Gestion Exigences'!D8</f>
        <v>0</v>
      </c>
      <c r="E8" s="5"/>
      <c r="F8" s="5"/>
      <c r="G8" s="5"/>
    </row>
    <row r="9" spans="1:7">
      <c r="B9" s="4"/>
      <c r="C9" s="12"/>
      <c r="D9" s="5"/>
      <c r="E9" s="5"/>
      <c r="F9" s="5"/>
      <c r="G9" s="5"/>
    </row>
    <row r="10" spans="1:7">
      <c r="B10" s="22">
        <f>'Gestion Exigences'!B10</f>
        <v>0</v>
      </c>
      <c r="C10" s="23">
        <f>'Gestion Exigences'!D10</f>
        <v>0</v>
      </c>
      <c r="D10" s="5"/>
      <c r="E10" s="5"/>
      <c r="F10" s="5"/>
      <c r="G10" s="5"/>
    </row>
    <row r="11" spans="1:7">
      <c r="B11" s="22">
        <f>'Gestion Exigences'!B11</f>
        <v>0</v>
      </c>
      <c r="C11" s="23">
        <f>'Gestion Exigences'!D11</f>
        <v>0</v>
      </c>
      <c r="D11" s="5"/>
      <c r="E11" s="5"/>
      <c r="F11" s="5"/>
      <c r="G11" s="5"/>
    </row>
    <row r="12" spans="1:7">
      <c r="B12" s="4"/>
      <c r="C12" s="5"/>
      <c r="D12" s="5"/>
      <c r="E12" s="5"/>
      <c r="F12" s="5"/>
      <c r="G12" s="5"/>
    </row>
    <row r="13" spans="1:7">
      <c r="B13" s="13" t="s">
        <v>105</v>
      </c>
      <c r="C13" s="13" t="s">
        <v>106</v>
      </c>
      <c r="D13" s="13" t="s">
        <v>107</v>
      </c>
      <c r="E13" s="13" t="s">
        <v>108</v>
      </c>
      <c r="F13" s="13" t="s">
        <v>109</v>
      </c>
      <c r="G13" s="13" t="s">
        <v>110</v>
      </c>
    </row>
    <row r="14" spans="1:7" ht="29.45" customHeight="1">
      <c r="B14" s="6" t="s">
        <v>111</v>
      </c>
      <c r="C14" s="7">
        <v>45342</v>
      </c>
      <c r="D14" s="20" t="s">
        <v>112</v>
      </c>
      <c r="E14" s="6" t="s">
        <v>113</v>
      </c>
      <c r="F14" s="19" t="s">
        <v>114</v>
      </c>
      <c r="G14" s="6" t="s">
        <v>115</v>
      </c>
    </row>
    <row r="15" spans="1:7">
      <c r="C15" s="29"/>
    </row>
    <row r="16" spans="1:7">
      <c r="C16" s="29"/>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22"/>
  <sheetViews>
    <sheetView topLeftCell="C1" workbookViewId="0">
      <selection activeCell="J2" sqref="J2"/>
    </sheetView>
  </sheetViews>
  <sheetFormatPr defaultColWidth="11.42578125" defaultRowHeight="12.95"/>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10" ht="26.1">
      <c r="B2" s="11" t="s">
        <v>3</v>
      </c>
      <c r="C2" s="11" t="s">
        <v>11</v>
      </c>
      <c r="D2" s="11" t="s">
        <v>116</v>
      </c>
      <c r="E2" s="11" t="s">
        <v>15</v>
      </c>
      <c r="F2" s="11" t="s">
        <v>117</v>
      </c>
      <c r="G2" s="11" t="s">
        <v>20</v>
      </c>
      <c r="H2" s="11" t="s">
        <v>118</v>
      </c>
      <c r="I2" s="11" t="s">
        <v>12</v>
      </c>
      <c r="J2" s="11" t="s">
        <v>16</v>
      </c>
    </row>
    <row r="3" spans="2:10">
      <c r="B3" s="10" t="s">
        <v>119</v>
      </c>
      <c r="C3" s="10" t="s">
        <v>32</v>
      </c>
      <c r="D3" s="10" t="s">
        <v>34</v>
      </c>
      <c r="E3" s="10" t="s">
        <v>120</v>
      </c>
      <c r="F3" s="10" t="s">
        <v>121</v>
      </c>
      <c r="G3" s="10" t="s">
        <v>41</v>
      </c>
      <c r="H3" s="10" t="s">
        <v>39</v>
      </c>
      <c r="I3" s="10" t="s">
        <v>122</v>
      </c>
      <c r="J3" s="10" t="s">
        <v>37</v>
      </c>
    </row>
    <row r="4" spans="2:10">
      <c r="B4" s="10" t="s">
        <v>123</v>
      </c>
      <c r="C4" s="10" t="s">
        <v>124</v>
      </c>
      <c r="D4" s="10" t="s">
        <v>125</v>
      </c>
      <c r="E4" s="10" t="s">
        <v>36</v>
      </c>
      <c r="F4" s="10" t="s">
        <v>126</v>
      </c>
      <c r="G4" s="10" t="s">
        <v>127</v>
      </c>
      <c r="H4" s="10" t="s">
        <v>128</v>
      </c>
      <c r="I4" s="10" t="s">
        <v>129</v>
      </c>
      <c r="J4" s="10" t="s">
        <v>50</v>
      </c>
    </row>
    <row r="5" spans="2:10" ht="26.1">
      <c r="B5" s="10" t="s">
        <v>130</v>
      </c>
      <c r="C5" s="10" t="s">
        <v>131</v>
      </c>
      <c r="D5" s="10" t="s">
        <v>132</v>
      </c>
      <c r="E5" s="10" t="s">
        <v>133</v>
      </c>
      <c r="F5" s="10" t="s">
        <v>42</v>
      </c>
      <c r="G5" s="10" t="s">
        <v>42</v>
      </c>
      <c r="H5" s="10" t="s">
        <v>42</v>
      </c>
      <c r="I5" s="10" t="s">
        <v>134</v>
      </c>
      <c r="J5" s="10" t="s">
        <v>55</v>
      </c>
    </row>
    <row r="6" spans="2:10">
      <c r="B6" s="10" t="s">
        <v>135</v>
      </c>
      <c r="C6" s="10" t="s">
        <v>136</v>
      </c>
      <c r="D6" s="10" t="s">
        <v>137</v>
      </c>
      <c r="E6" s="10" t="s">
        <v>138</v>
      </c>
      <c r="I6" s="10" t="s">
        <v>139</v>
      </c>
    </row>
    <row r="7" spans="2:10">
      <c r="B7" s="10" t="s">
        <v>140</v>
      </c>
      <c r="C7" s="10" t="s">
        <v>141</v>
      </c>
      <c r="D7" s="10" t="s">
        <v>142</v>
      </c>
      <c r="E7" s="10" t="s">
        <v>143</v>
      </c>
      <c r="I7" s="10" t="s">
        <v>144</v>
      </c>
    </row>
    <row r="8" spans="2:10">
      <c r="B8" s="10" t="s">
        <v>145</v>
      </c>
      <c r="C8" s="10" t="s">
        <v>146</v>
      </c>
      <c r="E8" s="10" t="s">
        <v>147</v>
      </c>
      <c r="I8" s="10" t="s">
        <v>148</v>
      </c>
    </row>
    <row r="9" spans="2:10">
      <c r="B9" s="10" t="s">
        <v>149</v>
      </c>
      <c r="E9" s="10" t="s">
        <v>150</v>
      </c>
      <c r="I9" s="10" t="s">
        <v>151</v>
      </c>
    </row>
    <row r="10" spans="2:10">
      <c r="I10" s="10" t="s">
        <v>152</v>
      </c>
    </row>
    <row r="11" spans="2:10">
      <c r="I11" s="10" t="s">
        <v>153</v>
      </c>
    </row>
    <row r="13" spans="2:10">
      <c r="I13" s="10" t="s">
        <v>154</v>
      </c>
    </row>
    <row r="14" spans="2:10">
      <c r="I14" s="10" t="s">
        <v>155</v>
      </c>
    </row>
    <row r="15" spans="2:10">
      <c r="I15" s="10" t="s">
        <v>33</v>
      </c>
    </row>
    <row r="16" spans="2:10">
      <c r="I16" s="10" t="s">
        <v>156</v>
      </c>
    </row>
    <row r="17" spans="9:9">
      <c r="I17" s="10" t="s">
        <v>157</v>
      </c>
    </row>
    <row r="18" spans="9:9">
      <c r="I18" s="10" t="s">
        <v>158</v>
      </c>
    </row>
    <row r="19" spans="9:9">
      <c r="I19" s="10" t="s">
        <v>159</v>
      </c>
    </row>
    <row r="21" spans="9:9">
      <c r="I21" s="10" t="s">
        <v>160</v>
      </c>
    </row>
    <row r="22" spans="9:9" ht="26.1">
      <c r="I22" s="10" t="s">
        <v>161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503822-DF13-4051-A489-72B75648E37A}"/>
</file>

<file path=customXml/itemProps2.xml><?xml version="1.0" encoding="utf-8"?>
<ds:datastoreItem xmlns:ds="http://schemas.openxmlformats.org/officeDocument/2006/customXml" ds:itemID="{1651170B-509D-43DA-A7A2-4E567BAA20EB}"/>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2024-09-10T23:08:54Z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