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1" documentId="8_{BB787E9B-0A3E-4951-BA65-A8E66B70E104}" xr6:coauthVersionLast="47" xr6:coauthVersionMax="47" xr10:uidLastSave="{A0966CA7-F965-4D8F-A29C-E416A8F21E1F}"/>
  <bookViews>
    <workbookView xWindow="-108" yWindow="-108" windowWidth="23256" windowHeight="12456" tabRatio="620" xr2:uid="{00000000-000D-0000-FFFF-FFFF00000000}"/>
  </bookViews>
  <sheets>
    <sheet name="Gestion Exigences" sheetId="27" r:id="rId1"/>
    <sheet name="Modifs Doc" sheetId="29" r:id="rId2"/>
    <sheet name="Params" sheetId="30" r:id="rId3"/>
  </sheets>
  <externalReferences>
    <externalReference r:id="rId4"/>
  </externalReferences>
  <definedNames>
    <definedName name="_xlnm.Print_Area" localSheetId="0">'Gestion Exigences'!$C$2:$I$33</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3" i="27" l="1"/>
  <c r="AC14" i="27"/>
  <c r="AC15" i="27"/>
  <c r="AC16" i="27"/>
  <c r="AC17" i="27"/>
  <c r="AC18" i="27"/>
  <c r="AC19" i="27"/>
  <c r="AD19" i="27" s="1"/>
  <c r="AC20" i="27"/>
  <c r="AD20" i="27" s="1"/>
  <c r="AC21" i="27"/>
  <c r="AD21" i="27" s="1"/>
  <c r="AC22" i="27"/>
  <c r="AD22" i="27" s="1"/>
  <c r="AC23" i="27"/>
  <c r="AD23" i="27" s="1"/>
  <c r="AC24" i="27"/>
  <c r="AD24" i="27" s="1"/>
  <c r="AC25" i="27"/>
  <c r="AD25" i="27" s="1"/>
  <c r="AC26" i="27"/>
  <c r="AD26" i="27" s="1"/>
  <c r="AC27" i="27"/>
  <c r="AD27" i="27" s="1"/>
  <c r="AC28" i="27"/>
  <c r="AD28" i="27" s="1"/>
  <c r="AC29" i="27"/>
  <c r="AD29" i="27" s="1"/>
  <c r="AC30" i="27"/>
  <c r="AD30" i="27" s="1"/>
  <c r="AC31" i="27"/>
  <c r="AC32" i="27"/>
  <c r="AD32" i="27" s="1"/>
  <c r="AC33" i="27"/>
  <c r="AD33" i="27" s="1"/>
  <c r="AD16" i="27"/>
  <c r="AD17" i="27"/>
  <c r="AD18" i="27"/>
  <c r="P30" i="27"/>
  <c r="Q30" i="27"/>
  <c r="R30" i="27"/>
  <c r="P31" i="27"/>
  <c r="Q31" i="27"/>
  <c r="R31" i="27"/>
  <c r="AD31" i="27"/>
  <c r="P32" i="27"/>
  <c r="Q32" i="27"/>
  <c r="R32" i="27"/>
  <c r="P29" i="27"/>
  <c r="Q29" i="27"/>
  <c r="R29" i="27"/>
  <c r="P33" i="27"/>
  <c r="Q33" i="27"/>
  <c r="R33" i="27"/>
  <c r="P22" i="27"/>
  <c r="Q22" i="27"/>
  <c r="R22" i="27"/>
  <c r="AD13" i="27"/>
  <c r="AD14" i="27"/>
  <c r="AD15" i="27"/>
  <c r="P15" i="27"/>
  <c r="Q15" i="27"/>
  <c r="R15" i="27"/>
  <c r="P19" i="27" l="1"/>
  <c r="Q19" i="27"/>
  <c r="R19" i="27"/>
  <c r="P23" i="27"/>
  <c r="Q23" i="27"/>
  <c r="R23" i="27"/>
  <c r="P21" i="27"/>
  <c r="Q21" i="27"/>
  <c r="R21" i="27"/>
  <c r="P16" i="27"/>
  <c r="Q16" i="27"/>
  <c r="R16" i="27"/>
  <c r="P26" i="27"/>
  <c r="Q26" i="27"/>
  <c r="R26" i="27"/>
  <c r="P27" i="27"/>
  <c r="Q27" i="27"/>
  <c r="R27" i="27"/>
  <c r="P28" i="27"/>
  <c r="Q28" i="27"/>
  <c r="R28" i="27"/>
  <c r="P24" i="27"/>
  <c r="Q24" i="27"/>
  <c r="R24" i="27"/>
  <c r="P25" i="27"/>
  <c r="Q25" i="27"/>
  <c r="R25" i="27"/>
  <c r="P14" i="27"/>
  <c r="Q14" i="27"/>
  <c r="R14" i="27"/>
  <c r="P17" i="27"/>
  <c r="Q17" i="27"/>
  <c r="R17" i="27"/>
  <c r="P18" i="27"/>
  <c r="Q18" i="27"/>
  <c r="R18" i="27"/>
  <c r="P20" i="27"/>
  <c r="Q20" i="27"/>
  <c r="R20" i="27"/>
  <c r="AB34" i="27"/>
  <c r="AC34" i="27"/>
  <c r="AD34" i="27"/>
  <c r="C5" i="29"/>
  <c r="C6" i="29"/>
  <c r="C7" i="29"/>
  <c r="C8" i="29"/>
  <c r="C9" i="29"/>
  <c r="C10" i="29"/>
  <c r="B6" i="29"/>
  <c r="B7" i="29"/>
  <c r="B8" i="29"/>
  <c r="B9" i="29"/>
  <c r="B10" i="29"/>
  <c r="B5"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25"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<sst xmlns="http://schemas.openxmlformats.org/spreadsheetml/2006/main" count="337" uniqueCount="204">
  <si>
    <t>Gestion Exigences Projet</t>
  </si>
  <si>
    <t>Chiffrage Réalisation SF</t>
  </si>
  <si>
    <t>Revue et Vérification pendant la Conception</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</si>
  <si>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</si>
  <si>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</si>
  <si>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</si>
  <si>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</si>
  <si>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</si>
  <si>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</si>
  <si>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</si>
  <si>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</si>
  <si>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</si>
  <si>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</si>
  <si>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</si>
  <si>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</si>
  <si>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</si>
  <si>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</si>
  <si>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</si>
  <si>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Description de l'exigence</t>
  </si>
  <si>
    <t>Source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</si>
  <si>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</si>
  <si>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</si>
  <si>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</si>
  <si>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</si>
  <si>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</si>
  <si>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</si>
  <si>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</si>
  <si>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</si>
  <si>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</si>
  <si>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</si>
  <si>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</si>
  <si>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</si>
  <si>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</si>
  <si>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</si>
  <si>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</si>
  <si>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</si>
  <si>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</si>
  <si>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</si>
  <si>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</si>
  <si>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</si>
  <si>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</si>
  <si>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</si>
  <si>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</si>
  <si>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</si>
  <si>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</si>
  <si>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</si>
  <si>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</si>
  <si>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Fonctionnelle</t>
  </si>
  <si>
    <t>SF-Fonctionnelle</t>
  </si>
  <si>
    <t>Commerciale</t>
  </si>
  <si>
    <t>Workshop/réunion Interne</t>
  </si>
  <si>
    <t>Validée</t>
  </si>
  <si>
    <t>Mahdi B.</t>
  </si>
  <si>
    <t>E002</t>
  </si>
  <si>
    <t>Lecture des OF à partir de sage X3</t>
  </si>
  <si>
    <t>SF-Intégration SI</t>
  </si>
  <si>
    <t>E003</t>
  </si>
  <si>
    <t>E004</t>
  </si>
  <si>
    <t>E005</t>
  </si>
  <si>
    <t>E006</t>
  </si>
  <si>
    <t>E007</t>
  </si>
  <si>
    <t>E008</t>
  </si>
  <si>
    <t>E009</t>
  </si>
  <si>
    <t>E010</t>
  </si>
  <si>
    <t>E011</t>
  </si>
  <si>
    <t>E012</t>
  </si>
  <si>
    <t>E013</t>
  </si>
  <si>
    <t>E014</t>
  </si>
  <si>
    <t>E015</t>
  </si>
  <si>
    <t>E016</t>
  </si>
  <si>
    <t>E017</t>
  </si>
  <si>
    <t>E018</t>
  </si>
  <si>
    <t>E019</t>
  </si>
  <si>
    <t>E020</t>
  </si>
  <si>
    <t>E021</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</si>
  <si>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</si>
  <si>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</si>
  <si>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</si>
  <si>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</si>
  <si>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</si>
  <si>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</si>
  <si>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</si>
  <si>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</si>
  <si>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</si>
  <si>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</si>
  <si>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</si>
  <si>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</si>
  <si>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</si>
  <si>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</si>
  <si>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</si>
  <si>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</si>
  <si>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</si>
  <si>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</si>
  <si>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</si>
  <si>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</si>
  <si>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CdC client</t>
  </si>
  <si>
    <t>Oui</t>
  </si>
  <si>
    <t>Validée par le client</t>
  </si>
  <si>
    <t>*** SE</t>
  </si>
  <si>
    <t>Performance</t>
  </si>
  <si>
    <t>Conception</t>
  </si>
  <si>
    <t>Workshop/réunion client</t>
  </si>
  <si>
    <t>Non</t>
  </si>
  <si>
    <t>Non validée par client</t>
  </si>
  <si>
    <t>Non validée</t>
  </si>
  <si>
    <t>SE-Processus</t>
  </si>
  <si>
    <t>Reglementaire</t>
  </si>
  <si>
    <t>Réalisation</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</si>
  <si>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</si>
  <si>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</si>
  <si>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</si>
  <si>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</si>
  <si>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</si>
  <si>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</si>
  <si>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</si>
  <si>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</si>
  <si>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</si>
  <si>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</si>
  <si>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</si>
  <si>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</si>
  <si>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</si>
  <si>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</si>
  <si>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</si>
  <si>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</si>
  <si>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</si>
  <si>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</si>
  <si>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</si>
  <si>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</si>
  <si>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SF-Software</t>
  </si>
  <si>
    <t>SF-Infra IT</t>
  </si>
  <si>
    <t>*** TC</t>
  </si>
  <si>
    <t>TC-Prestations sur site client</t>
  </si>
  <si>
    <t xml:space="preserve">Configuration de l'usine </t>
  </si>
  <si>
    <t xml:space="preserve">Configuration produits </t>
  </si>
  <si>
    <t xml:space="preserve">Configurer les données de l'usine </t>
  </si>
  <si>
    <t>Type de la solution</t>
  </si>
  <si>
    <t>Standard</t>
  </si>
  <si>
    <t>Adaptaion</t>
  </si>
  <si>
    <t>Chargement des données via des fichiers CSV</t>
  </si>
  <si>
    <t>Charger les données à partir des fichiers csv</t>
  </si>
  <si>
    <t>Ajustement de la planification et gestion centralisée des OF</t>
  </si>
  <si>
    <t xml:space="preserve">Suivi de la qualité : Fiche d'auto-contrôle </t>
  </si>
  <si>
    <t>Récupération automatique des données : Intégration avec la balance pour récupérer automatiquement le poids et le mètre linéaire de chaque bobine produite.</t>
  </si>
  <si>
    <t xml:space="preserve">Récupération du poids et du métrage des bobines à partir des balances </t>
  </si>
  <si>
    <t>Génération et impression d'étiquettes automatique à la fermeture de palette</t>
  </si>
  <si>
    <t xml:space="preserve">Suivi de la production et qualité en utilisant plusieurs unités </t>
  </si>
  <si>
    <t>La solution permet de suivre et d'historiser la production et la qualité par OF, par shift, et par bobine. Des colonnes supplémentaires sont proposées pour afficher les quantités en poids et en mètres linéaires.</t>
  </si>
  <si>
    <t xml:space="preserve">Fiche de libération </t>
  </si>
  <si>
    <t>Génération automatique de la fiche de libération par palette</t>
  </si>
  <si>
    <t xml:space="preserve">Suivi de la production en temps réel </t>
  </si>
  <si>
    <t>Retour des données des OF vers sage X3</t>
  </si>
  <si>
    <t>Analyser l'évolution des indicateurs clés au cours du temps des lignes de production .</t>
  </si>
  <si>
    <t>La solution permet de :
- Configurer les fréquences des contrôle par produit et par critère, avec des notifications automatiques envoyées aux équipes de qualité .
- Générer automatiquement des fiches de suivi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t>
  </si>
  <si>
    <t xml:space="preserve">Tableau de bord qualité </t>
  </si>
  <si>
    <t>Tableau de bord général</t>
  </si>
  <si>
    <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theme="1"/>
        <rFont val="Calibri Light"/>
        <family val="2"/>
        <scheme val="major"/>
      </rPr>
      <t xml:space="preserve">Adaptation : </t>
    </r>
    <r>
      <rPr>
        <sz val="11"/>
        <color theme="1"/>
        <rFont val="Calibri Light"/>
        <family val="2"/>
        <scheme val="major"/>
      </rPr>
      <t>Adapter le fichier pour supporter plusieurs unité pour chaque produit</t>
    </r>
  </si>
  <si>
    <t>Automatiser l'intégration  des OF à partir de Sage X3 via API</t>
  </si>
  <si>
    <t xml:space="preserve">Planification des opération </t>
  </si>
  <si>
    <t>Visualisation des planifications en temps réel</t>
  </si>
  <si>
    <t xml:space="preserve">Instruction de travail par référence produit </t>
  </si>
  <si>
    <t xml:space="preserve">Chargement , affectation et visualisions des fiches d'instruction par produits </t>
  </si>
  <si>
    <t xml:space="preserve"> Fiche Machine : Déclaration de production en utilisant plusieurs unités ( par bobine - par palette )</t>
  </si>
  <si>
    <t xml:space="preserve">Génération et impression des étiquette pour les palettes </t>
  </si>
  <si>
    <t xml:space="preserve">Suivi et historisation de la production et qualité par poids et mètre linéaire </t>
  </si>
  <si>
    <t xml:space="preserve">Gestion des Rework  </t>
  </si>
  <si>
    <t>Génération automatique d'ordres de Rework</t>
  </si>
  <si>
    <t>Suivi en temps réel des KPIs , des durées d'arrêts et des quantités en poids et en mètre linéaire</t>
  </si>
  <si>
    <t>Suivi en temps réel des KPIs et des quantités par poids et par mètre linéaire</t>
  </si>
  <si>
    <t>Analyse des données  historique de la qualité en poids et en mètre linéaire : Rebut et Rework</t>
  </si>
  <si>
    <r>
      <t xml:space="preserve">La solution offre un tableau de bord qualité fournissant une vue multiniveaux de la non-conformité , les défauts et leurs occurrence , un Pareto des défaut 
</t>
    </r>
    <r>
      <rPr>
        <b/>
        <sz val="11"/>
        <color rgb="FF000000"/>
        <rFont val="Calibri Light"/>
        <family val="2"/>
      </rPr>
      <t>Adaptation : 
-</t>
    </r>
    <r>
      <rPr>
        <sz val="11"/>
        <color rgb="FF000000"/>
        <rFont val="Calibri Light"/>
        <family val="2"/>
      </rPr>
      <t>Ajouter l'option de visualiser les quantités non conforme en poids et en métrage  
- Ajouter un chart pour visualiser le taux de Rework par poids et par mètre linéaire</t>
    </r>
  </si>
  <si>
    <r>
      <t xml:space="preserve">la solution offre un tableau de bord fournissant une vue multi-niveaux de la production en utilisant des indicateurs clés :  TRS, Quantité produite vs Quantité planifiée, Temps d'arrêt vs temps de production, etc.
</t>
    </r>
    <r>
      <rPr>
        <b/>
        <sz val="11"/>
        <color theme="1"/>
        <rFont val="Calibri Light"/>
        <family val="2"/>
        <scheme val="major"/>
      </rPr>
      <t xml:space="preserve">Adaptation </t>
    </r>
    <r>
      <rPr>
        <sz val="11"/>
        <color theme="1"/>
        <rFont val="Calibri Light"/>
        <family val="2"/>
        <scheme val="major"/>
      </rPr>
      <t>: Ajouter l'option de visualiser les indicateurs en poids et en mètre linéaires</t>
    </r>
  </si>
  <si>
    <t>Exigence indéfiée pendant la phase</t>
  </si>
  <si>
    <t>Description de la solution ADDIXO</t>
  </si>
  <si>
    <t>Écart entre exigence client et la solution proposée - préciser aussi les limites et hypothèses si applicable</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</si>
  <si>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etc.</t>
  </si>
  <si>
    <t>Hypothèse :  Mètrage min et max , poids min et max  , capacité palette min et max sont différents pour chaque produit</t>
  </si>
  <si>
    <t>Cette exigences nécessite un travail de collaboration entre l'équipe MOMSOFT  et le fournisseur ERP du Client.</t>
  </si>
  <si>
    <t>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</si>
  <si>
    <t>Gestion des Ordres de Fabrication</t>
  </si>
  <si>
    <t xml:space="preserve">La solution permet : 
- Lancement des OF sur plusieurs lignes en parallèle ou en série
- Gestion et suivi des différents statuts des OF (planifié, lancé, suspendu, changement de série, etc.)
- Mise à jour en temps réel des statuts
- Workflow de validation des changements de statut paramétrables
- Ajustement de la planification en cas d'aléas 
- Gestion du changement de série de chaque OF
</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</si>
  <si>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</si>
  <si>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 xml:space="preserve">Fiche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</si>
  <si>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</si>
  <si>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 Génération automatique des contrôles :
   Des fiches de contrôle produit au démarrage.
-Validation et Traçabilité  : 
  Workflow de validation à multi-niveaux des contrôles .
   Archivage des résultats de contrôle</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</si>
  <si>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</si>
  <si>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Hypothèse : Ces infomations seront récupérées à partir d'un fichier sur le serveur.</t>
  </si>
  <si>
    <t xml:space="preserve">Une fois qu'une palette est clôturée, la solution génère automatiquement une étiquette contenant les informations essentielles (Code à barre , code produit, poids, mètre linéaire, etc.). </t>
  </si>
  <si>
    <t>La solution proposée permet de génèrer automatiquement des OF de Rework avec le même code OF  dès la déclaration d'un incident de qualité nécessitant un traitement. Les OF de rework seront marqués pour les identifier.</t>
  </si>
  <si>
    <t>La solution permet de générer automatiquement une fiche de libération à la clôture d'une palette, afin de la valider. Cette fiche est présentée sous forme de check-list de contrôle avec des paramètres configurables. De plus, la solution intègre un workflow de validation et assure une historisation complète des fiches.</t>
  </si>
  <si>
    <r>
      <rPr>
        <sz val="11"/>
        <rFont val="Calibri Light"/>
        <family val="2"/>
      </rPr>
      <t>É</t>
    </r>
    <r>
      <rPr>
        <sz val="11"/>
        <rFont val="Calibri Light"/>
        <family val="2"/>
        <scheme val="major"/>
      </rPr>
      <t>criture vers Sage X3 par Palette</t>
    </r>
  </si>
  <si>
    <t xml:space="preserve">La solution permet d'automatiser le retour des données des OF vers Sage X3 via webservices , les données envoyées inclut la quantité produite en poids et en  mètres linéaires . </t>
  </si>
  <si>
    <t>Cette adaptation nécessite la collaboration avec l'intégrateur ERP de client .</t>
  </si>
  <si>
    <t xml:space="preserve">Gestion et suivi des arrêts  </t>
  </si>
  <si>
    <t>Suivi des arrêts de production</t>
  </si>
  <si>
    <t>La solution permet d'arrêter manuellement la production, en précisant les causes d'arrêt configurées. Elle offre un suivi détaillé de la durée d'arrêt et de l'occurrence des différentes causes.</t>
  </si>
  <si>
    <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theme="1"/>
        <rFont val="Calibri Light"/>
        <family val="2"/>
        <scheme val="major"/>
      </rPr>
      <t xml:space="preserve">Adaptation : </t>
    </r>
    <r>
      <rPr>
        <sz val="11"/>
        <color theme="1"/>
        <rFont val="Calibri Light"/>
        <family val="2"/>
        <scheme val="major"/>
      </rPr>
      <t>ajouter l'option de visualiser la progression de l'OF , la quantité totale produite , la non conformité en poids et en métrage.</t>
    </r>
  </si>
  <si>
    <t>Configurer les produits en poids, en mètrage linéaire et en pièce</t>
  </si>
  <si>
    <r>
      <rPr>
        <b/>
        <sz val="11"/>
        <color theme="1"/>
        <rFont val="Calibri Light"/>
        <family val="2"/>
        <scheme val="major"/>
      </rPr>
      <t>Adaptation</t>
    </r>
    <r>
      <rPr>
        <sz val="11"/>
        <color theme="1"/>
        <rFont val="Calibri Light"/>
        <family val="2"/>
        <scheme val="major"/>
      </rPr>
      <t xml:space="preserve">
Permettre au niveau de la configuration des produits :
- L'ajout de plusieurs unités de mesure (ex. kg, mètres, pièces). Pour chaque unité, l'utilisateur saisit une valeur spécifique avec des tolérances .
- L'ajout d'un taux de conversion entre les unités sélectionnées
- L'ajout de la capacité maximale et minimale par palette en poids.</t>
    </r>
  </si>
  <si>
    <t>Déclaration des quantités produite et non-conforme en Kg, en mètre et en pièces (pour les sleeveuses) par bobine et par palette.</t>
  </si>
  <si>
    <r>
      <t>La solution proposée permettra de :
-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Enregistrer automatiquement les quantités (selon les unités du produits) récupérées via la balance pour chaque bobine produite.
- Contrôle du métrage pour s'assurer que le métrage récupéré ne soit pas inférieur au métrage exigé, tel que défini dans la configuration du produit.</t>
    </r>
    <r>
      <rPr>
        <u/>
        <sz val="11"/>
        <color theme="1"/>
        <rFont val="Calibri Light"/>
        <family val="2"/>
        <scheme val="major"/>
      </rPr>
      <t xml:space="preserve">
</t>
    </r>
    <r>
      <rPr>
        <sz val="11"/>
        <color theme="1"/>
        <rFont val="Calibri Light"/>
        <family val="2"/>
        <scheme val="major"/>
      </rPr>
      <t xml:space="preserve">- Génération automatique des palettes au démarrage de production
- Déclaration des non-conformités par bobine, avec un suivi des défauts qualité et du lieu de détection 
- Gestion des restes des bobines en allouant les restes non consommés de la bobine mère pour le shift suivant.
</t>
    </r>
  </si>
  <si>
    <t>Gestion des fiches de passation</t>
  </si>
  <si>
    <t>Gérer le changement de responsabilité en utilisant les fiches de passation</t>
  </si>
  <si>
    <t>La solution permet de générer automatiquement des fiches de passation contenant toutes les informations relatives au shift. La validation de ces fiches est nécessaire pour contrôler le changement de responsabilité.</t>
  </si>
  <si>
    <t xml:space="preserve">Digitaliser la génération et le remplissage des fiches de contrôle par OF et par fréquence configurable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</si>
</sst>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u/>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right/>
      <top style="thin">
        <color rgb="FF000000"/>
      </top>
      <bottom/>
      <diagonal/>
    </border>
    <border>
      <left/>
      <right/>
      <top style="medium">
        <color indexed="64"/>
      </top>
      <bottom/>
      <diagonal/>
    </border>
  </borders>
  <cellStyleXfs count="1">
    <xf numFmtId="0" fontId="0" fillId="0" borderId="0"/>
  </cellStyleXfs>
  <cellXfs count="4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7" fillId="0" borderId="0" xfId="0" applyFont="1" applyAlignment="1">
      <alignment vertical="center" wrapText="1"/>
    </xf>
    <xf numFmtId="0" fontId="5" fillId="0" borderId="0" xfId="0" applyFont="1" applyAlignment="1">
      <alignment horizontal="left" wrapText="1"/>
    </xf>
    <xf numFmtId="164" fontId="1" fillId="0" borderId="0" xfId="0" applyNumberFormat="1" applyFont="1" applyAlignment="1">
      <alignment vertical="center" wrapText="1"/>
    </xf>
    <xf numFmtId="0" fontId="22" fillId="0" borderId="6" xfId="0" applyFont="1" applyBorder="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5" fillId="0" borderId="0" xfId="0" applyFont="1" applyAlignment="1">
      <alignment horizontal="lef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center" wrapText="1"/>
    </xf>
    <xf numFmtId="0" fontId="1" fillId="0" borderId="7" xfId="0" applyFont="1" applyBorder="1" applyAlignment="1">
      <alignment horizontal="center" wrapText="1"/>
    </xf>
    <xf numFmtId="0" fontId="1" fillId="0" borderId="0" xfId="0" applyFont="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cellXfs>
  <cellStyles count="1">
    <cellStyle name="Normal" xfId="0" builtinId="0"/>
  </cellStyles>
  <dxfs count="80">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3</xdr:col>
      <xdr:colOff>211667</xdr:colOff>
      <xdr:row>3</xdr:row>
      <xdr:rowOff>260360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stion Exigences"/>
      <sheetName val="Modifs Doc"/>
      <sheetName val="Params"/>
      <sheetName val="MD203- Exigences Cogitel Digita"/>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J34" totalsRowCount="1" headerRowDxfId="79" dataDxfId="78">
  <autoFilter ref="B12:AJ33" xr:uid="{DDEA2C8B-EE0D-4C55-9256-CCC64E002CE6}"/>
  <tableColumns count="35">
    <tableColumn id="1" xr3:uid="{E467E0EE-CDAA-4FF5-85A8-CDC0B23A5AD9}" name="ID" dataDxfId="77" totalsRowDxfId="76"/>
    <tableColumn id="2" xr3:uid="{E53952AC-4972-47BD-8B1D-C7EF23088D0D}" name="Exigence" dataDxfId="75" totalsRowDxfId="74"/>
    <tableColumn id="8" xr3:uid="{B2D0BC2C-C803-4015-8FA6-70F84517BDB2}" name="Nature" dataDxfId="73" totalsRowDxfId="72"/>
    <tableColumn id="7" xr3:uid="{24F2F0ED-022E-4EC1-91D8-BFE0E4F2FD36}" name="Catégorie" dataDxfId="71" totalsRowDxfId="70"/>
    <tableColumn id="10" xr3:uid="{1FF81CF1-6D35-421C-8767-9E7FA06FEE6A}" name="Exigence indéfiée pendant la phase" dataDxfId="69" totalsRowDxfId="68"/>
    <tableColumn id="3" xr3:uid="{E7621A68-9552-4853-96A5-92A226EA42DD}" name="Description de l'exigence" dataDxfId="67" totalsRowDxfId="66"/>
    <tableColumn id="9" xr3:uid="{E6EEEC82-3576-4980-94B3-1423906CE531}" name="Source" dataDxfId="65" totalsRowDxfId="64"/>
    <tableColumn id="16" xr3:uid="{1441554A-79F9-4040-9CF5-AEBFF7ADF7D1}" name="Description de la solution ADDIXO" dataDxfId="63" totalsRowDxfId="62"/>
    <tableColumn id="17" xr3:uid="{D1BC9C86-C3CE-417F-AC83-FC4786A7656D}" name="Écart entre exigence client et la solution proposée - préciser aussi les limites et hypothèses si applicable" dataDxfId="61" totalsRowDxfId="60"/>
    <tableColumn id="5" xr3:uid="{2649C3B7-E8B9-44F9-8883-E5BB6F91B4B1}" name="Validation Interne" dataDxfId="59" totalsRowDxfId="58"/>
    <tableColumn id="19" xr3:uid="{1684315C-4BF1-4202-9296-395A9CBBCF5B}" name="Colonne1" dataDxfId="57" totalsRowDxfId="56"/>
    <tableColumn id="23" xr3:uid="{B6C3130B-09EF-45AC-BADA-90DC4AA315FC}" name="Colonne2" dataDxfId="55" totalsRowDxfId="54"/>
    <tableColumn id="24" xr3:uid="{ED6C4BB9-0261-4756-9E2F-D66985E18ED3}" name="Colonne3" dataDxfId="53" totalsRowDxfId="52"/>
    <tableColumn id="25" xr3:uid="{78150193-1C14-44BE-96A3-D80FFAA537A1}" name="Colonne4" dataDxfId="51" totalsRowDxfId="50"/>
    <tableColumn id="26" xr3:uid="{675E0A2C-BB54-404C-AA93-815EC984D2D6}" name="Colonne5" dataDxfId="49" totalsRowDxfId="48">
      <calculatedColumnFormula>[1]!Tableau32[[#This Row],[HJ Dev]]*(25%+25%)</calculatedColumnFormula>
    </tableColumn>
    <tableColumn id="27" xr3:uid="{CBA3FCD9-30EA-4D19-BD7E-D0C0216A2D2C}" name="Colonne6" dataDxfId="47" totalsRowDxfId="46">
      <calculatedColumnFormula>[1]!Tableau32[[#This Row],[HJ Analyse et test]]+[1]!Tableau32[[#This Row],[HJ Dev]]</calculatedColumnFormula>
    </tableColumn>
    <tableColumn id="28" xr3:uid="{64F4902E-4937-4A74-910C-13A5511F7340}" name="Colonne7" dataDxfId="45" totalsRowDxfId="44">
      <calculatedColumnFormula>[1]!Tableau32[[#This Row],[Total HJ]]*8</calculatedColumnFormula>
    </tableColumn>
    <tableColumn id="29" xr3:uid="{D26DE321-3DF3-4A2C-8283-3F62F92E87F7}" name="Colonne8" dataDxfId="43" totalsRowDxfId="42"/>
    <tableColumn id="30" xr3:uid="{5434348C-D2DE-493F-94CA-198AB6E4DAB4}" name="Colonne9" dataDxfId="41" totalsRowDxfId="40"/>
    <tableColumn id="31" xr3:uid="{06456D23-93D7-4397-815B-7D05CC6463D2}" name="Colonne10" dataDxfId="39" totalsRowDxfId="38"/>
    <tableColumn id="32" xr3:uid="{FB8D074E-F786-450E-8A8C-7D77D212C0ED}" name="Colonne11" dataDxfId="37" totalsRowDxfId="36"/>
    <tableColumn id="33" xr3:uid="{8C68935C-FF3F-4366-B375-B488B353BA68}" name="Colonne12" dataDxfId="35" totalsRowDxfId="34"/>
    <tableColumn id="34" xr3:uid="{78D71331-AEFF-45A6-96F8-D15DAA307F14}" name="Colonne13" dataDxfId="33" totalsRowDxfId="32"/>
    <tableColumn id="35" xr3:uid="{A9FCD645-19CA-4DCD-93DF-19C36E49D180}" name="Colonne14" dataDxfId="31" totalsRowDxfId="30"/>
    <tableColumn id="6" xr3:uid="{8CC493F8-0886-498D-AB98-B77300CC6510}" name="Validation Interne par:" dataDxfId="29" totalsRowDxfId="28"/>
    <tableColumn id="15" xr3:uid="{78231C60-0932-4386-925D-4C689A91C0E3}" name="Statut Client" dataDxfId="27" totalsRowDxfId="26"/>
    <tableColumn id="22" xr3:uid="{D944A0FD-E468-407F-91A6-BD8A29086A7B}" name="HJ Dev" totalsRowFunction="custom" dataDxfId="25" totalsRowDxfId="24">
      <totalsRowFormula>SUBTOTAL(109,AB13:AB33)</totalsRowFormula>
    </tableColumn>
    <tableColumn id="21" xr3:uid="{818C68C5-1CC3-4DC9-9BB8-2CB7816ABE9F}" name="HJ Analyse et test" totalsRowFunction="custom" dataDxfId="23" totalsRowDxfId="22">
      <calculatedColumnFormula>Tableau3[[#This Row],[HJ Dev]]*(50%+25%)</calculatedColumnFormula>
      <totalsRowFormula>SUBTOTAL(109,AC13:AC33)</totalsRowFormula>
    </tableColumn>
    <tableColumn id="20" xr3:uid="{81CB5860-4285-4425-ABF9-C91F3323BF25}" name="Total HJ" totalsRowFunction="custom" dataDxfId="21" totalsRowDxfId="20">
      <calculatedColumnFormula>Tableau3[[#This Row],[HJ Dev]]+Tableau3[[#This Row],[HJ Analyse et test]]</calculatedColumnFormula>
      <totalsRowFormula>SUBTOTAL(109,AD13:AD33)</totalsRowFormula>
    </tableColumn>
    <tableColumn id="11" xr3:uid="{20685332-73A9-4B9D-874E-F1C9F770405F}" name="Description comment la conception de la solution prend en compte l'exigence client" dataDxfId="19" totalsRowDxfId="18"/>
    <tableColumn id="12" xr3:uid="{36B390F4-625A-46E1-864B-7108903FFD96}" name="Conception réalisée par:" dataDxfId="17" totalsRowDxfId="16"/>
    <tableColumn id="13" xr3:uid="{9016419E-83A5-4950-AB28-EA27A0D72FAD}" name="Revue conception réalisée par" dataDxfId="15" totalsRowDxfId="14"/>
    <tableColumn id="14" xr3:uid="{B5F29B7E-09EB-43EF-BD3D-9ADF38F7CC12}" name="Vérification de la conception réalisée par" dataDxfId="13" totalsRowDxfId="12"/>
    <tableColumn id="18" xr3:uid="{0CA25C90-64D6-43D5-90C8-CE6D70CCA638}" name="Preuve de vérification " dataDxfId="11" totalsRowDxfId="10"/>
    <tableColumn id="4" xr3:uid="{B7406A3A-A365-4F76-9A20-372573D19BC9}" name="Notes" dataDxfId="9" totalsRow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J34"/>
  <sheetViews>
    <sheetView tabSelected="1" topLeftCell="I31" zoomScale="78" zoomScaleNormal="60" workbookViewId="0">
      <selection activeCell="J31" sqref="J31"/>
    </sheetView>
  </sheetViews>
  <sheetFormatPr baseColWidth="10" defaultColWidth="11.44140625" defaultRowHeight="13.8" x14ac:dyDescent="0.3"/>
  <cols>
    <col min="1" max="1" width="11.44140625" style="1"/>
    <col min="2" max="2" width="6.21875" style="1" customWidth="1"/>
    <col min="3" max="3" width="30.33203125" style="1" customWidth="1"/>
    <col min="4" max="4" width="16.21875" style="1" customWidth="1"/>
    <col min="5" max="5" width="15.6640625" style="1" customWidth="1"/>
    <col min="6" max="6" width="24.5546875" style="1" customWidth="1"/>
    <col min="7" max="7" width="56.5546875" style="1" customWidth="1"/>
    <col min="8" max="8" width="18.44140625" style="1" hidden="1" customWidth="1"/>
    <col min="9" max="9" width="79.6640625" style="1" customWidth="1"/>
    <col min="10" max="10" width="72.5546875" style="1" customWidth="1"/>
    <col min="11" max="25" width="10.5546875" style="1" hidden="1" customWidth="1"/>
    <col min="26" max="26" width="12" style="1" hidden="1" customWidth="1"/>
    <col min="27" max="27" width="12.77734375" style="1" hidden="1" customWidth="1"/>
    <col min="28" max="28" width="9.21875" style="1" customWidth="1"/>
    <col min="29" max="29" width="14.77734375" style="1" customWidth="1"/>
    <col min="30" max="30" width="10.21875" style="1" customWidth="1"/>
    <col min="31" max="31" width="33.21875" style="1" customWidth="1"/>
    <col min="32" max="32" width="15.44140625" style="1" customWidth="1"/>
    <col min="33" max="33" width="14.77734375" style="1" customWidth="1"/>
    <col min="34" max="34" width="17.44140625" style="1" customWidth="1"/>
    <col min="35" max="35" width="24.21875" style="1" customWidth="1"/>
    <col min="36" max="36" width="9" style="1" customWidth="1"/>
    <col min="37" max="37" width="5.5546875" style="1" customWidth="1"/>
    <col min="38" max="39" width="11.44140625" style="1" customWidth="1"/>
    <col min="40" max="16384" width="11.44140625" style="1"/>
  </cols>
  <sheetData>
    <row r="1" spans="2:36" ht="14.4" thickBot="1" x14ac:dyDescent="0.35"/>
    <row r="2" spans="2:36" ht="21.75" customHeight="1" thickBot="1" x14ac:dyDescent="0.4">
      <c r="B2" s="35" t="s">
        <v>0</v>
      </c>
      <c r="C2" s="36"/>
      <c r="D2" s="36"/>
      <c r="E2" s="36"/>
      <c r="F2" s="36"/>
      <c r="G2" s="36"/>
      <c r="H2" s="36"/>
      <c r="I2" s="36"/>
      <c r="J2" s="36"/>
      <c r="K2" s="36"/>
      <c r="L2" s="36"/>
      <c r="M2" s="36"/>
      <c r="N2" s="36"/>
      <c r="O2" s="36"/>
      <c r="P2" s="36"/>
      <c r="Q2" s="36"/>
      <c r="R2" s="36"/>
      <c r="S2" s="36"/>
      <c r="T2" s="36"/>
      <c r="U2" s="36"/>
      <c r="V2" s="36"/>
      <c r="W2" s="36"/>
      <c r="X2" s="36"/>
      <c r="Y2" s="36"/>
      <c r="Z2" s="36"/>
      <c r="AA2" s="37"/>
      <c r="AB2" s="39" t="s">
        <v>1</v>
      </c>
      <c r="AC2" s="40"/>
      <c r="AD2" s="41"/>
      <c r="AE2" s="33" t="s">
        <v>2</v>
      </c>
      <c r="AF2" s="34"/>
      <c r="AG2" s="34"/>
      <c r="AH2" s="34"/>
      <c r="AI2" s="34"/>
      <c r="AJ2" s="34"/>
    </row>
    <row r="3" spans="2:36" ht="21.75" customHeight="1" x14ac:dyDescent="0.3">
      <c r="B3" s="43"/>
      <c r="C3" s="43"/>
      <c r="D3" s="43"/>
      <c r="E3" s="8"/>
      <c r="F3" s="8"/>
      <c r="G3" s="8"/>
      <c r="H3" s="8"/>
      <c r="I3" s="8"/>
    </row>
    <row r="4" spans="2:36" ht="21.75" customHeight="1" x14ac:dyDescent="0.3">
      <c r="B4" s="44"/>
      <c r="C4" s="44"/>
      <c r="D4" s="44"/>
    </row>
    <row r="5" spans="2:36" ht="19.5" customHeight="1" x14ac:dyDescent="0.3">
      <c r="C5" s="3" t="s">
        <v>3</v>
      </c>
      <c r="D5" s="38" t="s">
        <v>4</v>
      </c>
      <c r="E5" s="38"/>
      <c r="F5" s="38"/>
      <c r="G5" s="38"/>
      <c r="H5" s="38"/>
      <c r="I5" s="38"/>
    </row>
    <row r="6" spans="2:36" ht="23.55" customHeight="1" x14ac:dyDescent="0.3">
      <c r="C6" s="3" t="s">
        <v>5</v>
      </c>
      <c r="D6" s="42" t="s">
        <v>6</v>
      </c>
      <c r="E6" s="42"/>
      <c r="F6" s="27"/>
      <c r="G6" s="27"/>
      <c r="H6" s="27"/>
      <c r="I6" s="27"/>
    </row>
    <row r="7" spans="2:36" ht="14.4" x14ac:dyDescent="0.3">
      <c r="C7" s="3" t="s">
        <v>7</v>
      </c>
      <c r="D7" s="27"/>
      <c r="E7" s="27"/>
      <c r="F7" s="27"/>
      <c r="G7" s="27"/>
      <c r="H7" s="27"/>
      <c r="I7" s="27"/>
    </row>
    <row r="8" spans="2:36" ht="14.4" x14ac:dyDescent="0.3">
      <c r="C8" s="3" t="s">
        <v>8</v>
      </c>
      <c r="D8" s="27"/>
      <c r="E8" s="27"/>
      <c r="F8" s="27"/>
      <c r="G8" s="27"/>
      <c r="H8" s="27"/>
      <c r="I8" s="27"/>
    </row>
    <row r="9" spans="2:36" ht="18" x14ac:dyDescent="0.35">
      <c r="C9" s="9" t="s">
        <v>9</v>
      </c>
      <c r="D9" s="9" t="s">
        <v>10</v>
      </c>
      <c r="E9" s="9"/>
      <c r="F9" s="9"/>
      <c r="I9" s="22" t="s">
        <v>11</v>
      </c>
    </row>
    <row r="10" spans="2:36" x14ac:dyDescent="0.3">
      <c r="C10" s="9" t="s">
        <v>12</v>
      </c>
      <c r="D10" s="9" t="s">
        <v>13</v>
      </c>
      <c r="E10" s="9"/>
      <c r="F10" s="9"/>
    </row>
    <row r="11" spans="2:36" s="10" customFormat="1" ht="54" customHeight="1" thickBot="1" x14ac:dyDescent="0.3"/>
    <row r="12" spans="2:36" s="10" customFormat="1" ht="61.5" customHeight="1" thickBot="1" x14ac:dyDescent="0.3">
      <c r="B12" s="30" t="s">
        <v>14</v>
      </c>
      <c r="C12" s="31" t="s">
        <v>15</v>
      </c>
      <c r="D12" s="31" t="s">
        <v>16</v>
      </c>
      <c r="E12" s="31" t="s">
        <v>17</v>
      </c>
      <c r="F12" s="31" t="s">
        <v>171</v>
      </c>
      <c r="G12" s="31" t="s">
        <v>18</v>
      </c>
      <c r="H12" s="31" t="s">
        <v>19</v>
      </c>
      <c r="I12" s="31" t="s">
        <v>172</v>
      </c>
      <c r="J12" s="31" t="s">
        <v>173</v>
      </c>
      <c r="K12" s="31" t="s">
        <v>20</v>
      </c>
      <c r="L12" s="31" t="s">
        <v>21</v>
      </c>
      <c r="M12" s="31" t="s">
        <v>22</v>
      </c>
      <c r="N12" s="31" t="s">
        <v>23</v>
      </c>
      <c r="O12" s="31" t="s">
        <v>24</v>
      </c>
      <c r="P12" s="31" t="s">
        <v>25</v>
      </c>
      <c r="Q12" s="31" t="s">
        <v>26</v>
      </c>
      <c r="R12" s="31" t="s">
        <v>27</v>
      </c>
      <c r="S12" s="31" t="s">
        <v>28</v>
      </c>
      <c r="T12" s="31" t="s">
        <v>29</v>
      </c>
      <c r="U12" s="31" t="s">
        <v>30</v>
      </c>
      <c r="V12" s="31" t="s">
        <v>31</v>
      </c>
      <c r="W12" s="31" t="s">
        <v>32</v>
      </c>
      <c r="X12" s="31" t="s">
        <v>33</v>
      </c>
      <c r="Y12" s="31" t="s">
        <v>34</v>
      </c>
      <c r="Z12" s="31" t="s">
        <v>35</v>
      </c>
      <c r="AA12" s="32" t="s">
        <v>36</v>
      </c>
      <c r="AB12" s="16" t="s">
        <v>37</v>
      </c>
      <c r="AC12" s="16" t="s">
        <v>38</v>
      </c>
      <c r="AD12" s="16" t="s">
        <v>39</v>
      </c>
      <c r="AE12" s="17" t="s">
        <v>40</v>
      </c>
      <c r="AF12" s="18" t="s">
        <v>41</v>
      </c>
      <c r="AG12" s="18" t="s">
        <v>42</v>
      </c>
      <c r="AH12" s="18" t="s">
        <v>43</v>
      </c>
      <c r="AI12" s="18" t="s">
        <v>44</v>
      </c>
      <c r="AJ12" s="19" t="s">
        <v>45</v>
      </c>
    </row>
    <row r="13" spans="2:36" s="10" customFormat="1" ht="175.95" customHeight="1" x14ac:dyDescent="0.25">
      <c r="B13" s="24" t="s">
        <v>46</v>
      </c>
      <c r="C13" s="24" t="s">
        <v>132</v>
      </c>
      <c r="D13" s="24" t="s">
        <v>47</v>
      </c>
      <c r="E13" s="24" t="s">
        <v>48</v>
      </c>
      <c r="F13" s="24" t="s">
        <v>49</v>
      </c>
      <c r="G13" s="26" t="s">
        <v>134</v>
      </c>
      <c r="H13" s="24"/>
      <c r="I13" s="26" t="s">
        <v>174</v>
      </c>
      <c r="J13" s="26"/>
      <c r="K13" s="26" t="s">
        <v>51</v>
      </c>
      <c r="L13" s="24"/>
      <c r="M13" s="24"/>
      <c r="N13" s="24"/>
      <c r="O13" s="24"/>
      <c r="P13" s="24"/>
      <c r="Q13" s="24"/>
      <c r="R13" s="24"/>
      <c r="Z13" s="10" t="s">
        <v>52</v>
      </c>
      <c r="AA13" s="10" t="s">
        <v>103</v>
      </c>
      <c r="AB13" s="28">
        <v>0</v>
      </c>
      <c r="AC13" s="10">
        <f>Tableau3[[#This Row],[HJ Dev]]*(50%+25%)</f>
        <v>0</v>
      </c>
      <c r="AD13" s="28">
        <f>Tableau3[[#This Row],[HJ Dev]]+Tableau3[[#This Row],[HJ Analyse et test]]</f>
        <v>0</v>
      </c>
    </row>
    <row r="14" spans="2:36" s="10" customFormat="1" ht="84" customHeight="1" x14ac:dyDescent="0.25">
      <c r="B14" s="24" t="s">
        <v>53</v>
      </c>
      <c r="C14" s="24" t="s">
        <v>133</v>
      </c>
      <c r="D14" s="24" t="s">
        <v>47</v>
      </c>
      <c r="E14" s="24" t="s">
        <v>48</v>
      </c>
      <c r="F14" s="24" t="s">
        <v>49</v>
      </c>
      <c r="G14" s="26" t="s">
        <v>196</v>
      </c>
      <c r="H14" s="24"/>
      <c r="I14" s="26" t="s">
        <v>197</v>
      </c>
      <c r="J14" s="26" t="s">
        <v>175</v>
      </c>
      <c r="K14" s="26" t="s">
        <v>51</v>
      </c>
      <c r="L14" s="24"/>
      <c r="M14" s="24"/>
      <c r="N14" s="24"/>
      <c r="O14" s="24"/>
      <c r="P14" s="24" t="e">
        <f>[1]!Tableau32[[#This Row],[HJ Dev]]*(25%+25%)</f>
        <v>#REF!</v>
      </c>
      <c r="Q14" s="24" t="e">
        <f>[1]!Tableau32[[#This Row],[HJ Analyse et test]]+[1]!Tableau32[[#This Row],[HJ Dev]]</f>
        <v>#REF!</v>
      </c>
      <c r="R14" s="24" t="e">
        <f>[1]!Tableau32[[#This Row],[Total HJ]]*8</f>
        <v>#REF!</v>
      </c>
      <c r="Z14" s="10" t="s">
        <v>52</v>
      </c>
      <c r="AA14" s="10" t="s">
        <v>103</v>
      </c>
      <c r="AB14" s="28">
        <v>2</v>
      </c>
      <c r="AC14" s="10">
        <f>Tableau3[[#This Row],[HJ Dev]]*(50%+25%)</f>
        <v>1.5</v>
      </c>
      <c r="AD14" s="28">
        <f>Tableau3[[#This Row],[HJ Dev]]+Tableau3[[#This Row],[HJ Analyse et test]]</f>
        <v>3.5</v>
      </c>
    </row>
    <row r="15" spans="2:36" s="10" customFormat="1" ht="84" customHeight="1" x14ac:dyDescent="0.25">
      <c r="B15" s="24" t="s">
        <v>56</v>
      </c>
      <c r="C15" s="24" t="s">
        <v>138</v>
      </c>
      <c r="D15" s="24" t="s">
        <v>47</v>
      </c>
      <c r="E15" s="24" t="s">
        <v>48</v>
      </c>
      <c r="F15" s="24" t="s">
        <v>49</v>
      </c>
      <c r="G15" s="26" t="s">
        <v>139</v>
      </c>
      <c r="H15" s="24"/>
      <c r="I15" s="26" t="s">
        <v>155</v>
      </c>
      <c r="J15" s="26"/>
      <c r="K15" s="26" t="s">
        <v>51</v>
      </c>
      <c r="L15" s="24"/>
      <c r="M15" s="24"/>
      <c r="N15" s="24"/>
      <c r="O15" s="24"/>
      <c r="P15" s="24" t="e">
        <f>[1]!Tableau32[[#This Row],[HJ Dev]]*(25%+25%)</f>
        <v>#REF!</v>
      </c>
      <c r="Q15" s="24" t="e">
        <f>[1]!Tableau32[[#This Row],[HJ Analyse et test]]+[1]!Tableau32[[#This Row],[HJ Dev]]</f>
        <v>#REF!</v>
      </c>
      <c r="R15" s="24" t="e">
        <f>[1]!Tableau32[[#This Row],[Total HJ]]*8</f>
        <v>#REF!</v>
      </c>
      <c r="Z15" s="10" t="s">
        <v>52</v>
      </c>
      <c r="AA15" s="10" t="s">
        <v>103</v>
      </c>
      <c r="AB15" s="28">
        <v>1</v>
      </c>
      <c r="AC15" s="10">
        <f>Tableau3[[#This Row],[HJ Dev]]*(50%+25%)</f>
        <v>0.75</v>
      </c>
      <c r="AD15" s="28">
        <f>Tableau3[[#This Row],[HJ Dev]]+Tableau3[[#This Row],[HJ Analyse et test]]</f>
        <v>1.75</v>
      </c>
    </row>
    <row r="16" spans="2:36" s="10" customFormat="1" ht="111" customHeight="1" x14ac:dyDescent="0.25">
      <c r="B16" s="24" t="s">
        <v>57</v>
      </c>
      <c r="C16" s="24" t="s">
        <v>54</v>
      </c>
      <c r="D16" s="24" t="s">
        <v>47</v>
      </c>
      <c r="E16" s="24" t="s">
        <v>48</v>
      </c>
      <c r="F16" s="24" t="s">
        <v>49</v>
      </c>
      <c r="G16" s="26" t="s">
        <v>156</v>
      </c>
      <c r="H16" s="24"/>
      <c r="I16" s="26" t="s">
        <v>177</v>
      </c>
      <c r="J16" s="26" t="s">
        <v>176</v>
      </c>
      <c r="K16" s="26" t="s">
        <v>51</v>
      </c>
      <c r="L16" s="24"/>
      <c r="M16" s="24"/>
      <c r="N16" s="24"/>
      <c r="O16" s="24"/>
      <c r="P16" s="24" t="e">
        <f>[1]!Tableau32[[#This Row],[HJ Dev]]*(25%+25%)</f>
        <v>#REF!</v>
      </c>
      <c r="Q16" s="24" t="e">
        <f>[1]!Tableau32[[#This Row],[HJ Analyse et test]]+[1]!Tableau32[[#This Row],[HJ Dev]]</f>
        <v>#REF!</v>
      </c>
      <c r="R16" s="24" t="e">
        <f>[1]!Tableau32[[#This Row],[Total HJ]]*8</f>
        <v>#REF!</v>
      </c>
      <c r="Z16" s="10" t="s">
        <v>52</v>
      </c>
      <c r="AA16" s="10" t="s">
        <v>103</v>
      </c>
      <c r="AB16" s="28">
        <v>5</v>
      </c>
      <c r="AC16" s="10">
        <f>Tableau3[[#This Row],[HJ Dev]]*(50%+25%)</f>
        <v>3.75</v>
      </c>
      <c r="AD16" s="28">
        <f>Tableau3[[#This Row],[HJ Dev]]+Tableau3[[#This Row],[HJ Analyse et test]]</f>
        <v>8.75</v>
      </c>
    </row>
    <row r="17" spans="2:30" s="10" customFormat="1" ht="129.6" x14ac:dyDescent="0.25">
      <c r="B17" s="24" t="s">
        <v>58</v>
      </c>
      <c r="C17" s="24" t="s">
        <v>178</v>
      </c>
      <c r="D17" s="24" t="s">
        <v>47</v>
      </c>
      <c r="E17" s="24" t="s">
        <v>48</v>
      </c>
      <c r="F17" s="24" t="s">
        <v>49</v>
      </c>
      <c r="G17" s="26" t="s">
        <v>140</v>
      </c>
      <c r="H17" s="24"/>
      <c r="I17" s="26" t="s">
        <v>179</v>
      </c>
      <c r="J17" s="26"/>
      <c r="K17" s="26" t="s">
        <v>51</v>
      </c>
      <c r="L17" s="24"/>
      <c r="M17" s="24"/>
      <c r="N17" s="24"/>
      <c r="O17" s="24"/>
      <c r="P17" s="24" t="e">
        <f>[1]!Tableau32[[#This Row],[HJ Dev]]*(25%+25%)</f>
        <v>#REF!</v>
      </c>
      <c r="Q17" s="24" t="e">
        <f>[1]!Tableau32[[#This Row],[HJ Analyse et test]]+[1]!Tableau32[[#This Row],[HJ Dev]]</f>
        <v>#REF!</v>
      </c>
      <c r="R17" s="24" t="e">
        <f>[1]!Tableau32[[#This Row],[Total HJ]]*8</f>
        <v>#REF!</v>
      </c>
      <c r="Z17" s="10" t="s">
        <v>52</v>
      </c>
      <c r="AA17" s="10" t="s">
        <v>103</v>
      </c>
      <c r="AB17" s="28">
        <v>5</v>
      </c>
      <c r="AC17" s="10">
        <f>Tableau3[[#This Row],[HJ Dev]]*(50%+25%)</f>
        <v>3.75</v>
      </c>
      <c r="AD17" s="28">
        <f>Tableau3[[#This Row],[HJ Dev]]+Tableau3[[#This Row],[HJ Analyse et test]]</f>
        <v>8.75</v>
      </c>
    </row>
    <row r="18" spans="2:30" s="10" customFormat="1" ht="84" customHeight="1" x14ac:dyDescent="0.25">
      <c r="B18" s="24" t="s">
        <v>59</v>
      </c>
      <c r="C18" s="24" t="s">
        <v>157</v>
      </c>
      <c r="D18" s="24" t="s">
        <v>47</v>
      </c>
      <c r="E18" s="24" t="s">
        <v>48</v>
      </c>
      <c r="F18" s="24" t="s">
        <v>49</v>
      </c>
      <c r="G18" s="26" t="s">
        <v>158</v>
      </c>
      <c r="H18" s="24"/>
      <c r="I18" s="26" t="s">
        <v>180</v>
      </c>
      <c r="J18" s="26"/>
      <c r="K18" s="26" t="s">
        <v>51</v>
      </c>
      <c r="L18" s="24"/>
      <c r="M18" s="24"/>
      <c r="N18" s="24"/>
      <c r="O18" s="24"/>
      <c r="P18" s="24" t="e">
        <f>[1]!Tableau32[[#This Row],[HJ Dev]]*(25%+25%)</f>
        <v>#REF!</v>
      </c>
      <c r="Q18" s="24" t="e">
        <f>[1]!Tableau32[[#This Row],[HJ Analyse et test]]+[1]!Tableau32[[#This Row],[HJ Dev]]</f>
        <v>#REF!</v>
      </c>
      <c r="R18" s="24" t="e">
        <f>[1]!Tableau32[[#This Row],[Total HJ]]*8</f>
        <v>#REF!</v>
      </c>
      <c r="Z18" s="10" t="s">
        <v>52</v>
      </c>
      <c r="AA18" s="10" t="s">
        <v>103</v>
      </c>
      <c r="AB18" s="28">
        <v>0</v>
      </c>
      <c r="AC18" s="10">
        <f>Tableau3[[#This Row],[HJ Dev]]*(50%+25%)</f>
        <v>0</v>
      </c>
      <c r="AD18" s="28">
        <f>Tableau3[[#This Row],[HJ Dev]]+Tableau3[[#This Row],[HJ Analyse et test]]</f>
        <v>0</v>
      </c>
    </row>
    <row r="19" spans="2:30" s="10" customFormat="1" ht="187.05" customHeight="1" x14ac:dyDescent="0.25">
      <c r="B19" s="24" t="s">
        <v>60</v>
      </c>
      <c r="C19" s="24" t="s">
        <v>181</v>
      </c>
      <c r="D19" s="24" t="s">
        <v>47</v>
      </c>
      <c r="E19" s="24" t="s">
        <v>48</v>
      </c>
      <c r="F19" s="24" t="s">
        <v>49</v>
      </c>
      <c r="G19" s="26" t="s">
        <v>182</v>
      </c>
      <c r="H19" s="24"/>
      <c r="I19" s="26" t="s">
        <v>183</v>
      </c>
      <c r="J19" s="26"/>
      <c r="K19" s="26" t="s">
        <v>51</v>
      </c>
      <c r="L19" s="24"/>
      <c r="M19" s="24"/>
      <c r="N19" s="24"/>
      <c r="O19" s="24"/>
      <c r="P19" s="24" t="e">
        <f>[1]!Tableau32[[#This Row],[HJ Dev]]*(25%+25%)</f>
        <v>#REF!</v>
      </c>
      <c r="Q19" s="24" t="e">
        <f>[1]!Tableau32[[#This Row],[HJ Analyse et test]]+[1]!Tableau32[[#This Row],[HJ Dev]]</f>
        <v>#REF!</v>
      </c>
      <c r="R19" s="24" t="e">
        <f>[1]!Tableau32[[#This Row],[Total HJ]]*8</f>
        <v>#REF!</v>
      </c>
      <c r="Z19" s="10" t="s">
        <v>52</v>
      </c>
      <c r="AA19" s="10" t="s">
        <v>103</v>
      </c>
      <c r="AB19" s="28">
        <v>0</v>
      </c>
      <c r="AC19" s="10">
        <f>Tableau3[[#This Row],[HJ Dev]]*(50%+25%)</f>
        <v>0</v>
      </c>
      <c r="AD19" s="28">
        <f>Tableau3[[#This Row],[HJ Dev]]+Tableau3[[#This Row],[HJ Analyse et test]]</f>
        <v>0</v>
      </c>
    </row>
    <row r="20" spans="2:30" s="10" customFormat="1" ht="130.05000000000001" customHeight="1" x14ac:dyDescent="0.25">
      <c r="B20" s="24" t="s">
        <v>61</v>
      </c>
      <c r="C20" s="24" t="s">
        <v>159</v>
      </c>
      <c r="D20" s="24" t="s">
        <v>47</v>
      </c>
      <c r="E20" s="24" t="s">
        <v>48</v>
      </c>
      <c r="F20" s="24" t="s">
        <v>49</v>
      </c>
      <c r="G20" s="26" t="s">
        <v>160</v>
      </c>
      <c r="H20" s="24"/>
      <c r="I20" s="26" t="s">
        <v>184</v>
      </c>
      <c r="J20" s="26"/>
      <c r="K20" s="26" t="s">
        <v>51</v>
      </c>
      <c r="L20" s="24"/>
      <c r="M20" s="24"/>
      <c r="N20" s="24"/>
      <c r="O20" s="24"/>
      <c r="P20" s="24" t="e">
        <f>[1]!Tableau32[[#This Row],[HJ Dev]]*(25%+25%)</f>
        <v>#REF!</v>
      </c>
      <c r="Q20" s="24" t="e">
        <f>[1]!Tableau32[[#This Row],[HJ Analyse et test]]+[1]!Tableau32[[#This Row],[HJ Dev]]</f>
        <v>#REF!</v>
      </c>
      <c r="R20" s="24" t="e">
        <f>[1]!Tableau32[[#This Row],[Total HJ]]*8</f>
        <v>#REF!</v>
      </c>
      <c r="Z20" s="10" t="s">
        <v>52</v>
      </c>
      <c r="AA20" s="10" t="s">
        <v>103</v>
      </c>
      <c r="AB20" s="28">
        <v>0</v>
      </c>
      <c r="AC20" s="10">
        <f>Tableau3[[#This Row],[HJ Dev]]*(50%+25%)</f>
        <v>0</v>
      </c>
      <c r="AD20" s="28">
        <f>Tableau3[[#This Row],[HJ Dev]]+Tableau3[[#This Row],[HJ Analyse et test]]</f>
        <v>0</v>
      </c>
    </row>
    <row r="21" spans="2:30" s="10" customFormat="1" ht="170.55" customHeight="1" x14ac:dyDescent="0.25">
      <c r="B21" s="24" t="s">
        <v>62</v>
      </c>
      <c r="C21" s="24" t="s">
        <v>141</v>
      </c>
      <c r="D21" s="24" t="s">
        <v>47</v>
      </c>
      <c r="E21" s="24" t="s">
        <v>48</v>
      </c>
      <c r="F21" s="24" t="s">
        <v>49</v>
      </c>
      <c r="G21" s="26" t="s">
        <v>203</v>
      </c>
      <c r="H21" s="24"/>
      <c r="I21" s="26" t="s">
        <v>152</v>
      </c>
      <c r="J21" s="26"/>
      <c r="K21" s="26" t="s">
        <v>51</v>
      </c>
      <c r="L21" s="24"/>
      <c r="M21" s="24"/>
      <c r="N21" s="24"/>
      <c r="O21" s="24"/>
      <c r="P21" s="10" t="e">
        <f>[1]!Tableau32[[#This Row],[HJ Dev]]*(25%+25%)</f>
        <v>#REF!</v>
      </c>
      <c r="Q21" s="10" t="e">
        <f>[1]!Tableau32[[#This Row],[HJ Analyse et test]]+[1]!Tableau32[[#This Row],[HJ Dev]]</f>
        <v>#REF!</v>
      </c>
      <c r="R21" s="10" t="e">
        <f>[1]!Tableau32[[#This Row],[Total HJ]]*8</f>
        <v>#REF!</v>
      </c>
      <c r="Z21" s="10" t="s">
        <v>52</v>
      </c>
      <c r="AA21" s="10" t="s">
        <v>103</v>
      </c>
      <c r="AB21" s="28">
        <v>2</v>
      </c>
      <c r="AC21" s="10">
        <f>Tableau3[[#This Row],[HJ Dev]]*(50%+25%)</f>
        <v>1.5</v>
      </c>
      <c r="AD21" s="28">
        <f>Tableau3[[#This Row],[HJ Dev]]+Tableau3[[#This Row],[HJ Analyse et test]]</f>
        <v>3.5</v>
      </c>
    </row>
    <row r="22" spans="2:30" s="10" customFormat="1" ht="99" customHeight="1" x14ac:dyDescent="0.25">
      <c r="B22" s="24" t="s">
        <v>63</v>
      </c>
      <c r="C22" s="24" t="s">
        <v>143</v>
      </c>
      <c r="D22" s="24" t="s">
        <v>47</v>
      </c>
      <c r="E22" s="24" t="s">
        <v>48</v>
      </c>
      <c r="F22" s="24" t="s">
        <v>49</v>
      </c>
      <c r="G22" s="26" t="s">
        <v>143</v>
      </c>
      <c r="H22" s="24"/>
      <c r="I22" s="26" t="s">
        <v>142</v>
      </c>
      <c r="J22" s="26" t="s">
        <v>185</v>
      </c>
      <c r="K22" s="26" t="s">
        <v>51</v>
      </c>
      <c r="L22" s="24"/>
      <c r="M22" s="24"/>
      <c r="N22" s="24"/>
      <c r="O22" s="24"/>
      <c r="P22" s="10" t="e">
        <f>[1]!Tableau32[[#This Row],[HJ Dev]]*(25%+25%)</f>
        <v>#REF!</v>
      </c>
      <c r="Q22" s="10" t="e">
        <f>[1]!Tableau32[[#This Row],[HJ Analyse et test]]+[1]!Tableau32[[#This Row],[HJ Dev]]</f>
        <v>#REF!</v>
      </c>
      <c r="R22" s="10" t="e">
        <f>[1]!Tableau32[[#This Row],[Total HJ]]*8</f>
        <v>#REF!</v>
      </c>
      <c r="Z22" s="10" t="s">
        <v>52</v>
      </c>
      <c r="AA22" s="10" t="s">
        <v>103</v>
      </c>
      <c r="AB22" s="28">
        <v>8</v>
      </c>
      <c r="AC22" s="10">
        <f>Tableau3[[#This Row],[HJ Dev]]*(50%+25%)</f>
        <v>6</v>
      </c>
      <c r="AD22" s="28">
        <f>Tableau3[[#This Row],[HJ Dev]]+Tableau3[[#This Row],[HJ Analyse et test]]</f>
        <v>14</v>
      </c>
    </row>
    <row r="23" spans="2:30" s="10" customFormat="1" ht="274.95" customHeight="1" x14ac:dyDescent="0.25">
      <c r="B23" s="24" t="s">
        <v>64</v>
      </c>
      <c r="C23" s="24" t="s">
        <v>161</v>
      </c>
      <c r="D23" s="24" t="s">
        <v>47</v>
      </c>
      <c r="E23" s="24" t="s">
        <v>48</v>
      </c>
      <c r="F23" s="24" t="s">
        <v>49</v>
      </c>
      <c r="G23" s="26" t="s">
        <v>198</v>
      </c>
      <c r="H23" s="24"/>
      <c r="I23" s="26" t="s">
        <v>199</v>
      </c>
      <c r="J23" s="26"/>
      <c r="K23" s="26" t="s">
        <v>51</v>
      </c>
      <c r="L23" s="24"/>
      <c r="M23" s="24"/>
      <c r="N23" s="24"/>
      <c r="O23" s="24"/>
      <c r="P23" s="10" t="e">
        <f>[1]!Tableau32[[#This Row],[HJ Dev]]*(25%+25%)</f>
        <v>#REF!</v>
      </c>
      <c r="Q23" s="10" t="e">
        <f>[1]!Tableau32[[#This Row],[HJ Analyse et test]]+[1]!Tableau32[[#This Row],[HJ Dev]]</f>
        <v>#REF!</v>
      </c>
      <c r="R23" s="10" t="e">
        <f>[1]!Tableau32[[#This Row],[Total HJ]]*8</f>
        <v>#REF!</v>
      </c>
      <c r="Z23" s="10" t="s">
        <v>52</v>
      </c>
      <c r="AA23" s="10" t="s">
        <v>103</v>
      </c>
      <c r="AB23" s="28">
        <v>30</v>
      </c>
      <c r="AC23" s="10">
        <f>Tableau3[[#This Row],[HJ Dev]]*(50%+25%)</f>
        <v>22.5</v>
      </c>
      <c r="AD23" s="28">
        <f>Tableau3[[#This Row],[HJ Dev]]+Tableau3[[#This Row],[HJ Analyse et test]]</f>
        <v>52.5</v>
      </c>
    </row>
    <row r="24" spans="2:30" s="10" customFormat="1" ht="84" customHeight="1" x14ac:dyDescent="0.25">
      <c r="B24" s="24" t="s">
        <v>65</v>
      </c>
      <c r="C24" s="24" t="s">
        <v>162</v>
      </c>
      <c r="D24" s="24" t="s">
        <v>47</v>
      </c>
      <c r="E24" s="24" t="s">
        <v>48</v>
      </c>
      <c r="F24" s="24" t="s">
        <v>49</v>
      </c>
      <c r="G24" s="26" t="s">
        <v>144</v>
      </c>
      <c r="H24" s="24"/>
      <c r="I24" s="26" t="s">
        <v>186</v>
      </c>
      <c r="J24" s="26"/>
      <c r="K24" s="26" t="s">
        <v>51</v>
      </c>
      <c r="L24" s="24"/>
      <c r="M24" s="24"/>
      <c r="N24" s="24"/>
      <c r="O24" s="24"/>
      <c r="P24" s="24" t="e">
        <f>[1]!Tableau32[[#This Row],[HJ Dev]]*(25%+25%)</f>
        <v>#REF!</v>
      </c>
      <c r="Q24" s="24" t="e">
        <f>[1]!Tableau32[[#This Row],[HJ Analyse et test]]+[1]!Tableau32[[#This Row],[HJ Dev]]</f>
        <v>#REF!</v>
      </c>
      <c r="R24" s="24" t="e">
        <f>[1]!Tableau32[[#This Row],[Total HJ]]*8</f>
        <v>#REF!</v>
      </c>
      <c r="Z24" s="10" t="s">
        <v>52</v>
      </c>
      <c r="AA24" s="10" t="s">
        <v>103</v>
      </c>
      <c r="AB24" s="28">
        <v>4</v>
      </c>
      <c r="AC24" s="10">
        <f>Tableau3[[#This Row],[HJ Dev]]*(50%+25%)</f>
        <v>3</v>
      </c>
      <c r="AD24" s="28">
        <f>Tableau3[[#This Row],[HJ Dev]]+Tableau3[[#This Row],[HJ Analyse et test]]</f>
        <v>7</v>
      </c>
    </row>
    <row r="25" spans="2:30" s="10" customFormat="1" ht="84" customHeight="1" x14ac:dyDescent="0.25">
      <c r="B25" s="24" t="s">
        <v>66</v>
      </c>
      <c r="C25" s="24" t="s">
        <v>145</v>
      </c>
      <c r="D25" s="24" t="s">
        <v>47</v>
      </c>
      <c r="E25" s="24" t="s">
        <v>48</v>
      </c>
      <c r="F25" s="24" t="s">
        <v>49</v>
      </c>
      <c r="G25" s="26" t="s">
        <v>163</v>
      </c>
      <c r="H25" s="24"/>
      <c r="I25" s="26" t="s">
        <v>146</v>
      </c>
      <c r="J25" s="26"/>
      <c r="K25" s="26" t="s">
        <v>51</v>
      </c>
      <c r="L25" s="24"/>
      <c r="M25" s="24"/>
      <c r="N25" s="24"/>
      <c r="O25" s="24"/>
      <c r="P25" s="24" t="e">
        <f>[1]!Tableau32[[#This Row],[HJ Dev]]*(25%+25%)</f>
        <v>#REF!</v>
      </c>
      <c r="Q25" s="24" t="e">
        <f>[1]!Tableau32[[#This Row],[HJ Analyse et test]]+[1]!Tableau32[[#This Row],[HJ Dev]]</f>
        <v>#REF!</v>
      </c>
      <c r="R25" s="24" t="e">
        <f>[1]!Tableau32[[#This Row],[Total HJ]]*8</f>
        <v>#REF!</v>
      </c>
      <c r="Z25" s="10" t="s">
        <v>52</v>
      </c>
      <c r="AA25" s="10" t="s">
        <v>103</v>
      </c>
      <c r="AB25" s="28">
        <v>3</v>
      </c>
      <c r="AC25" s="10">
        <f>Tableau3[[#This Row],[HJ Dev]]*(50%+25%)</f>
        <v>2.25</v>
      </c>
      <c r="AD25" s="28">
        <f>Tableau3[[#This Row],[HJ Dev]]+Tableau3[[#This Row],[HJ Analyse et test]]</f>
        <v>5.25</v>
      </c>
    </row>
    <row r="26" spans="2:30" s="10" customFormat="1" ht="84" customHeight="1" x14ac:dyDescent="0.25">
      <c r="B26" s="24" t="s">
        <v>67</v>
      </c>
      <c r="C26" s="24" t="s">
        <v>164</v>
      </c>
      <c r="D26" s="24" t="s">
        <v>47</v>
      </c>
      <c r="E26" s="24" t="s">
        <v>48</v>
      </c>
      <c r="F26" s="24" t="s">
        <v>49</v>
      </c>
      <c r="G26" s="26" t="s">
        <v>165</v>
      </c>
      <c r="H26" s="24"/>
      <c r="I26" s="26" t="s">
        <v>187</v>
      </c>
      <c r="J26" s="26"/>
      <c r="K26" s="26" t="s">
        <v>51</v>
      </c>
      <c r="L26" s="24"/>
      <c r="M26" s="24"/>
      <c r="N26" s="24"/>
      <c r="O26" s="24"/>
      <c r="P26" s="24" t="e">
        <f>[1]!Tableau32[[#This Row],[HJ Dev]]*(25%+25%)</f>
        <v>#REF!</v>
      </c>
      <c r="Q26" s="24" t="e">
        <f>[1]!Tableau32[[#This Row],[HJ Analyse et test]]+[1]!Tableau32[[#This Row],[HJ Dev]]</f>
        <v>#REF!</v>
      </c>
      <c r="R26" s="24" t="e">
        <f>[1]!Tableau32[[#This Row],[Total HJ]]*8</f>
        <v>#REF!</v>
      </c>
      <c r="Z26" s="10" t="s">
        <v>52</v>
      </c>
      <c r="AA26" s="10" t="s">
        <v>103</v>
      </c>
      <c r="AB26" s="28">
        <v>4</v>
      </c>
      <c r="AC26" s="10">
        <f>Tableau3[[#This Row],[HJ Dev]]*(50%+25%)</f>
        <v>3</v>
      </c>
      <c r="AD26" s="28">
        <f>Tableau3[[#This Row],[HJ Dev]]+Tableau3[[#This Row],[HJ Analyse et test]]</f>
        <v>7</v>
      </c>
    </row>
    <row r="27" spans="2:30" s="10" customFormat="1" ht="84" customHeight="1" x14ac:dyDescent="0.25">
      <c r="B27" s="24" t="s">
        <v>68</v>
      </c>
      <c r="C27" s="24" t="s">
        <v>147</v>
      </c>
      <c r="D27" s="24" t="s">
        <v>47</v>
      </c>
      <c r="E27" s="24" t="s">
        <v>48</v>
      </c>
      <c r="F27" s="24" t="s">
        <v>49</v>
      </c>
      <c r="G27" s="26" t="s">
        <v>148</v>
      </c>
      <c r="H27" s="24"/>
      <c r="I27" s="26" t="s">
        <v>188</v>
      </c>
      <c r="J27" s="26"/>
      <c r="K27" s="26" t="s">
        <v>51</v>
      </c>
      <c r="L27" s="24"/>
      <c r="M27" s="24"/>
      <c r="N27" s="24"/>
      <c r="O27" s="24"/>
      <c r="P27" s="24" t="e">
        <f>[1]!Tableau32[[#This Row],[HJ Dev]]*(25%+25%)</f>
        <v>#REF!</v>
      </c>
      <c r="Q27" s="24" t="e">
        <f>[1]!Tableau32[[#This Row],[HJ Analyse et test]]+[1]!Tableau32[[#This Row],[HJ Dev]]</f>
        <v>#REF!</v>
      </c>
      <c r="R27" s="24" t="e">
        <f>[1]!Tableau32[[#This Row],[Total HJ]]*8</f>
        <v>#REF!</v>
      </c>
      <c r="Z27" s="10" t="s">
        <v>52</v>
      </c>
      <c r="AA27" s="10" t="s">
        <v>103</v>
      </c>
      <c r="AB27" s="28">
        <v>5</v>
      </c>
      <c r="AC27" s="10">
        <f>Tableau3[[#This Row],[HJ Dev]]*(50%+25%)</f>
        <v>3.75</v>
      </c>
      <c r="AD27" s="28">
        <f>Tableau3[[#This Row],[HJ Dev]]+Tableau3[[#This Row],[HJ Analyse et test]]</f>
        <v>8.75</v>
      </c>
    </row>
    <row r="28" spans="2:30" s="10" customFormat="1" ht="84" customHeight="1" x14ac:dyDescent="0.25">
      <c r="B28" s="24" t="s">
        <v>69</v>
      </c>
      <c r="C28" s="24" t="s">
        <v>189</v>
      </c>
      <c r="D28" s="24" t="s">
        <v>47</v>
      </c>
      <c r="E28" s="24" t="s">
        <v>48</v>
      </c>
      <c r="F28" s="24" t="s">
        <v>49</v>
      </c>
      <c r="G28" s="26" t="s">
        <v>150</v>
      </c>
      <c r="H28" s="24"/>
      <c r="I28" s="26" t="s">
        <v>190</v>
      </c>
      <c r="J28" s="26" t="s">
        <v>191</v>
      </c>
      <c r="K28" s="26" t="s">
        <v>51</v>
      </c>
      <c r="L28" s="24"/>
      <c r="M28" s="24"/>
      <c r="N28" s="24"/>
      <c r="O28" s="24"/>
      <c r="P28" s="24" t="e">
        <f>[1]!Tableau32[[#This Row],[HJ Dev]]*(25%+25%)</f>
        <v>#REF!</v>
      </c>
      <c r="Q28" s="24" t="e">
        <f>[1]!Tableau32[[#This Row],[HJ Analyse et test]]+[1]!Tableau32[[#This Row],[HJ Dev]]</f>
        <v>#REF!</v>
      </c>
      <c r="R28" s="24" t="e">
        <f>[1]!Tableau32[[#This Row],[Total HJ]]*8</f>
        <v>#REF!</v>
      </c>
      <c r="Z28" s="10" t="s">
        <v>52</v>
      </c>
      <c r="AA28" s="10" t="s">
        <v>103</v>
      </c>
      <c r="AB28" s="28">
        <v>5</v>
      </c>
      <c r="AC28" s="10">
        <f>Tableau3[[#This Row],[HJ Dev]]*(50%+25%)</f>
        <v>3.75</v>
      </c>
      <c r="AD28" s="28">
        <f>Tableau3[[#This Row],[HJ Dev]]+Tableau3[[#This Row],[HJ Analyse et test]]</f>
        <v>8.75</v>
      </c>
    </row>
    <row r="29" spans="2:30" s="10" customFormat="1" ht="84" customHeight="1" x14ac:dyDescent="0.25">
      <c r="B29" s="24" t="s">
        <v>70</v>
      </c>
      <c r="C29" s="24" t="s">
        <v>192</v>
      </c>
      <c r="D29" s="24" t="s">
        <v>47</v>
      </c>
      <c r="E29" s="24" t="s">
        <v>48</v>
      </c>
      <c r="F29" s="24" t="s">
        <v>49</v>
      </c>
      <c r="G29" s="26" t="s">
        <v>193</v>
      </c>
      <c r="H29" s="24"/>
      <c r="I29" s="26" t="s">
        <v>194</v>
      </c>
      <c r="J29" s="26"/>
      <c r="K29" s="26" t="s">
        <v>51</v>
      </c>
      <c r="L29" s="24"/>
      <c r="M29" s="24"/>
      <c r="N29" s="24"/>
      <c r="O29" s="24"/>
      <c r="P29" s="24" t="e">
        <f>[1]!Tableau32[[#This Row],[HJ Dev]]*(25%+25%)</f>
        <v>#REF!</v>
      </c>
      <c r="Q29" s="24" t="e">
        <f>[1]!Tableau32[[#This Row],[HJ Analyse et test]]+[1]!Tableau32[[#This Row],[HJ Dev]]</f>
        <v>#REF!</v>
      </c>
      <c r="R29" s="24" t="e">
        <f>[1]!Tableau32[[#This Row],[Total HJ]]*8</f>
        <v>#REF!</v>
      </c>
      <c r="Z29" s="10" t="s">
        <v>52</v>
      </c>
      <c r="AA29" s="10" t="s">
        <v>103</v>
      </c>
      <c r="AB29" s="28">
        <v>0</v>
      </c>
      <c r="AC29" s="10">
        <f>Tableau3[[#This Row],[HJ Dev]]*(50%+25%)</f>
        <v>0</v>
      </c>
      <c r="AD29" s="28">
        <f>Tableau3[[#This Row],[HJ Dev]]+Tableau3[[#This Row],[HJ Analyse et test]]</f>
        <v>0</v>
      </c>
    </row>
    <row r="30" spans="2:30" s="10" customFormat="1" ht="84" customHeight="1" x14ac:dyDescent="0.25">
      <c r="B30" s="24" t="s">
        <v>71</v>
      </c>
      <c r="C30" s="24" t="s">
        <v>200</v>
      </c>
      <c r="D30" s="24" t="s">
        <v>47</v>
      </c>
      <c r="E30" s="24" t="s">
        <v>48</v>
      </c>
      <c r="F30" s="24" t="s">
        <v>49</v>
      </c>
      <c r="G30" s="26" t="s">
        <v>201</v>
      </c>
      <c r="H30" s="24"/>
      <c r="I30" s="26" t="s">
        <v>202</v>
      </c>
      <c r="J30" s="26"/>
      <c r="K30" s="26"/>
      <c r="L30" s="24"/>
      <c r="M30" s="24"/>
      <c r="N30" s="24"/>
      <c r="O30" s="24"/>
      <c r="P30" s="10" t="e">
        <f>[1]!Tableau32[[#This Row],[HJ Dev]]*(25%+25%)</f>
        <v>#REF!</v>
      </c>
      <c r="Q30" s="10" t="e">
        <f>[1]!Tableau32[[#This Row],[HJ Analyse et test]]+[1]!Tableau32[[#This Row],[HJ Dev]]</f>
        <v>#REF!</v>
      </c>
      <c r="R30" s="10" t="e">
        <f>[1]!Tableau32[[#This Row],[Total HJ]]*8</f>
        <v>#REF!</v>
      </c>
      <c r="AB30" s="28">
        <v>5</v>
      </c>
      <c r="AC30" s="10">
        <f>Tableau3[[#This Row],[HJ Dev]]*(50%+25%)</f>
        <v>3.75</v>
      </c>
      <c r="AD30" s="28">
        <f>Tableau3[[#This Row],[HJ Dev]]+Tableau3[[#This Row],[HJ Analyse et test]]</f>
        <v>8.75</v>
      </c>
    </row>
    <row r="31" spans="2:30" s="10" customFormat="1" ht="238.95" customHeight="1" x14ac:dyDescent="0.25">
      <c r="B31" s="24" t="s">
        <v>72</v>
      </c>
      <c r="C31" s="29" t="s">
        <v>149</v>
      </c>
      <c r="D31" s="24" t="s">
        <v>47</v>
      </c>
      <c r="E31" s="24" t="s">
        <v>48</v>
      </c>
      <c r="F31" s="24" t="s">
        <v>49</v>
      </c>
      <c r="G31" s="29" t="s">
        <v>166</v>
      </c>
      <c r="H31" s="29" t="s">
        <v>167</v>
      </c>
      <c r="I31" s="26" t="s">
        <v>195</v>
      </c>
      <c r="J31" s="26"/>
      <c r="K31" s="26" t="s">
        <v>51</v>
      </c>
      <c r="L31" s="24"/>
      <c r="M31" s="24"/>
      <c r="N31" s="24"/>
      <c r="O31" s="24"/>
      <c r="P31" s="10" t="e">
        <f>[1]!Tableau32[[#This Row],[HJ Dev]]*(25%+25%)</f>
        <v>#REF!</v>
      </c>
      <c r="Q31" s="10" t="e">
        <f>[1]!Tableau32[[#This Row],[HJ Analyse et test]]+[1]!Tableau32[[#This Row],[HJ Dev]]</f>
        <v>#REF!</v>
      </c>
      <c r="R31" s="10" t="e">
        <f>[1]!Tableau32[[#This Row],[Total HJ]]*8</f>
        <v>#REF!</v>
      </c>
      <c r="Z31" s="10" t="s">
        <v>52</v>
      </c>
      <c r="AA31" s="10" t="s">
        <v>103</v>
      </c>
      <c r="AB31" s="28">
        <v>8</v>
      </c>
      <c r="AC31" s="10">
        <f>Tableau3[[#This Row],[HJ Dev]]*(50%+25%)</f>
        <v>6</v>
      </c>
      <c r="AD31" s="28">
        <f>Tableau3[[#This Row],[HJ Dev]]+Tableau3[[#This Row],[HJ Analyse et test]]</f>
        <v>14</v>
      </c>
    </row>
    <row r="32" spans="2:30" s="10" customFormat="1" ht="110.55" customHeight="1" x14ac:dyDescent="0.25">
      <c r="B32" s="24" t="s">
        <v>73</v>
      </c>
      <c r="C32" s="29" t="s">
        <v>153</v>
      </c>
      <c r="D32" s="24" t="s">
        <v>47</v>
      </c>
      <c r="E32" s="24" t="s">
        <v>48</v>
      </c>
      <c r="F32" s="24" t="s">
        <v>49</v>
      </c>
      <c r="G32" s="29" t="s">
        <v>168</v>
      </c>
      <c r="H32" s="29"/>
      <c r="I32" s="29" t="s">
        <v>169</v>
      </c>
      <c r="J32" s="26"/>
      <c r="K32" s="26" t="s">
        <v>51</v>
      </c>
      <c r="L32" s="24"/>
      <c r="M32" s="24"/>
      <c r="N32" s="24"/>
      <c r="O32" s="24"/>
      <c r="P32" s="10" t="e">
        <f>[1]!Tableau32[[#This Row],[HJ Dev]]*(25%+25%)</f>
        <v>#REF!</v>
      </c>
      <c r="Q32" s="10" t="e">
        <f>[1]!Tableau32[[#This Row],[HJ Analyse et test]]+[1]!Tableau32[[#This Row],[HJ Dev]]</f>
        <v>#REF!</v>
      </c>
      <c r="R32" s="10" t="e">
        <f>[1]!Tableau32[[#This Row],[Total HJ]]*8</f>
        <v>#REF!</v>
      </c>
      <c r="Z32" s="10" t="s">
        <v>52</v>
      </c>
      <c r="AA32" s="10" t="s">
        <v>103</v>
      </c>
      <c r="AB32" s="28">
        <v>5</v>
      </c>
      <c r="AC32" s="10">
        <f>Tableau3[[#This Row],[HJ Dev]]*(50%+25%)</f>
        <v>3.75</v>
      </c>
      <c r="AD32" s="28">
        <f>Tableau3[[#This Row],[HJ Dev]]+Tableau3[[#This Row],[HJ Analyse et test]]</f>
        <v>8.75</v>
      </c>
    </row>
    <row r="33" spans="2:36" s="10" customFormat="1" ht="97.05" customHeight="1" x14ac:dyDescent="0.25">
      <c r="B33" s="24" t="s">
        <v>74</v>
      </c>
      <c r="C33" s="29" t="s">
        <v>154</v>
      </c>
      <c r="D33" s="24" t="s">
        <v>47</v>
      </c>
      <c r="E33" s="24" t="s">
        <v>48</v>
      </c>
      <c r="F33" s="24" t="s">
        <v>49</v>
      </c>
      <c r="G33" s="29" t="s">
        <v>151</v>
      </c>
      <c r="H33" s="29"/>
      <c r="I33" s="26" t="s">
        <v>170</v>
      </c>
      <c r="J33" s="26"/>
      <c r="K33" s="26" t="s">
        <v>51</v>
      </c>
      <c r="L33" s="24"/>
      <c r="M33" s="24"/>
      <c r="N33" s="24"/>
      <c r="O33" s="24"/>
      <c r="P33" s="24" t="e">
        <f>[1]!Tableau32[[#This Row],[HJ Dev]]*(25%+25%)</f>
        <v>#REF!</v>
      </c>
      <c r="Q33" s="24" t="e">
        <f>[1]!Tableau32[[#This Row],[HJ Analyse et test]]+[1]!Tableau32[[#This Row],[HJ Dev]]</f>
        <v>#REF!</v>
      </c>
      <c r="R33" s="24" t="e">
        <f>[1]!Tableau32[[#This Row],[Total HJ]]*8</f>
        <v>#REF!</v>
      </c>
      <c r="Z33" s="10" t="s">
        <v>52</v>
      </c>
      <c r="AA33" s="10" t="s">
        <v>103</v>
      </c>
      <c r="AB33" s="28">
        <v>5</v>
      </c>
      <c r="AC33" s="10">
        <f>Tableau3[[#This Row],[HJ Dev]]*(50%+25%)</f>
        <v>3.75</v>
      </c>
      <c r="AD33" s="28">
        <f>Tableau3[[#This Row],[HJ Dev]]+Tableau3[[#This Row],[HJ Analyse et test]]</f>
        <v>8.75</v>
      </c>
    </row>
    <row r="34" spans="2:36" x14ac:dyDescent="0.3">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f>SUBTOTAL(109,AB13:AB33)</f>
        <v>97</v>
      </c>
      <c r="AC34" s="10">
        <f>SUBTOTAL(109,AC13:AC33)</f>
        <v>72.75</v>
      </c>
      <c r="AD34" s="25">
        <f>SUBTOTAL(109,AD13:AD33)</f>
        <v>169.75</v>
      </c>
      <c r="AE34" s="10"/>
      <c r="AF34" s="10"/>
      <c r="AG34" s="10"/>
      <c r="AH34" s="10"/>
      <c r="AI34" s="10"/>
      <c r="AJ34" s="10"/>
    </row>
  </sheetData>
  <mergeCells count="6">
    <mergeCell ref="AE2:AJ2"/>
    <mergeCell ref="B2:AA2"/>
    <mergeCell ref="D5:I5"/>
    <mergeCell ref="AB2:AD2"/>
    <mergeCell ref="D6:E6"/>
    <mergeCell ref="B3:D4"/>
  </mergeCells>
  <phoneticPr fontId="2" type="noConversion"/>
  <dataValidations count="2">
    <dataValidation type="decimal" operator="greaterThanOrEqual" allowBlank="1" showInputMessage="1" showErrorMessage="1" sqref="AC13:AD13 AB13:AB33" xr:uid="{AE768ACE-E087-44E4-A709-BFAF8B9446F7}">
      <formula1>0</formula1>
    </dataValidation>
    <dataValidation type="whole" operator="greaterThanOrEqual" allowBlank="1" showInputMessage="1" showErrorMessage="1" sqref="O13:R33 AD14:AD33"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D13:D33</xm:sqref>
        </x14:dataValidation>
        <x14:dataValidation type="list" allowBlank="1" showInputMessage="1" showErrorMessage="1" xr:uid="{9D4ED8CA-0432-41F4-A501-C44532B178DB}">
          <x14:formula1>
            <xm:f>Params!$H$14:$H$19</xm:f>
          </x14:formula1>
          <xm:sqref>E13:E33</xm:sqref>
        </x14:dataValidation>
        <x14:dataValidation type="list" allowBlank="1" showInputMessage="1" showErrorMessage="1" xr:uid="{FA978F80-7E5C-424E-9777-F280C57E27CC}">
          <x14:formula1>
            <xm:f>Params!$C$3:$C$7</xm:f>
          </x14:formula1>
          <xm:sqref>F13:F33</xm:sqref>
        </x14:dataValidation>
        <x14:dataValidation type="list" allowBlank="1" showInputMessage="1" showErrorMessage="1" xr:uid="{EEAE817C-A869-4F83-BC36-7B714A6F7B15}">
          <x14:formula1>
            <xm:f>Params!$G$3:$G$4</xm:f>
          </x14:formula1>
          <xm:sqref>K13:K33</xm:sqref>
        </x14:dataValidation>
        <x14:dataValidation type="list" allowBlank="1" showInputMessage="1" showErrorMessage="1" xr:uid="{79A4A5D3-E1BF-45F6-A99A-067585AB9CB9}">
          <x14:formula1>
            <xm:f>Params!$F$3:$F$4</xm:f>
          </x14:formula1>
          <xm:sqref>AA13:AA33</xm:sqref>
        </x14:dataValidation>
        <x14:dataValidation type="list" allowBlank="1" showInputMessage="1" showErrorMessage="1" xr:uid="{1F2CF1C1-BE35-4DC9-A975-F49F788F3D6A}">
          <x14:formula1>
            <xm:f>Params!$G$3:$G$6</xm:f>
          </x14:formula1>
          <xm:sqref>S13:Y33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C9" sqref="C9"/>
    </sheetView>
  </sheetViews>
  <sheetFormatPr baseColWidth="10" defaultColWidth="11.44140625" defaultRowHeight="14.4" x14ac:dyDescent="0.3"/>
  <cols>
    <col min="1" max="1" width="16.5546875" style="2" customWidth="1"/>
    <col min="2" max="2" width="19.5546875" style="2" customWidth="1"/>
    <col min="3" max="3" width="11.44140625" style="2"/>
    <col min="4" max="4" width="67.77734375" style="2" customWidth="1"/>
    <col min="5" max="5" width="15.77734375" style="2" customWidth="1"/>
    <col min="6" max="6" width="21.21875" style="2" customWidth="1"/>
    <col min="7" max="7" width="16.5546875" style="2" customWidth="1"/>
    <col min="8" max="16384" width="11.44140625" style="2"/>
  </cols>
  <sheetData>
    <row r="2" spans="1:7" ht="15" thickBot="1" x14ac:dyDescent="0.35"/>
    <row r="3" spans="1:7" ht="24" customHeight="1" thickBot="1" x14ac:dyDescent="0.35">
      <c r="A3" s="2" t="s">
        <v>75</v>
      </c>
      <c r="B3" s="45" t="s">
        <v>0</v>
      </c>
      <c r="C3" s="46"/>
      <c r="D3" s="46"/>
      <c r="E3" s="46"/>
      <c r="F3" s="46"/>
      <c r="G3" s="47"/>
    </row>
    <row r="4" spans="1:7" x14ac:dyDescent="0.3">
      <c r="B4" s="4"/>
      <c r="C4" s="5"/>
      <c r="D4" s="5"/>
      <c r="E4" s="5"/>
      <c r="F4" s="5"/>
      <c r="G4" s="5"/>
    </row>
    <row r="5" spans="1:7" x14ac:dyDescent="0.3">
      <c r="B5" s="4" t="str">
        <f>'Gestion Exigences'!C5</f>
        <v>Client</v>
      </c>
      <c r="C5" s="13" t="str">
        <f>'Gestion Exigences'!D5</f>
        <v>COGITEL</v>
      </c>
      <c r="D5" s="5"/>
      <c r="E5" s="5"/>
      <c r="F5" s="5"/>
      <c r="G5" s="5"/>
    </row>
    <row r="6" spans="1:7" x14ac:dyDescent="0.3">
      <c r="B6" s="4" t="str">
        <f>'Gestion Exigences'!C6</f>
        <v>Projet</v>
      </c>
      <c r="C6" s="13" t="str">
        <f>'Gestion Exigences'!D6</f>
        <v>Digitalisation Atelier Découpe</v>
      </c>
      <c r="D6" s="5"/>
      <c r="E6" s="5"/>
      <c r="F6" s="5"/>
      <c r="G6" s="5"/>
    </row>
    <row r="7" spans="1:7" x14ac:dyDescent="0.3">
      <c r="B7" s="4" t="str">
        <f>'Gestion Exigences'!C7</f>
        <v>Réf BPA du Devis</v>
      </c>
      <c r="C7" s="13">
        <f>'Gestion Exigences'!D7</f>
        <v>0</v>
      </c>
      <c r="D7" s="5"/>
      <c r="E7" s="5"/>
      <c r="F7" s="5"/>
      <c r="G7" s="5"/>
    </row>
    <row r="8" spans="1:7" x14ac:dyDescent="0.3">
      <c r="B8" s="4" t="str">
        <f>'Gestion Exigences'!C8</f>
        <v>Réf BPA du Projet</v>
      </c>
      <c r="C8" s="13">
        <f>'Gestion Exigences'!D8</f>
        <v>0</v>
      </c>
      <c r="D8" s="5"/>
      <c r="E8" s="5"/>
      <c r="F8" s="5"/>
      <c r="G8" s="5"/>
    </row>
    <row r="9" spans="1:7" x14ac:dyDescent="0.3">
      <c r="B9" s="12" t="str">
        <f>'Gestion Exigences'!C9</f>
        <v>Réf Modèle Document</v>
      </c>
      <c r="C9" s="14" t="str">
        <f>'Gestion Exigences'!D9</f>
        <v>MD203</v>
      </c>
      <c r="D9" s="5"/>
      <c r="E9" s="5"/>
      <c r="F9" s="5"/>
      <c r="G9" s="5"/>
    </row>
    <row r="10" spans="1:7" x14ac:dyDescent="0.3">
      <c r="B10" s="12" t="str">
        <f>'Gestion Exigences'!C10</f>
        <v>Version Modèle Document</v>
      </c>
      <c r="C10" s="14" t="str">
        <f>'Gestion Exigences'!D10</f>
        <v>V1.5</v>
      </c>
      <c r="D10" s="5"/>
      <c r="E10" s="5"/>
      <c r="F10" s="5"/>
      <c r="G10" s="5"/>
    </row>
    <row r="11" spans="1:7" x14ac:dyDescent="0.3">
      <c r="B11" s="4"/>
      <c r="C11" s="5"/>
      <c r="D11" s="5"/>
      <c r="E11" s="5"/>
      <c r="F11" s="5"/>
      <c r="G11" s="5"/>
    </row>
    <row r="12" spans="1:7" x14ac:dyDescent="0.3">
      <c r="B12" s="4"/>
      <c r="C12" s="5"/>
      <c r="D12" s="5"/>
      <c r="E12" s="5"/>
      <c r="F12" s="5"/>
      <c r="G12" s="5"/>
    </row>
    <row r="13" spans="1:7" x14ac:dyDescent="0.3">
      <c r="B13" s="15" t="s">
        <v>76</v>
      </c>
      <c r="C13" s="15" t="s">
        <v>77</v>
      </c>
      <c r="D13" s="15" t="s">
        <v>78</v>
      </c>
      <c r="E13" s="15" t="s">
        <v>79</v>
      </c>
      <c r="F13" s="15" t="s">
        <v>80</v>
      </c>
      <c r="G13" s="15" t="s">
        <v>81</v>
      </c>
    </row>
    <row r="14" spans="1:7" x14ac:dyDescent="0.3">
      <c r="B14" s="6" t="s">
        <v>82</v>
      </c>
      <c r="C14" s="7">
        <v>44741</v>
      </c>
      <c r="D14" s="21" t="s">
        <v>83</v>
      </c>
      <c r="E14" s="6" t="s">
        <v>84</v>
      </c>
      <c r="F14" s="20" t="s">
        <v>85</v>
      </c>
      <c r="G14" s="6" t="s">
        <v>86</v>
      </c>
    </row>
    <row r="15" spans="1:7" x14ac:dyDescent="0.3">
      <c r="B15" s="2" t="s">
        <v>87</v>
      </c>
      <c r="C15" s="23">
        <v>44978</v>
      </c>
      <c r="D15" s="2" t="s">
        <v>88</v>
      </c>
      <c r="E15" s="6" t="s">
        <v>84</v>
      </c>
      <c r="F15" s="2" t="s">
        <v>52</v>
      </c>
      <c r="G15" s="2" t="s">
        <v>86</v>
      </c>
    </row>
    <row r="16" spans="1:7" ht="57.6" x14ac:dyDescent="0.3">
      <c r="B16" s="2" t="s">
        <v>89</v>
      </c>
      <c r="C16" s="23">
        <v>45021</v>
      </c>
      <c r="D16" s="24" t="s">
        <v>90</v>
      </c>
      <c r="E16" s="6" t="s">
        <v>84</v>
      </c>
      <c r="F16" s="24" t="s">
        <v>91</v>
      </c>
      <c r="G16" s="24" t="s">
        <v>86</v>
      </c>
    </row>
  </sheetData>
  <mergeCells count="1">
    <mergeCell ref="B3:G3"/>
  </mergeCells>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I4" sqref="I4"/>
    </sheetView>
  </sheetViews>
  <sheetFormatPr baseColWidth="10" defaultColWidth="11.44140625" defaultRowHeight="13.8" x14ac:dyDescent="0.25"/>
  <cols>
    <col min="1" max="1" width="11.44140625" style="10"/>
    <col min="2" max="3" width="19.77734375" style="10" customWidth="1"/>
    <col min="4" max="4" width="21.5546875" style="10" customWidth="1"/>
    <col min="5" max="5" width="11.44140625" style="10"/>
    <col min="6" max="6" width="16.21875" style="10" customWidth="1"/>
    <col min="7" max="16384" width="11.44140625" style="10"/>
  </cols>
  <sheetData>
    <row r="2" spans="2:9" ht="27.6" x14ac:dyDescent="0.25">
      <c r="B2" s="11" t="s">
        <v>16</v>
      </c>
      <c r="C2" s="11" t="s">
        <v>92</v>
      </c>
      <c r="D2" s="11" t="s">
        <v>19</v>
      </c>
      <c r="E2" s="11" t="s">
        <v>93</v>
      </c>
      <c r="F2" s="11" t="s">
        <v>36</v>
      </c>
      <c r="G2" s="11" t="s">
        <v>94</v>
      </c>
      <c r="H2" s="11" t="s">
        <v>17</v>
      </c>
      <c r="I2" s="10" t="s">
        <v>135</v>
      </c>
    </row>
    <row r="3" spans="2:9" x14ac:dyDescent="0.25">
      <c r="B3" s="10" t="s">
        <v>47</v>
      </c>
      <c r="C3" s="10" t="s">
        <v>49</v>
      </c>
      <c r="D3" s="10" t="s">
        <v>95</v>
      </c>
      <c r="E3" s="10" t="s">
        <v>96</v>
      </c>
      <c r="F3" s="10" t="s">
        <v>97</v>
      </c>
      <c r="G3" s="10" t="s">
        <v>51</v>
      </c>
      <c r="H3" s="10" t="s">
        <v>98</v>
      </c>
      <c r="I3" s="10" t="s">
        <v>136</v>
      </c>
    </row>
    <row r="4" spans="2:9" ht="27.6" x14ac:dyDescent="0.25">
      <c r="B4" s="10" t="s">
        <v>99</v>
      </c>
      <c r="C4" s="10" t="s">
        <v>100</v>
      </c>
      <c r="D4" s="10" t="s">
        <v>101</v>
      </c>
      <c r="E4" s="10" t="s">
        <v>102</v>
      </c>
      <c r="F4" s="10" t="s">
        <v>103</v>
      </c>
      <c r="G4" s="10" t="s">
        <v>104</v>
      </c>
      <c r="H4" s="10" t="s">
        <v>105</v>
      </c>
      <c r="I4" s="10" t="s">
        <v>137</v>
      </c>
    </row>
    <row r="5" spans="2:9" ht="27.6" x14ac:dyDescent="0.25">
      <c r="B5" s="10" t="s">
        <v>106</v>
      </c>
      <c r="C5" s="10" t="s">
        <v>107</v>
      </c>
      <c r="D5" s="10" t="s">
        <v>50</v>
      </c>
      <c r="E5" s="10" t="s">
        <v>108</v>
      </c>
      <c r="H5" s="10" t="s">
        <v>109</v>
      </c>
    </row>
    <row r="6" spans="2:9" x14ac:dyDescent="0.25">
      <c r="B6" s="10" t="s">
        <v>110</v>
      </c>
      <c r="C6" s="10" t="s">
        <v>111</v>
      </c>
      <c r="D6" s="10" t="s">
        <v>112</v>
      </c>
      <c r="H6" s="10" t="s">
        <v>113</v>
      </c>
    </row>
    <row r="7" spans="2:9" x14ac:dyDescent="0.25">
      <c r="B7" s="10" t="s">
        <v>114</v>
      </c>
      <c r="C7" s="10" t="s">
        <v>115</v>
      </c>
      <c r="D7" s="10" t="s">
        <v>116</v>
      </c>
      <c r="H7" s="10" t="s">
        <v>117</v>
      </c>
    </row>
    <row r="8" spans="2:9" x14ac:dyDescent="0.25">
      <c r="B8" s="10" t="s">
        <v>118</v>
      </c>
      <c r="D8" s="10" t="s">
        <v>119</v>
      </c>
      <c r="H8" s="10" t="s">
        <v>120</v>
      </c>
    </row>
    <row r="9" spans="2:9" ht="27.6" x14ac:dyDescent="0.25">
      <c r="D9" s="10" t="s">
        <v>121</v>
      </c>
      <c r="H9" s="10" t="s">
        <v>122</v>
      </c>
    </row>
    <row r="10" spans="2:9" ht="27.6" x14ac:dyDescent="0.25">
      <c r="H10" s="10" t="s">
        <v>123</v>
      </c>
    </row>
    <row r="11" spans="2:9" x14ac:dyDescent="0.25">
      <c r="H11" s="10" t="s">
        <v>124</v>
      </c>
    </row>
    <row r="13" spans="2:9" x14ac:dyDescent="0.25">
      <c r="H13" s="10" t="s">
        <v>125</v>
      </c>
    </row>
    <row r="14" spans="2:9" x14ac:dyDescent="0.25">
      <c r="H14" s="10" t="s">
        <v>126</v>
      </c>
    </row>
    <row r="15" spans="2:9" ht="27.6" x14ac:dyDescent="0.25">
      <c r="H15" s="10" t="s">
        <v>48</v>
      </c>
    </row>
    <row r="16" spans="2:9" ht="41.4" x14ac:dyDescent="0.25">
      <c r="H16" s="10" t="s">
        <v>127</v>
      </c>
    </row>
    <row r="17" spans="8:8" ht="27.6" x14ac:dyDescent="0.25">
      <c r="H17" s="10" t="s">
        <v>55</v>
      </c>
    </row>
    <row r="18" spans="8:8" x14ac:dyDescent="0.25">
      <c r="H18" s="10" t="s">
        <v>128</v>
      </c>
    </row>
    <row r="19" spans="8:8" x14ac:dyDescent="0.25">
      <c r="H19" s="10" t="s">
        <v>129</v>
      </c>
    </row>
    <row r="21" spans="8:8" x14ac:dyDescent="0.25">
      <c r="H21" s="10" t="s">
        <v>130</v>
      </c>
    </row>
    <row r="22" spans="8:8" ht="41.4" x14ac:dyDescent="0.25">
      <c r="H22" s="10" t="s">
        <v>131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503822-DF13-4051-A489-72B75648E37A}">
  <ds:schemaRefs>
    <ds:schemaRef ds:uri="http://purl.org/dc/terms/"/>
    <ds:schemaRef ds:uri="http://purl.org/dc/elements/1.1/"/>
    <ds:schemaRef ds:uri="http://schemas.microsoft.com/office/infopath/2007/PartnerControls"/>
    <ds:schemaRef ds:uri="http://schemas.microsoft.com/office/2006/documentManagement/types"/>
    <ds:schemaRef ds:uri="5f2f9e80-f74a-40c7-b145-b94d8e4966f0"/>
    <ds:schemaRef ds:uri="http://purl.org/dc/dcmitype/"/>
    <ds:schemaRef ds:uri="http://schemas.microsoft.com/office/2006/metadata/properties"/>
    <ds:schemaRef ds:uri="http://schemas.openxmlformats.org/package/2006/metadata/core-properties"/>
    <ds:schemaRef ds:uri="43b908ec-9e92-424c-a4ad-3174bac6e888"/>
    <ds:schemaRef ds:uri="http://www.w3.org/XML/1998/namespace"/>
  </ds:schemaRefs>
</ds:datastoreItem>
</file>

<file path=customXml/itemProps2.xml><?xml version="1.0" encoding="utf-8"?>
<ds:datastoreItem xmlns:ds="http://schemas.openxmlformats.org/officeDocument/2006/customXml" ds:itemID="{1DCDC8E9-859E-419B-8E0F-B7A8477410CE}"/>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2024-10-28T16:36:42Z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