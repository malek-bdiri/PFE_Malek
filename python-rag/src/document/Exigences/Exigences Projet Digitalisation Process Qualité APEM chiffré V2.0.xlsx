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2"/>
  <workbookPr/>
  <mc:AlternateContent xmlns:mc="http://schemas.openxmlformats.org/markup-compatibility/2006">
    <mc:Choice Requires="x15">
      <x15ac:absPath xmlns:x15ac="http://schemas.microsoft.com/office/spreadsheetml/2010/11/ac" url="https://momsoftware.sharepoint.com/sites/Commercial/Documents partages/06 Prospects/021 APEM/20 Digitalisation Processus Qualité/2 Préparation Offre/"/>
    </mc:Choice>
  </mc:AlternateContent>
  <xr:revisionPtr revIDLastSave="366" documentId="8_{78DBCE08-C13D-4C8D-BF80-51DC72F6B9B0}" xr6:coauthVersionLast="47" xr6:coauthVersionMax="47" xr10:uidLastSave="{81272783-EC05-4612-9AA1-B4EC05EC3F3F}"/>
  <bookViews>
    <workbookView xWindow="-5775" yWindow="-16320" windowWidth="29040" windowHeight="15720" tabRatio="620" firstSheet="1"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Exigences'!$C$2:$I$18</definedName>
    <definedName name="_xlnm.Print_Area" localSheetId="2">'Modifs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7" l="1"/>
  <c r="O30" i="27"/>
  <c r="P30" i="27"/>
  <c r="O21" i="27"/>
  <c r="P21" i="27"/>
  <c r="O16" i="27"/>
  <c r="P16" i="27"/>
  <c r="O32" i="27"/>
  <c r="P32" i="27"/>
  <c r="O31" i="27"/>
  <c r="P31" i="27"/>
  <c r="O20" i="27"/>
  <c r="P20" i="27"/>
  <c r="O23" i="27"/>
  <c r="P23" i="27"/>
  <c r="O19" i="27"/>
  <c r="P19" i="27"/>
  <c r="O29" i="27"/>
  <c r="P29" i="27"/>
  <c r="O17" i="27"/>
  <c r="P17" i="27"/>
  <c r="O24" i="27"/>
  <c r="P24" i="27" s="1"/>
  <c r="O25" i="27"/>
  <c r="P25" i="27" s="1"/>
  <c r="O26" i="27"/>
  <c r="P26" i="27" s="1"/>
  <c r="O27" i="27"/>
  <c r="P27" i="27" s="1"/>
  <c r="O28" i="27"/>
  <c r="P28" i="27" s="1"/>
  <c r="O33" i="27"/>
  <c r="P33" i="27" s="1"/>
  <c r="O34" i="27"/>
  <c r="P34" i="27" s="1"/>
  <c r="O35" i="27"/>
  <c r="P35" i="27" s="1"/>
  <c r="O22" i="27"/>
  <c r="P22" i="27" s="1"/>
  <c r="O14" i="27"/>
  <c r="P14" i="27" s="1"/>
  <c r="O15" i="27"/>
  <c r="P15" i="27" s="1"/>
  <c r="O18" i="27"/>
  <c r="P18" i="27" s="1"/>
  <c r="D5" i="29"/>
  <c r="D6" i="29"/>
  <c r="D7" i="29"/>
  <c r="D8" i="29"/>
  <c r="C10" i="29"/>
  <c r="C11" i="29"/>
  <c r="B6" i="29"/>
  <c r="B7" i="29"/>
  <c r="B8" i="29"/>
  <c r="B10" i="29"/>
  <c r="B11" i="29"/>
  <c r="B5" i="29"/>
  <c r="P36" i="27" l="1"/>
</calcChain>
</file>

<file path=xl/sharedStrings.xml><?xml version="1.0" encoding="utf-8"?>
<sst xmlns="http://schemas.openxmlformats.org/spreadsheetml/2006/main" count="350" uniqueCount="192">
  <si>
    <t>Client</t>
  </si>
  <si>
    <t>Secteur</t>
  </si>
  <si>
    <t>Nombre de ligne de production</t>
  </si>
  <si>
    <t>Nombre de machine</t>
  </si>
  <si>
    <t>Nombre de poste manuel</t>
  </si>
  <si>
    <t>Gestion Exigences Projet</t>
  </si>
  <si>
    <t>Chiffrage Réalisation (SF only)</t>
  </si>
  <si>
    <t>Revue et Vérification Pendant la Conception</t>
  </si>
  <si>
    <t>BU</t>
  </si>
  <si>
    <t>SF</t>
  </si>
  <si>
    <t>APEM</t>
  </si>
  <si>
    <t>Projet</t>
  </si>
  <si>
    <t>Digitalisation du processus Qualité</t>
  </si>
  <si>
    <t>Réf BPA du Devis</t>
  </si>
  <si>
    <t>S0-00xyz</t>
  </si>
  <si>
    <t>Zone de saisie</t>
  </si>
  <si>
    <t>Réf BPA du Projet</t>
  </si>
  <si>
    <t>PR-22-0xyz</t>
  </si>
  <si>
    <t>Réf Modèle Document</t>
  </si>
  <si>
    <t>MD203</t>
  </si>
  <si>
    <t>Confidentiel | Usage Client Limité</t>
  </si>
  <si>
    <t>Version Modèle Document</t>
  </si>
  <si>
    <t>V1.5</t>
  </si>
  <si>
    <t>ID</t>
  </si>
  <si>
    <t>Intitulé de l'exigence</t>
  </si>
  <si>
    <t>Nature</t>
  </si>
  <si>
    <t>Catégorie</t>
  </si>
  <si>
    <t>Exigence idenfiée pendant la phase</t>
  </si>
  <si>
    <t>Description de l'exigence</t>
  </si>
  <si>
    <t>Source</t>
  </si>
  <si>
    <t>Desciption de la solution MOMSOFT</t>
  </si>
  <si>
    <t>Solution Proposée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</si>
  <si>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</si>
  <si>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</si>
  <si>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</si>
  <si>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</si>
  <si>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</si>
  <si>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</si>
  <si>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</si>
  <si>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</si>
  <si>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</si>
  <si>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</si>
  <si>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</si>
  <si>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</si>
  <si>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</si>
  <si>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Configuartion des données</t>
  </si>
  <si>
    <t>Fonctionnelle</t>
  </si>
  <si>
    <t>SF-Fonctionnelle</t>
  </si>
  <si>
    <t>Commerciale</t>
  </si>
  <si>
    <t>Configuration complète et gestion d'usine</t>
  </si>
  <si>
    <t>Workshop/réunion client</t>
  </si>
  <si>
    <t>Standard</t>
  </si>
  <si>
    <t>La solution propose un module "Configuartion" permettant la modélisation, la gestion et la planification d'une usine connectée :
• Modélisation hiérarchique de l'usine : sites, ateliers, lignes, postes, machines
• Gestion des produits
• Gestion des incidents et des défauts
• Gestion des utilisateurs et des autorisations : rôles et accès contrôlés
• Gestion des équipes
• Planification des lignes et des équipes</t>
  </si>
  <si>
    <t>Validée</t>
  </si>
  <si>
    <t>Mahdi B.</t>
  </si>
  <si>
    <t>N/A</t>
  </si>
  <si>
    <t>E002</t>
  </si>
  <si>
    <t>Chargement des données à partir des fichiers CSV</t>
  </si>
  <si>
    <t>Chargement automatisé des données dans la solution</t>
  </si>
  <si>
    <t>La solution comprend un module « Intégration » pour l'intégration automatisée des données : importation automatique des données à partir de fichiers CSV . Elle prend en charge les entités produit, utilisateur et outillage, avec une gestion détaillée des erreurs pour l'intégration.</t>
  </si>
  <si>
    <t>E003</t>
  </si>
  <si>
    <t>Intégration des produits à partir de l'ERP</t>
  </si>
  <si>
    <t>Chargement automatisé des produits depuis D365 dans la solution</t>
  </si>
  <si>
    <t>Adaptation</t>
  </si>
  <si>
    <t>La solution comprend un module « Intégration » pour l'intégration automatisée des données : importation automatique des produits à partir de D365 .</t>
  </si>
  <si>
    <t>E004</t>
  </si>
  <si>
    <t>Intégration des OF à partir de l'ERP</t>
  </si>
  <si>
    <t>Intégration automatisé des OF depuis D365 dans la solution</t>
  </si>
  <si>
    <t>La solution comprend un module « Intégration » pour l'intégration automatisée des données : Les OF sont chargé soit automatiquement: intégration périodique selon une fréquence configurable.
soit manuellement : intégration déclenchée par l’utilisateur en cliquant sur le bouton « Confirmer ».</t>
  </si>
  <si>
    <t>E005</t>
  </si>
  <si>
    <t xml:space="preserve">Gestion des ordres de fabrication </t>
  </si>
  <si>
    <t>Gestion et suivi des ordres de fabrication</t>
  </si>
  <si>
    <t>La solution fournit un Module "OF" pour la gestion simplifiée des ordres de fabrication dans le module qualité, permettant :
• L'ajout manuel des ordres de fabrication avec les informations associées nécessaires : atelier, ligne, commande, produit, quantité cible, durée du changement de série, matériau
• La gestion centralisée des ordres de fabrication : suivi et gestion des différents statuts des ordres de fabrication (planifié, lancé, suspendu, changement de série, etc.)
• Mises à jour en temps réel des statuts pour les processus de validation des ordres de fabrication (suivi du processus validé/non validé)
• Accès rapide au dossier de fabrication du produit associé à l'ordre de fabrication</t>
  </si>
  <si>
    <t>E006</t>
  </si>
  <si>
    <t>Déclaration manuel de la production et quantités non-conformes par OF</t>
  </si>
  <si>
    <t>Déclaration de la production brut et des non-conformité détectées par l'opérateur</t>
  </si>
  <si>
    <t xml:space="preserve">La solution offre une interface intuitive, « Comptage», qui permet aux opérateurs de déclarer les non-conformités détectées pendant le processus de production, en suivant les étapes suivantes :
• Déclaration de la production brute
• Déclaration de la quantité non conforme
• Identification de l'emplacement de détection
• Répartition et quantification des types de défauts dans les articles non conformes
</t>
  </si>
  <si>
    <t>E007</t>
  </si>
  <si>
    <t>Identification OF, ligne et lot par scan</t>
  </si>
  <si>
    <t>Scanner les identifiants de production (OF, ligne, produit, lot).</t>
  </si>
  <si>
    <t>Adapter l’interface « Comptage » pour remplacer les listes déroulantes (atelier, ligne, OF) par un champ de scan permettant d’identifier automatiquement la ligne et l’OF via leur code-barres, et permettre la saisie ou la sélection du numéro de lot lors de la déclaration de production et/ou de non-conformités.</t>
  </si>
  <si>
    <t>E008</t>
  </si>
  <si>
    <t>Accès aux fichiers d’instructions de travail</t>
  </si>
  <si>
    <t>Consulter les instructions de travail depuis le poste opérateur</t>
  </si>
  <si>
    <t>Les interfaces « OF » et « Comptage » incluront un bouton permettant d’ouvrir les instructions associées à la référence produit de l’OF.
Trois options possibles :
-Afficher directement le fichier à partir du chemin où il est stocké sur le serveur.
-Fournir un lien vers la plateforme dédiée (APEM Share).
-Si les fichiers sont accessibles dans D365, les lire via un webservice.</t>
  </si>
  <si>
    <t xml:space="preserve">à discuter avec APEM (dépend de taille des données ) </t>
  </si>
  <si>
    <t>E009</t>
  </si>
  <si>
    <t>Instructions de travail</t>
  </si>
  <si>
    <t>Centralisation et distribution des documents techniques liés aux processus de production et de qualité</t>
  </si>
  <si>
    <t>La solution comprend un module « Instructions de travail » qui permet :
• Importation de fichiers : téléchargement de fichiers d'instructions
• Catégorisation : classification par qualité, maintenance et production
• Attribution : attribution des instructions par ligne et par produit
• Contrôle des versions : gestion centralisée et suivi des versions des documents</t>
  </si>
  <si>
    <t>E010</t>
  </si>
  <si>
    <t>Déclaration de défauts non listés</t>
  </si>
  <si>
    <t>Permettre la déclaration de défauts absents de la liste existante.</t>
  </si>
  <si>
    <t>Ajouter dans l’interface de déclaration des défauts un champ « Autre » permettant à l'utilisateur de saisir un défaut non listé. Ce défaut sera automatiquement enregistré et ajouté à la liste des défauts, puis affecté à la ligne où il a été déclaré.</t>
  </si>
  <si>
    <t>E011</t>
  </si>
  <si>
    <t>Fiche Non-conformité</t>
  </si>
  <si>
    <t>Déclaration des non-conformités détectées par l'opérateur/l'inspecteur qualité et validation par le responsable qualité</t>
  </si>
  <si>
    <t xml:space="preserve">La solution fournit une interface « Fichede non-conformité » permettant d'identifier, de documenter, d'analyser et de résoudre les incidents liés à la qualité dans la production, avec les fonctionnalités suivantes :
• Identification du problème : définir l'emplacement de détection, le type de défaut et la quantité affectée ; analyser les causes profondes (5W1H) ; indiquer le statut du produit (isolé, livré, bloqué).
•Mesures immédiates : définir les mesures correctives, décider si le produit sera livré après correction ou s'il nécessite un traitement supplémentaire, fournir une description complète de la non-conformité.
•Analyse des causes profondes : utiliser les méthodologies 5M (Ishikawa) .
•Mesures définitives : élaborer un plan pour traiter les causes profondes et prévenir la récurrence. Attribuer les responsabilités, informer les parties concernées et fixer les dates d'exécution.
•Historique et consultation : tenir à jour un référentiel centralisé des rapports de non-conformité.
</t>
  </si>
  <si>
    <t>E012</t>
  </si>
  <si>
    <t>Analyse des causes profondes des non-conformités à l'aide de l'outil QRQC</t>
  </si>
  <si>
    <t>Suivi et analyse des causes des non-conformités à l'aide de l'outil QRQC</t>
  </si>
  <si>
    <t>La solution fournit un outil QRQC qui permet de résoudre les non-conformités en déclenchant la création de rapports basés sur des seuils de qualité configurables, ce qui permet :
•Identification des problèmes et analyse du contexte des incidents
•La classification des incidents en fonction de leur gravité
•La définition d'actions immédiates, y compris le blocage de la production si nécessaire
•L'identification des causes profondes à l'aide des méthodes 5M et 5 Whys
•La définition et le suivi des plans d'actions correctives, l'attribution des responsabilités, la fixation de délais et le suivi jusqu'à la réalisation</t>
  </si>
  <si>
    <t>E013</t>
  </si>
  <si>
    <t>Historique des déclarations de non-conformité</t>
  </si>
  <si>
    <t>Fournir un historique détaillé des déclarations de non-conformité</t>
  </si>
  <si>
    <t xml:space="preserve"> La solution comprend une interface « Détails qualité » qui enregistre toutes les déclarations de non-conformité par atelier, ligne, bon de travail, produit et client, avec une ventilation détaillée des défauts pour chaque déclaration.</t>
  </si>
  <si>
    <t>E014</t>
  </si>
  <si>
    <t>Gestion des outils de mesure</t>
  </si>
  <si>
    <t>Gestion des outils de mesure de la qualité des produits</t>
  </si>
  <si>
    <t>La solution propose un module de gestion des outils de mesure de qualité qui permet de suivre et de gérer les outils de mesure, de mettre en œuvre des études R&amp;R pour évaluer la fiabilité des outils et de surveiller l'état de l'échantillonnage.</t>
  </si>
  <si>
    <t>E015</t>
  </si>
  <si>
    <t>Fiches Qualité</t>
  </si>
  <si>
    <t>Gérer les procédures de contrôle et générer des rapports qualité selon des fréquences configurables.</t>
  </si>
  <si>
    <t>La solution fournit un module de gestion des contrôles qualité les fonctionnalités suivantes :
• Définition des gammes de contrôle : configuration détaillée des critères de contrôle (visuels, dimensionnels), des paramètres de régalages, des tolérances et de la fréquence de génération des fiches.
• Génération automatisée des fiches de contrôle: création automatique de rapports de démarrage, de fin de série et de suivi en fonction des événements de production (lancement, suspension, clôture d'un ordre de fabrication) et des fréquences prédéfinies.
• Workflow de validation et suivi : mise en place d'un workflow de validation à plusieurs niveaux ( inspecteur qualité ) et sauvegarde de l'historique complet des fiches pour une traçabilité optimale.</t>
  </si>
  <si>
    <t>E016</t>
  </si>
  <si>
    <t>Charger une photo produit dans les fiches qualité</t>
  </si>
  <si>
    <t>Attacher une image de l’article contrôlé à la fiche de contrôle.</t>
  </si>
  <si>
    <t>Adapter les interfaces "fiches qualités" en ajoutant un bouton « Charger image » dans les fiches de contrôle, permettant à l’opérateur de télécharger et associer une ou plusieurs image de l’article contrôlé directement à la fiche.</t>
  </si>
  <si>
    <t>à vérifier si l'image ets enregistré sur le pc ou dans le serverr</t>
  </si>
  <si>
    <t>E017</t>
  </si>
  <si>
    <t>Paramétrage de l’affichage des limites et accès aux instructions de contrôle</t>
  </si>
  <si>
    <t>Afficher ou masquer les limites de contrôle et accéder aux instructions de contrôle produit.</t>
  </si>
  <si>
    <t>Ajouter un paramètre permettant d’afficher ou de masquer les limites de contrôle (min et max) pour les mesures des critères dimensionnels.
Inclure également un lien vers les instructions de contrôle associées au produit, soit vers le module « Instructions de travail », soit vers la plateforme dédiée (APEM Share) permettant de visualisé les mimites de contrôle mises à jour.</t>
  </si>
  <si>
    <t>E018</t>
  </si>
  <si>
    <t>Taille d'échantillonnage</t>
  </si>
  <si>
    <t>Appliquer les normes APEM pour la gestion des prélèvements.</t>
  </si>
  <si>
    <t>Adapter la gestion de la taille d’échantillon existante pour respecter les normes de prélèvement APEM, y compris l’adaptation de la gestion des critères visuels afin de supporter ce type d’échantillonnage.
Ajouter un paramètre (toggle avec un accés admin ) permettant de basculer vers un échantillonnage à 100 %, avec alerte instantanée sur l’interface opérateur.</t>
  </si>
  <si>
    <t>E019</t>
  </si>
  <si>
    <t>Retour vers ERP</t>
  </si>
  <si>
    <t>Transmettre au D365 les quantités conformes et non conformes après validation.</t>
  </si>
  <si>
    <t>La solution permet la déclaration partielle de la production après le contrôle de chaque quantité. À chaque validation, renvoyer à l’ERP D365 via un webservice  la quantité contrôlée OK et NOK correspondant à ce lot ou à cette tranche de production.</t>
  </si>
  <si>
    <t>E020</t>
  </si>
  <si>
    <t>Suivi MSP</t>
  </si>
  <si>
    <t>Analyse des capacités et anticipation des écarts de processus à l'aide de graphiques de contrôle MSP</t>
  </si>
  <si>
    <t>La solution fournit un module « MSP» qui permet :
• La spécification des caractéristiques clés à surveiller, des tolérances associées et de la fréquence de collecte des données
• L'évaluation de la stabilité du processus de production par le calcul des indices de capacité (Cp, Cpk)
• Le contrôle statistique en temps réel du processus (moyenne, écart type) et la mise à jour des limites de contrôle
• La surveillance et l'anticipation des variations de qualité à l'aide de graphiques de contrôle, en identifiant les tendances et les écarts significatifs
• La configuration automatique d'alertes en cas de dépassement des limites de contrôle ou de variations inattendues</t>
  </si>
  <si>
    <t>E021</t>
  </si>
  <si>
    <t xml:space="preserve">Audits 6S </t>
  </si>
  <si>
    <t>Gestion des actions 6S, des audits et  suivi du l'historique</t>
  </si>
  <si>
    <t xml:space="preserve">La solution fournit un module « 6S » permettant :
• La gestion des actions 6S et leur attribution aux lignes et aux ateliers, avec des responsabilités désignées
• La génération de formulaires d'audit à remplir et à valider par le personnel concerné, avec une visualisation graphique des tendances des résultats d'audit
• Le suivi de l'historique des audits et des résultats </t>
  </si>
  <si>
    <t>E022</t>
  </si>
  <si>
    <t>Tableau de bord qualité</t>
  </si>
  <si>
    <t>Suivi historique et visualisation des indicateurs de performance qualité</t>
  </si>
  <si>
    <t>Standard/adaptation</t>
  </si>
  <si>
    <t>La solution fournit un tableau de bord flexible permettant de visualiser les performances en matière de qualité sur des intervalles flexibles (années, mois, semaines, jours, équipes), ce qui permet :
• De surveiller la qualité et les taux de rebut par atelier et par ligne
• De suivre les quantités et les coûts des non-conformités
• D'analyser les quantités de non-conformités par type de défaut
• De présenter des diagrammes de Pareto des défauts</t>
  </si>
  <si>
    <t xml:space="preserve"> </t>
  </si>
  <si>
    <t>Version</t>
  </si>
  <si>
    <t>Date</t>
  </si>
  <si>
    <t>Modifications</t>
  </si>
  <si>
    <t>Auteur(s)</t>
  </si>
  <si>
    <t>Vérificateur(s)</t>
  </si>
  <si>
    <t>Approbateur</t>
  </si>
  <si>
    <t>V1.0</t>
  </si>
  <si>
    <t xml:space="preserve">Version initiale </t>
  </si>
  <si>
    <t>Nihel K.</t>
  </si>
  <si>
    <t xml:space="preserve">Mahdi B. + Ferjania BA </t>
  </si>
  <si>
    <t>Imed A.</t>
  </si>
  <si>
    <t>V1.1</t>
  </si>
  <si>
    <t xml:space="preserve"> Adaptation des paramètres et du logo</t>
  </si>
  <si>
    <t>Moatez D.</t>
  </si>
  <si>
    <t>Exigence identifiée pendant la phase</t>
  </si>
  <si>
    <t>Oui/Non</t>
  </si>
  <si>
    <t>Statut Interne</t>
  </si>
  <si>
    <t>CdC client</t>
  </si>
  <si>
    <t>Oui</t>
  </si>
  <si>
    <t>Validée par le client</t>
  </si>
  <si>
    <t>*** SF</t>
  </si>
  <si>
    <t>R&amp;D</t>
  </si>
  <si>
    <t>Performance</t>
  </si>
  <si>
    <t>Conception</t>
  </si>
  <si>
    <t>Non</t>
  </si>
  <si>
    <t>Non validée par client</t>
  </si>
  <si>
    <t>Non validée</t>
  </si>
  <si>
    <t>SF-Processus</t>
  </si>
  <si>
    <t>A définir</t>
  </si>
  <si>
    <t>Reglementaire</t>
  </si>
  <si>
    <t>Réalisation</t>
  </si>
  <si>
    <t>Workshop/réunion Interne</t>
  </si>
  <si>
    <t>Sécurité</t>
  </si>
  <si>
    <t>Mise en œuvre</t>
  </si>
  <si>
    <t>Standards client</t>
  </si>
  <si>
    <t>SF-Connectivité Machine</t>
  </si>
  <si>
    <t>Standard Client</t>
  </si>
  <si>
    <t>Support et maintenance</t>
  </si>
  <si>
    <t>Standards MOMSOFT</t>
  </si>
  <si>
    <t>SF-Intégration SI</t>
  </si>
  <si>
    <t>Standard MOMSOFT</t>
  </si>
  <si>
    <t>Reglementation</t>
  </si>
  <si>
    <t>SF-Software</t>
  </si>
  <si>
    <t>Demande modification</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</si>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</sst>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scheme val="major"/>
    </font>
  </fonts>
  <fills count="7">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9" fillId="0" borderId="0" xfId="0" applyFont="1" applyAlignment="1">
      <alignment vertical="center"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 fillId="5" borderId="1" xfId="0" applyFont="1" applyFill="1" applyBorder="1" applyAlignment="1">
      <alignment vertical="center" wrapText="1"/>
    </xf>
    <xf numFmtId="0" fontId="1" fillId="5" borderId="2" xfId="0" applyFont="1" applyFill="1" applyBorder="1" applyAlignment="1">
      <alignment vertical="center" wrapText="1"/>
    </xf>
    <xf numFmtId="0" fontId="1" fillId="5" borderId="3" xfId="0" applyFont="1" applyFill="1" applyBorder="1" applyAlignment="1">
      <alignment vertical="center" wrapText="1"/>
    </xf>
    <xf numFmtId="0" fontId="1" fillId="6" borderId="0" xfId="0" applyFont="1" applyFill="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 fillId="0" borderId="0" xfId="0" applyFont="1" applyFill="1" applyAlignment="1">
      <alignment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4"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729343</xdr:colOff>
      <xdr:row>2</xdr:row>
      <xdr:rowOff>664574</xdr:rowOff>
    </xdr:to>
    <xdr:pic>
      <xdr:nvPicPr>
        <xdr:cNvPr id="2" name="Picture 1">
          <a:extLst>
            <a:ext uri="{FF2B5EF4-FFF2-40B4-BE49-F238E27FC236}">
              <a16:creationId xmlns:a16="http://schemas.microsoft.com/office/drawing/2014/main" id="{E00959DE-CFF6-4E57-8A23-D0A0F7494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457200"/>
          <a:ext cx="1148443" cy="664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36" totalsRowCount="1" headerRowDxfId="51" dataDxfId="50">
  <autoFilter ref="B13:V35" xr:uid="{DDEA2C8B-EE0D-4C55-9256-CCC64E002CE6}"/>
  <tableColumns count="21">
    <tableColumn id="1" xr3:uid="{E467E0EE-CDAA-4FF5-85A8-CDC0B23A5AD9}" name="ID" dataDxfId="48" totalsRowDxfId="49"/>
    <tableColumn id="2" xr3:uid="{E53952AC-4972-47BD-8B1D-C7EF23088D0D}" name="Intitulé de l'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MOMSOFT" dataDxfId="34" totalsRowDxfId="35"/>
    <tableColumn id="17" xr3:uid="{D1BC9C86-C3CE-417F-AC83-FC4786A7656D}" name="Solution Proposé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dataDxfId="24" totalsRowDxfId="25"/>
    <tableColumn id="21" xr3:uid="{818C68C5-1CC3-4DC9-9BB8-2CB7816ABE9F}" name="HJ Analyse et Test"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defaultColWidth="11.42578125" defaultRowHeight="13.15"/>
  <sheetData>
    <row r="6" spans="2:2">
      <c r="B6" t="s">
        <v>0</v>
      </c>
    </row>
    <row r="7" spans="2:2">
      <c r="B7" t="s">
        <v>1</v>
      </c>
    </row>
    <row r="8" spans="2:2">
      <c r="B8" t="s">
        <v>2</v>
      </c>
    </row>
    <row r="9" spans="2:2">
      <c r="B9" t="s">
        <v>3</v>
      </c>
    </row>
    <row r="10" spans="2:2">
      <c r="B10"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45"/>
  <sheetViews>
    <sheetView tabSelected="1" topLeftCell="A5" zoomScale="85" zoomScaleNormal="85" workbookViewId="0">
      <selection activeCell="J17" sqref="J17"/>
    </sheetView>
  </sheetViews>
  <sheetFormatPr defaultColWidth="11.42578125" defaultRowHeight="13.9"/>
  <cols>
    <col min="1" max="1" width="11.42578125" style="1"/>
    <col min="2" max="2" width="6.28515625" style="1" customWidth="1"/>
    <col min="3" max="3" width="29.28515625" style="1" customWidth="1"/>
    <col min="4" max="4" width="23.5703125" style="1" customWidth="1"/>
    <col min="5" max="5" width="18.28515625" style="1" customWidth="1"/>
    <col min="6" max="6" width="19.42578125" style="1" customWidth="1"/>
    <col min="7" max="7" width="25.42578125" style="1" customWidth="1"/>
    <col min="8" max="8" width="18.42578125" style="1" customWidth="1"/>
    <col min="9" max="9" width="56.5703125" style="1" customWidth="1"/>
    <col min="10" max="10" width="142.7109375" style="1" customWidth="1"/>
    <col min="11" max="12" width="13.5703125" style="1" customWidth="1"/>
    <col min="13" max="13" width="15.28515625" style="1" customWidth="1"/>
    <col min="14" max="14" width="11.7109375" style="1" customWidth="1"/>
    <col min="15" max="15" width="15.42578125" style="1" customWidth="1"/>
    <col min="16" max="16" width="13.7109375" style="1" customWidth="1"/>
    <col min="17" max="17" width="39.7109375" style="1" customWidth="1"/>
    <col min="18" max="18" width="15.7109375" style="1" customWidth="1"/>
    <col min="19" max="19" width="20.5703125" style="1" customWidth="1"/>
    <col min="20" max="20" width="20.28515625" style="1" customWidth="1"/>
    <col min="21" max="21" width="15.28515625" style="1" customWidth="1"/>
    <col min="22" max="22" width="29.42578125" style="1" customWidth="1"/>
    <col min="23" max="16384" width="11.42578125" style="1"/>
  </cols>
  <sheetData>
    <row r="1" spans="2:22" ht="14.45" thickBot="1"/>
    <row r="2" spans="2:22" ht="21.75" customHeight="1" thickBot="1">
      <c r="B2" s="38" t="s">
        <v>5</v>
      </c>
      <c r="C2" s="39"/>
      <c r="D2" s="39"/>
      <c r="E2" s="39"/>
      <c r="F2" s="39"/>
      <c r="G2" s="39"/>
      <c r="H2" s="39"/>
      <c r="I2" s="39"/>
      <c r="J2" s="39"/>
      <c r="K2" s="39"/>
      <c r="L2" s="39"/>
      <c r="M2" s="40"/>
      <c r="N2" s="41" t="s">
        <v>6</v>
      </c>
      <c r="O2" s="42"/>
      <c r="P2" s="43"/>
      <c r="Q2" s="35" t="s">
        <v>7</v>
      </c>
      <c r="R2" s="36"/>
      <c r="S2" s="36"/>
      <c r="T2" s="36"/>
      <c r="U2" s="36"/>
      <c r="V2" s="37"/>
    </row>
    <row r="3" spans="2:22" ht="53.25" customHeight="1">
      <c r="C3" s="8"/>
      <c r="D3" s="8"/>
      <c r="E3" s="8"/>
      <c r="F3" s="8"/>
      <c r="G3" s="8"/>
      <c r="H3" s="8"/>
      <c r="I3" s="8"/>
    </row>
    <row r="4" spans="2:22" ht="21" customHeight="1">
      <c r="B4" s="23" t="s">
        <v>8</v>
      </c>
      <c r="C4" s="8"/>
      <c r="D4" s="25" t="s">
        <v>9</v>
      </c>
      <c r="E4" s="8"/>
      <c r="F4" s="8"/>
      <c r="G4" s="8"/>
      <c r="H4" s="8"/>
      <c r="I4" s="8"/>
    </row>
    <row r="5" spans="2:22" ht="21.75" customHeight="1">
      <c r="B5" s="20" t="s">
        <v>0</v>
      </c>
      <c r="D5" s="3" t="s">
        <v>10</v>
      </c>
      <c r="E5" s="3"/>
      <c r="F5" s="3"/>
      <c r="G5" s="3"/>
      <c r="H5" s="3"/>
      <c r="I5" s="3"/>
    </row>
    <row r="6" spans="2:22" ht="33" customHeight="1">
      <c r="B6" s="20" t="s">
        <v>11</v>
      </c>
      <c r="D6" s="3" t="s">
        <v>12</v>
      </c>
      <c r="E6" s="3"/>
      <c r="F6" s="3"/>
      <c r="G6" s="3"/>
      <c r="H6" s="3"/>
      <c r="I6" s="3"/>
    </row>
    <row r="7" spans="2:22" ht="20.65" customHeight="1" thickBot="1">
      <c r="B7" s="20" t="s">
        <v>13</v>
      </c>
      <c r="D7" s="3" t="s">
        <v>14</v>
      </c>
      <c r="E7" s="3"/>
      <c r="F7" s="3"/>
      <c r="G7" s="24" t="s">
        <v>15</v>
      </c>
      <c r="H7" s="3"/>
      <c r="I7" s="3"/>
    </row>
    <row r="8" spans="2:22" ht="21.6" customHeight="1">
      <c r="B8" s="20" t="s">
        <v>16</v>
      </c>
      <c r="D8" s="3" t="s">
        <v>17</v>
      </c>
      <c r="E8" s="3"/>
      <c r="F8" s="3"/>
      <c r="G8" s="3"/>
      <c r="H8" s="3"/>
      <c r="I8" s="3"/>
      <c r="N8" s="1">
        <f>40*180</f>
        <v>7200</v>
      </c>
    </row>
    <row r="9" spans="2:22" ht="14.45">
      <c r="C9" s="3"/>
      <c r="D9" s="17"/>
      <c r="E9" s="17"/>
      <c r="F9" s="17"/>
      <c r="G9" s="17"/>
      <c r="H9" s="17"/>
      <c r="I9" s="17"/>
    </row>
    <row r="10" spans="2:22">
      <c r="B10" s="21" t="s">
        <v>18</v>
      </c>
      <c r="C10" s="22"/>
      <c r="D10" s="21" t="s">
        <v>19</v>
      </c>
      <c r="E10" s="9"/>
      <c r="F10" s="9"/>
      <c r="I10" s="14" t="s">
        <v>20</v>
      </c>
    </row>
    <row r="11" spans="2:22">
      <c r="B11" s="21" t="s">
        <v>21</v>
      </c>
      <c r="C11" s="22"/>
      <c r="D11" s="21" t="s">
        <v>22</v>
      </c>
      <c r="E11" s="9"/>
      <c r="F11" s="9"/>
    </row>
    <row r="12" spans="2:22" ht="14.45" thickBot="1"/>
    <row r="13" spans="2:22" s="10" customFormat="1" ht="30">
      <c r="B13" s="28" t="s">
        <v>23</v>
      </c>
      <c r="C13" s="29" t="s">
        <v>24</v>
      </c>
      <c r="D13" s="29" t="s">
        <v>25</v>
      </c>
      <c r="E13" s="29" t="s">
        <v>26</v>
      </c>
      <c r="F13" s="29" t="s">
        <v>27</v>
      </c>
      <c r="G13" s="29" t="s">
        <v>28</v>
      </c>
      <c r="H13" s="29" t="s">
        <v>29</v>
      </c>
      <c r="I13" s="29" t="s">
        <v>30</v>
      </c>
      <c r="J13" s="29" t="s">
        <v>31</v>
      </c>
      <c r="K13" s="29" t="s">
        <v>32</v>
      </c>
      <c r="L13" s="29" t="s">
        <v>33</v>
      </c>
      <c r="M13" s="30" t="s">
        <v>34</v>
      </c>
      <c r="N13" s="29" t="s">
        <v>35</v>
      </c>
      <c r="O13" s="29" t="s">
        <v>36</v>
      </c>
      <c r="P13" s="29" t="s">
        <v>37</v>
      </c>
      <c r="Q13" s="31" t="s">
        <v>38</v>
      </c>
      <c r="R13" s="32" t="s">
        <v>39</v>
      </c>
      <c r="S13" s="32" t="s">
        <v>40</v>
      </c>
      <c r="T13" s="32" t="s">
        <v>41</v>
      </c>
      <c r="U13" s="32" t="s">
        <v>42</v>
      </c>
      <c r="V13" s="33" t="s">
        <v>43</v>
      </c>
    </row>
    <row r="14" spans="2:22" s="10" customFormat="1" ht="103.9" customHeight="1">
      <c r="B14" s="10" t="s">
        <v>44</v>
      </c>
      <c r="C14" s="10" t="s">
        <v>45</v>
      </c>
      <c r="D14" s="10" t="s">
        <v>46</v>
      </c>
      <c r="E14" s="10" t="s">
        <v>47</v>
      </c>
      <c r="F14" s="10" t="s">
        <v>48</v>
      </c>
      <c r="G14" s="10" t="s">
        <v>49</v>
      </c>
      <c r="H14" s="10" t="s">
        <v>50</v>
      </c>
      <c r="I14" s="10" t="s">
        <v>51</v>
      </c>
      <c r="J14" s="10" t="s">
        <v>52</v>
      </c>
      <c r="K14" s="10" t="s">
        <v>53</v>
      </c>
      <c r="L14" s="10" t="s">
        <v>54</v>
      </c>
      <c r="N14" s="10">
        <v>0</v>
      </c>
      <c r="O14" s="10">
        <f>Tableau3[[#This Row],[HJ Dev]]*(25%+25%)</f>
        <v>0</v>
      </c>
      <c r="P14" s="10">
        <f>Tableau3[[#This Row],[HJ Analyse et Test]]+Tableau3[[#This Row],[HJ Dev]]</f>
        <v>0</v>
      </c>
      <c r="Q14" s="10" t="s">
        <v>55</v>
      </c>
      <c r="R14" s="10" t="s">
        <v>55</v>
      </c>
      <c r="S14" s="10" t="s">
        <v>55</v>
      </c>
      <c r="T14" s="10" t="s">
        <v>55</v>
      </c>
      <c r="U14" s="10" t="s">
        <v>55</v>
      </c>
    </row>
    <row r="15" spans="2:22" s="10" customFormat="1" ht="40.15" customHeight="1">
      <c r="B15" s="10" t="s">
        <v>56</v>
      </c>
      <c r="C15" s="10" t="s">
        <v>57</v>
      </c>
      <c r="D15" s="10" t="s">
        <v>46</v>
      </c>
      <c r="E15" s="10" t="s">
        <v>47</v>
      </c>
      <c r="F15" s="10" t="s">
        <v>48</v>
      </c>
      <c r="G15" s="10" t="s">
        <v>58</v>
      </c>
      <c r="H15" s="10" t="s">
        <v>50</v>
      </c>
      <c r="I15" s="10" t="s">
        <v>51</v>
      </c>
      <c r="J15" s="10" t="s">
        <v>59</v>
      </c>
      <c r="K15" s="10" t="s">
        <v>53</v>
      </c>
      <c r="L15" s="10" t="s">
        <v>54</v>
      </c>
      <c r="N15" s="10">
        <v>0</v>
      </c>
      <c r="O15" s="10">
        <f>Tableau3[[#This Row],[HJ Dev]]*(25%+25%)</f>
        <v>0</v>
      </c>
      <c r="P15" s="10">
        <f>Tableau3[[#This Row],[HJ Analyse et Test]]+Tableau3[[#This Row],[HJ Dev]]</f>
        <v>0</v>
      </c>
    </row>
    <row r="16" spans="2:22" s="34" customFormat="1" ht="40.15" customHeight="1">
      <c r="B16" s="34" t="s">
        <v>60</v>
      </c>
      <c r="C16" s="34" t="s">
        <v>61</v>
      </c>
      <c r="D16" s="34" t="s">
        <v>46</v>
      </c>
      <c r="E16" s="34" t="s">
        <v>47</v>
      </c>
      <c r="F16" s="34" t="s">
        <v>48</v>
      </c>
      <c r="G16" s="34" t="s">
        <v>62</v>
      </c>
      <c r="H16" s="34" t="s">
        <v>50</v>
      </c>
      <c r="I16" s="34" t="s">
        <v>63</v>
      </c>
      <c r="J16" s="34" t="s">
        <v>64</v>
      </c>
      <c r="K16" s="34" t="s">
        <v>55</v>
      </c>
      <c r="N16" s="34">
        <v>3</v>
      </c>
      <c r="O16" s="34">
        <f>Tableau3[[#This Row],[HJ Dev]]*(25%+25%)</f>
        <v>1.5</v>
      </c>
      <c r="P16" s="34">
        <f>Tableau3[[#This Row],[HJ Analyse et Test]]+Tableau3[[#This Row],[HJ Dev]]</f>
        <v>4.5</v>
      </c>
    </row>
    <row r="17" spans="2:22" s="10" customFormat="1" ht="46.5" customHeight="1">
      <c r="B17" s="10" t="s">
        <v>65</v>
      </c>
      <c r="C17" s="10" t="s">
        <v>66</v>
      </c>
      <c r="D17" s="10" t="s">
        <v>46</v>
      </c>
      <c r="E17" s="10" t="s">
        <v>47</v>
      </c>
      <c r="F17" s="10" t="s">
        <v>48</v>
      </c>
      <c r="G17" s="10" t="s">
        <v>67</v>
      </c>
      <c r="H17" s="10" t="s">
        <v>50</v>
      </c>
      <c r="I17" s="10" t="s">
        <v>63</v>
      </c>
      <c r="J17" s="47" t="s">
        <v>68</v>
      </c>
      <c r="K17" s="10" t="s">
        <v>55</v>
      </c>
      <c r="N17" s="10">
        <v>3.5</v>
      </c>
      <c r="O17" s="10">
        <f>Tableau3[[#This Row],[HJ Dev]]*(25%+25%)</f>
        <v>1.75</v>
      </c>
      <c r="P17" s="10">
        <f>Tableau3[[#This Row],[HJ Analyse et Test]]+Tableau3[[#This Row],[HJ Dev]]</f>
        <v>5.25</v>
      </c>
    </row>
    <row r="18" spans="2:22" s="10" customFormat="1" ht="105" customHeight="1">
      <c r="B18" s="10" t="s">
        <v>69</v>
      </c>
      <c r="C18" s="10" t="s">
        <v>70</v>
      </c>
      <c r="D18" s="10" t="s">
        <v>46</v>
      </c>
      <c r="E18" s="10" t="s">
        <v>47</v>
      </c>
      <c r="F18" s="10" t="s">
        <v>48</v>
      </c>
      <c r="G18" s="10" t="s">
        <v>71</v>
      </c>
      <c r="H18" s="10" t="s">
        <v>50</v>
      </c>
      <c r="I18" s="10" t="s">
        <v>51</v>
      </c>
      <c r="J18" s="27" t="s">
        <v>72</v>
      </c>
      <c r="K18" s="10" t="s">
        <v>53</v>
      </c>
      <c r="L18" s="10" t="s">
        <v>54</v>
      </c>
      <c r="N18" s="10">
        <v>0</v>
      </c>
      <c r="O18" s="10">
        <f>Tableau3[[#This Row],[HJ Dev]]*(25%+25%)</f>
        <v>0</v>
      </c>
      <c r="P18" s="10">
        <f>Tableau3[[#This Row],[HJ Analyse et Test]]+Tableau3[[#This Row],[HJ Dev]]</f>
        <v>0</v>
      </c>
    </row>
    <row r="19" spans="2:22" s="10" customFormat="1" ht="105" customHeight="1">
      <c r="B19" s="10" t="s">
        <v>73</v>
      </c>
      <c r="C19" s="10" t="s">
        <v>74</v>
      </c>
      <c r="D19" s="10" t="s">
        <v>46</v>
      </c>
      <c r="E19" s="10" t="s">
        <v>47</v>
      </c>
      <c r="F19" s="10" t="s">
        <v>48</v>
      </c>
      <c r="G19" s="10" t="s">
        <v>75</v>
      </c>
      <c r="H19" s="10" t="s">
        <v>50</v>
      </c>
      <c r="I19" s="10" t="s">
        <v>51</v>
      </c>
      <c r="J19" s="10" t="s">
        <v>76</v>
      </c>
      <c r="K19" s="10" t="s">
        <v>55</v>
      </c>
      <c r="N19" s="10">
        <v>0</v>
      </c>
      <c r="O19" s="10">
        <f>Tableau3[[#This Row],[HJ Dev]]*(25%+25%)</f>
        <v>0</v>
      </c>
      <c r="P19" s="10">
        <f>Tableau3[[#This Row],[HJ Analyse et Test]]+Tableau3[[#This Row],[HJ Dev]]</f>
        <v>0</v>
      </c>
    </row>
    <row r="20" spans="2:22" s="10" customFormat="1" ht="108.6" customHeight="1">
      <c r="B20" s="10" t="s">
        <v>77</v>
      </c>
      <c r="C20" s="10" t="s">
        <v>78</v>
      </c>
      <c r="D20" s="10" t="s">
        <v>46</v>
      </c>
      <c r="E20" s="10" t="s">
        <v>47</v>
      </c>
      <c r="F20" s="10" t="s">
        <v>48</v>
      </c>
      <c r="G20" s="10" t="s">
        <v>79</v>
      </c>
      <c r="H20" s="10" t="s">
        <v>50</v>
      </c>
      <c r="I20" s="10" t="s">
        <v>63</v>
      </c>
      <c r="J20" s="10" t="s">
        <v>80</v>
      </c>
      <c r="K20" s="10" t="s">
        <v>55</v>
      </c>
      <c r="N20" s="10">
        <v>1.5</v>
      </c>
      <c r="O20" s="10">
        <f>Tableau3[[#This Row],[HJ Dev]]*(25%+25%)</f>
        <v>0.75</v>
      </c>
      <c r="P20" s="10">
        <f>Tableau3[[#This Row],[HJ Analyse et Test]]+Tableau3[[#This Row],[HJ Dev]]</f>
        <v>2.25</v>
      </c>
    </row>
    <row r="21" spans="2:22" s="10" customFormat="1" ht="108.6" customHeight="1">
      <c r="B21" s="10" t="s">
        <v>81</v>
      </c>
      <c r="C21" s="10" t="s">
        <v>82</v>
      </c>
      <c r="D21" s="10" t="s">
        <v>46</v>
      </c>
      <c r="E21" s="10" t="s">
        <v>47</v>
      </c>
      <c r="F21" s="10" t="s">
        <v>48</v>
      </c>
      <c r="G21" s="10" t="s">
        <v>83</v>
      </c>
      <c r="H21" s="10" t="s">
        <v>50</v>
      </c>
      <c r="I21" s="10" t="s">
        <v>63</v>
      </c>
      <c r="J21" s="34" t="s">
        <v>84</v>
      </c>
      <c r="K21" s="10" t="s">
        <v>55</v>
      </c>
      <c r="N21" s="10">
        <v>5</v>
      </c>
      <c r="O21" s="10">
        <f>Tableau3[[#This Row],[HJ Dev]]*(25%+25%)</f>
        <v>2.5</v>
      </c>
      <c r="P21" s="10">
        <f>Tableau3[[#This Row],[HJ Analyse et Test]]+Tableau3[[#This Row],[HJ Dev]]</f>
        <v>7.5</v>
      </c>
      <c r="V21" s="10" t="s">
        <v>85</v>
      </c>
    </row>
    <row r="22" spans="2:22" ht="72.75">
      <c r="B22" s="10" t="s">
        <v>86</v>
      </c>
      <c r="C22" s="10" t="s">
        <v>87</v>
      </c>
      <c r="D22" s="10" t="s">
        <v>46</v>
      </c>
      <c r="E22" s="10" t="s">
        <v>47</v>
      </c>
      <c r="F22" s="10" t="s">
        <v>48</v>
      </c>
      <c r="G22" s="10" t="s">
        <v>88</v>
      </c>
      <c r="H22" s="10" t="s">
        <v>50</v>
      </c>
      <c r="I22" s="10" t="s">
        <v>51</v>
      </c>
      <c r="J22" s="10" t="s">
        <v>89</v>
      </c>
      <c r="K22" s="10" t="s">
        <v>53</v>
      </c>
      <c r="L22" s="10" t="s">
        <v>54</v>
      </c>
      <c r="M22" s="10"/>
      <c r="N22" s="10">
        <v>0</v>
      </c>
      <c r="O22" s="10">
        <f>Tableau3[[#This Row],[HJ Dev]]*(25%+25%)</f>
        <v>0</v>
      </c>
      <c r="P22" s="10">
        <f>Tableau3[[#This Row],[HJ Analyse et Test]]+Tableau3[[#This Row],[HJ Dev]]</f>
        <v>0</v>
      </c>
      <c r="Q22" s="10"/>
      <c r="R22" s="10"/>
      <c r="S22" s="10"/>
      <c r="T22" s="10"/>
      <c r="U22" s="10"/>
      <c r="V22" s="10"/>
    </row>
    <row r="23" spans="2:22" s="10" customFormat="1" ht="108.6" customHeight="1">
      <c r="B23" s="10" t="s">
        <v>90</v>
      </c>
      <c r="C23" s="10" t="s">
        <v>91</v>
      </c>
      <c r="D23" s="10" t="s">
        <v>46</v>
      </c>
      <c r="E23" s="10" t="s">
        <v>47</v>
      </c>
      <c r="F23" s="10" t="s">
        <v>48</v>
      </c>
      <c r="G23" s="10" t="s">
        <v>92</v>
      </c>
      <c r="H23" s="10" t="s">
        <v>50</v>
      </c>
      <c r="I23" s="10" t="s">
        <v>63</v>
      </c>
      <c r="J23" s="10" t="s">
        <v>93</v>
      </c>
      <c r="K23" s="10" t="s">
        <v>55</v>
      </c>
      <c r="N23" s="10">
        <v>1.5</v>
      </c>
      <c r="O23" s="10">
        <f>Tableau3[[#This Row],[HJ Dev]]*(25%+25%)</f>
        <v>0.75</v>
      </c>
      <c r="P23" s="10">
        <f>Tableau3[[#This Row],[HJ Analyse et Test]]+Tableau3[[#This Row],[HJ Dev]]</f>
        <v>2.25</v>
      </c>
    </row>
    <row r="24" spans="2:22" s="10" customFormat="1" ht="114" customHeight="1">
      <c r="B24" s="10" t="s">
        <v>94</v>
      </c>
      <c r="C24" s="10" t="s">
        <v>95</v>
      </c>
      <c r="D24" s="10" t="s">
        <v>46</v>
      </c>
      <c r="E24" s="10" t="s">
        <v>47</v>
      </c>
      <c r="F24" s="10" t="s">
        <v>48</v>
      </c>
      <c r="G24" s="10" t="s">
        <v>96</v>
      </c>
      <c r="H24" s="10" t="s">
        <v>50</v>
      </c>
      <c r="I24" s="10" t="s">
        <v>51</v>
      </c>
      <c r="J24" s="10" t="s">
        <v>97</v>
      </c>
      <c r="K24" s="10" t="s">
        <v>53</v>
      </c>
      <c r="L24" s="10" t="s">
        <v>54</v>
      </c>
      <c r="N24" s="10">
        <v>0</v>
      </c>
      <c r="O24" s="10">
        <f>Tableau3[[#This Row],[HJ Dev]]*(25%+25%)</f>
        <v>0</v>
      </c>
      <c r="P24" s="10">
        <f>Tableau3[[#This Row],[HJ Analyse et Test]]+Tableau3[[#This Row],[HJ Dev]]</f>
        <v>0</v>
      </c>
    </row>
    <row r="25" spans="2:22" ht="106.15" customHeight="1">
      <c r="B25" s="10" t="s">
        <v>98</v>
      </c>
      <c r="C25" s="10" t="s">
        <v>99</v>
      </c>
      <c r="D25" s="10" t="s">
        <v>46</v>
      </c>
      <c r="E25" s="10" t="s">
        <v>47</v>
      </c>
      <c r="F25" s="10" t="s">
        <v>48</v>
      </c>
      <c r="G25" s="10" t="s">
        <v>100</v>
      </c>
      <c r="H25" s="10" t="s">
        <v>50</v>
      </c>
      <c r="I25" s="10" t="s">
        <v>51</v>
      </c>
      <c r="J25" s="10" t="s">
        <v>101</v>
      </c>
      <c r="K25" s="10" t="s">
        <v>53</v>
      </c>
      <c r="L25" s="10" t="s">
        <v>54</v>
      </c>
      <c r="M25" s="10"/>
      <c r="N25" s="10">
        <v>0</v>
      </c>
      <c r="O25" s="10">
        <f>Tableau3[[#This Row],[HJ Dev]]*(25%+25%)</f>
        <v>0</v>
      </c>
      <c r="P25" s="10">
        <f>Tableau3[[#This Row],[HJ Analyse et Test]]+Tableau3[[#This Row],[HJ Dev]]</f>
        <v>0</v>
      </c>
      <c r="Q25" s="10"/>
      <c r="R25" s="10"/>
      <c r="S25" s="10"/>
      <c r="T25" s="10"/>
      <c r="U25" s="10"/>
      <c r="V25" s="10"/>
    </row>
    <row r="26" spans="2:22" ht="51.6" customHeight="1">
      <c r="B26" s="10" t="s">
        <v>102</v>
      </c>
      <c r="C26" s="10" t="s">
        <v>103</v>
      </c>
      <c r="D26" s="10" t="s">
        <v>46</v>
      </c>
      <c r="E26" s="10" t="s">
        <v>47</v>
      </c>
      <c r="F26" s="10" t="s">
        <v>48</v>
      </c>
      <c r="G26" s="10" t="s">
        <v>104</v>
      </c>
      <c r="H26" s="10" t="s">
        <v>50</v>
      </c>
      <c r="I26" s="10" t="s">
        <v>51</v>
      </c>
      <c r="J26" s="10" t="s">
        <v>105</v>
      </c>
      <c r="K26" s="10" t="s">
        <v>53</v>
      </c>
      <c r="L26" s="10" t="s">
        <v>54</v>
      </c>
      <c r="M26" s="10"/>
      <c r="N26" s="10">
        <v>0</v>
      </c>
      <c r="O26" s="10">
        <f>Tableau3[[#This Row],[HJ Dev]]*(25%+25%)</f>
        <v>0</v>
      </c>
      <c r="P26" s="10">
        <f>Tableau3[[#This Row],[HJ Analyse et Test]]+Tableau3[[#This Row],[HJ Dev]]</f>
        <v>0</v>
      </c>
      <c r="Q26" s="10"/>
      <c r="R26" s="10"/>
      <c r="S26" s="10"/>
      <c r="T26" s="10"/>
      <c r="U26" s="10"/>
      <c r="V26" s="10"/>
    </row>
    <row r="27" spans="2:22" ht="30">
      <c r="B27" s="10" t="s">
        <v>106</v>
      </c>
      <c r="C27" s="10" t="s">
        <v>107</v>
      </c>
      <c r="D27" s="10" t="s">
        <v>46</v>
      </c>
      <c r="E27" s="10" t="s">
        <v>47</v>
      </c>
      <c r="F27" s="10" t="s">
        <v>48</v>
      </c>
      <c r="G27" s="10" t="s">
        <v>108</v>
      </c>
      <c r="H27" s="10" t="s">
        <v>50</v>
      </c>
      <c r="I27" s="10" t="s">
        <v>51</v>
      </c>
      <c r="J27" s="10" t="s">
        <v>109</v>
      </c>
      <c r="K27" s="10" t="s">
        <v>53</v>
      </c>
      <c r="L27" s="10" t="s">
        <v>54</v>
      </c>
      <c r="M27" s="10"/>
      <c r="N27" s="10">
        <v>0</v>
      </c>
      <c r="O27" s="10">
        <f>Tableau3[[#This Row],[HJ Dev]]*(25%+25%)</f>
        <v>0</v>
      </c>
      <c r="P27" s="10">
        <f>Tableau3[[#This Row],[HJ Analyse et Test]]+Tableau3[[#This Row],[HJ Dev]]</f>
        <v>0</v>
      </c>
      <c r="Q27" s="10"/>
      <c r="R27" s="10"/>
      <c r="S27" s="10"/>
      <c r="T27" s="10"/>
      <c r="U27" s="10"/>
      <c r="V27" s="10"/>
    </row>
    <row r="28" spans="2:22" ht="76.900000000000006" customHeight="1">
      <c r="B28" s="10" t="s">
        <v>110</v>
      </c>
      <c r="C28" s="10" t="s">
        <v>111</v>
      </c>
      <c r="D28" s="10" t="s">
        <v>46</v>
      </c>
      <c r="E28" s="10" t="s">
        <v>47</v>
      </c>
      <c r="F28" s="10" t="s">
        <v>48</v>
      </c>
      <c r="G28" s="10" t="s">
        <v>112</v>
      </c>
      <c r="H28" s="10" t="s">
        <v>50</v>
      </c>
      <c r="I28" s="10" t="s">
        <v>51</v>
      </c>
      <c r="J28" s="27" t="s">
        <v>113</v>
      </c>
      <c r="K28" s="10" t="s">
        <v>53</v>
      </c>
      <c r="L28" s="10" t="s">
        <v>54</v>
      </c>
      <c r="M28" s="10"/>
      <c r="N28" s="10">
        <v>0</v>
      </c>
      <c r="O28" s="10">
        <f>Tableau3[[#This Row],[HJ Dev]]*(25%+25%)</f>
        <v>0</v>
      </c>
      <c r="P28" s="10">
        <f>Tableau3[[#This Row],[HJ Analyse et Test]]+Tableau3[[#This Row],[HJ Dev]]</f>
        <v>0</v>
      </c>
      <c r="Q28" s="10"/>
      <c r="R28" s="10"/>
      <c r="S28" s="10"/>
      <c r="T28" s="10"/>
      <c r="U28" s="10"/>
      <c r="V28" s="10"/>
    </row>
    <row r="29" spans="2:22" ht="44.25">
      <c r="B29" s="10" t="s">
        <v>114</v>
      </c>
      <c r="C29" s="10" t="s">
        <v>115</v>
      </c>
      <c r="D29" s="10" t="s">
        <v>46</v>
      </c>
      <c r="E29" s="10" t="s">
        <v>47</v>
      </c>
      <c r="F29" s="10" t="s">
        <v>48</v>
      </c>
      <c r="G29" s="10" t="s">
        <v>116</v>
      </c>
      <c r="H29" s="10" t="s">
        <v>50</v>
      </c>
      <c r="I29" s="10" t="s">
        <v>63</v>
      </c>
      <c r="J29" s="34" t="s">
        <v>117</v>
      </c>
      <c r="K29" s="10" t="s">
        <v>55</v>
      </c>
      <c r="L29" s="10"/>
      <c r="M29" s="10"/>
      <c r="N29" s="10">
        <v>2</v>
      </c>
      <c r="O29" s="10">
        <f>Tableau3[[#This Row],[HJ Dev]]*(25%+25%)</f>
        <v>1</v>
      </c>
      <c r="P29" s="10">
        <f>Tableau3[[#This Row],[HJ Analyse et Test]]+Tableau3[[#This Row],[HJ Dev]]</f>
        <v>3</v>
      </c>
      <c r="Q29" s="10"/>
      <c r="R29" s="10"/>
      <c r="S29" s="10"/>
      <c r="T29" s="10"/>
      <c r="U29" s="10"/>
      <c r="V29" s="10" t="s">
        <v>118</v>
      </c>
    </row>
    <row r="30" spans="2:22" ht="58.5">
      <c r="B30" s="10" t="s">
        <v>119</v>
      </c>
      <c r="C30" s="10" t="s">
        <v>120</v>
      </c>
      <c r="D30" s="10" t="s">
        <v>46</v>
      </c>
      <c r="E30" s="10" t="s">
        <v>47</v>
      </c>
      <c r="F30" s="10" t="s">
        <v>48</v>
      </c>
      <c r="G30" s="10" t="s">
        <v>121</v>
      </c>
      <c r="H30" s="10" t="s">
        <v>50</v>
      </c>
      <c r="I30" s="10" t="s">
        <v>63</v>
      </c>
      <c r="J30" s="10" t="s">
        <v>122</v>
      </c>
      <c r="K30" s="10" t="s">
        <v>55</v>
      </c>
      <c r="L30" s="10"/>
      <c r="M30" s="10"/>
      <c r="N30" s="10">
        <v>3</v>
      </c>
      <c r="O30" s="10">
        <f>Tableau3[[#This Row],[HJ Dev]]*(25%+25%)</f>
        <v>1.5</v>
      </c>
      <c r="P30" s="10">
        <f>Tableau3[[#This Row],[HJ Analyse et Test]]+Tableau3[[#This Row],[HJ Dev]]</f>
        <v>4.5</v>
      </c>
      <c r="Q30" s="10"/>
      <c r="R30" s="10"/>
      <c r="S30" s="10"/>
      <c r="T30" s="10"/>
      <c r="U30" s="10"/>
      <c r="V30" s="10"/>
    </row>
    <row r="31" spans="2:22" ht="44.25">
      <c r="B31" s="10" t="s">
        <v>123</v>
      </c>
      <c r="C31" s="10" t="s">
        <v>124</v>
      </c>
      <c r="D31" s="10" t="s">
        <v>46</v>
      </c>
      <c r="E31" s="10" t="s">
        <v>47</v>
      </c>
      <c r="F31" s="10" t="s">
        <v>48</v>
      </c>
      <c r="G31" s="10" t="s">
        <v>125</v>
      </c>
      <c r="H31" s="10" t="s">
        <v>50</v>
      </c>
      <c r="I31" s="10" t="s">
        <v>63</v>
      </c>
      <c r="J31" s="34" t="s">
        <v>126</v>
      </c>
      <c r="K31" s="10" t="s">
        <v>55</v>
      </c>
      <c r="L31" s="10"/>
      <c r="M31" s="10"/>
      <c r="N31" s="10">
        <v>5</v>
      </c>
      <c r="O31" s="10">
        <f>Tableau3[[#This Row],[HJ Dev]]*(25%+25%)</f>
        <v>2.5</v>
      </c>
      <c r="P31" s="10">
        <f>Tableau3[[#This Row],[HJ Analyse et Test]]+Tableau3[[#This Row],[HJ Dev]]</f>
        <v>7.5</v>
      </c>
      <c r="Q31" s="10"/>
      <c r="R31" s="10"/>
      <c r="S31" s="10"/>
      <c r="T31" s="10"/>
      <c r="U31" s="10"/>
      <c r="V31" s="10"/>
    </row>
    <row r="32" spans="2:22" ht="76.900000000000006" customHeight="1">
      <c r="B32" s="10" t="s">
        <v>127</v>
      </c>
      <c r="C32" s="10" t="s">
        <v>128</v>
      </c>
      <c r="D32" s="10" t="s">
        <v>46</v>
      </c>
      <c r="E32" s="10" t="s">
        <v>47</v>
      </c>
      <c r="F32" s="10" t="s">
        <v>48</v>
      </c>
      <c r="G32" s="10" t="s">
        <v>129</v>
      </c>
      <c r="H32" s="10" t="s">
        <v>50</v>
      </c>
      <c r="I32" s="10" t="s">
        <v>63</v>
      </c>
      <c r="J32" s="10" t="s">
        <v>130</v>
      </c>
      <c r="K32" s="10" t="s">
        <v>55</v>
      </c>
      <c r="L32" s="10"/>
      <c r="M32" s="10"/>
      <c r="N32" s="10">
        <v>3</v>
      </c>
      <c r="O32" s="10">
        <f>Tableau3[[#This Row],[HJ Dev]]*(25%+25%)</f>
        <v>1.5</v>
      </c>
      <c r="P32" s="10">
        <f>Tableau3[[#This Row],[HJ Analyse et Test]]+Tableau3[[#This Row],[HJ Dev]]</f>
        <v>4.5</v>
      </c>
      <c r="Q32" s="10"/>
      <c r="R32" s="10"/>
      <c r="S32" s="10"/>
      <c r="T32" s="10"/>
      <c r="U32" s="10"/>
      <c r="V32" s="10"/>
    </row>
    <row r="33" spans="2:22" ht="91.15" customHeight="1">
      <c r="B33" s="10" t="s">
        <v>131</v>
      </c>
      <c r="C33" s="10" t="s">
        <v>132</v>
      </c>
      <c r="D33" s="10" t="s">
        <v>46</v>
      </c>
      <c r="E33" s="10" t="s">
        <v>47</v>
      </c>
      <c r="F33" s="10" t="s">
        <v>48</v>
      </c>
      <c r="G33" s="10" t="s">
        <v>133</v>
      </c>
      <c r="H33" s="10" t="s">
        <v>50</v>
      </c>
      <c r="I33" s="10" t="s">
        <v>51</v>
      </c>
      <c r="J33" s="10" t="s">
        <v>134</v>
      </c>
      <c r="K33" s="10" t="s">
        <v>53</v>
      </c>
      <c r="L33" s="10" t="s">
        <v>54</v>
      </c>
      <c r="M33" s="10"/>
      <c r="N33" s="10">
        <v>0</v>
      </c>
      <c r="O33" s="10">
        <f>Tableau3[[#This Row],[HJ Dev]]*(25%+25%)</f>
        <v>0</v>
      </c>
      <c r="P33" s="10">
        <f>Tableau3[[#This Row],[HJ Analyse et Test]]+Tableau3[[#This Row],[HJ Dev]]</f>
        <v>0</v>
      </c>
      <c r="Q33" s="10"/>
      <c r="R33" s="10"/>
      <c r="S33" s="10"/>
      <c r="T33" s="10"/>
      <c r="U33" s="10"/>
      <c r="V33" s="10"/>
    </row>
    <row r="34" spans="2:22" ht="58.5">
      <c r="B34" s="10" t="s">
        <v>135</v>
      </c>
      <c r="C34" s="10" t="s">
        <v>136</v>
      </c>
      <c r="D34" s="10" t="s">
        <v>46</v>
      </c>
      <c r="E34" s="10" t="s">
        <v>47</v>
      </c>
      <c r="F34" s="10" t="s">
        <v>48</v>
      </c>
      <c r="G34" s="10" t="s">
        <v>137</v>
      </c>
      <c r="H34" s="10" t="s">
        <v>50</v>
      </c>
      <c r="I34" s="10" t="s">
        <v>51</v>
      </c>
      <c r="J34" s="10" t="s">
        <v>138</v>
      </c>
      <c r="K34" s="10" t="s">
        <v>53</v>
      </c>
      <c r="L34" s="10" t="s">
        <v>54</v>
      </c>
      <c r="M34" s="10"/>
      <c r="N34" s="10">
        <v>0</v>
      </c>
      <c r="O34" s="10">
        <f>Tableau3[[#This Row],[HJ Dev]]*(25%+25%)</f>
        <v>0</v>
      </c>
      <c r="P34" s="10">
        <f>Tableau3[[#This Row],[HJ Analyse et Test]]+Tableau3[[#This Row],[HJ Dev]]</f>
        <v>0</v>
      </c>
      <c r="Q34" s="10"/>
      <c r="R34" s="10"/>
      <c r="S34" s="10"/>
      <c r="T34" s="10"/>
      <c r="U34" s="10"/>
      <c r="V34" s="10"/>
    </row>
    <row r="35" spans="2:22" ht="88.5">
      <c r="B35" s="10" t="s">
        <v>139</v>
      </c>
      <c r="C35" s="10" t="s">
        <v>140</v>
      </c>
      <c r="D35" s="10" t="s">
        <v>46</v>
      </c>
      <c r="E35" s="10" t="s">
        <v>47</v>
      </c>
      <c r="F35" s="10" t="s">
        <v>48</v>
      </c>
      <c r="G35" s="10" t="s">
        <v>141</v>
      </c>
      <c r="H35" s="10" t="s">
        <v>50</v>
      </c>
      <c r="I35" s="10" t="s">
        <v>142</v>
      </c>
      <c r="J35" s="10" t="s">
        <v>143</v>
      </c>
      <c r="K35" s="10" t="s">
        <v>53</v>
      </c>
      <c r="L35" s="10" t="s">
        <v>54</v>
      </c>
      <c r="M35" s="10"/>
      <c r="N35" s="10">
        <v>0</v>
      </c>
      <c r="O35" s="10">
        <f>Tableau3[[#This Row],[HJ Dev]]*(25%+25%)</f>
        <v>0</v>
      </c>
      <c r="P35" s="10">
        <f>Tableau3[[#This Row],[HJ Analyse et Test]]+Tableau3[[#This Row],[HJ Dev]]</f>
        <v>0</v>
      </c>
      <c r="Q35" s="10"/>
      <c r="R35" s="10"/>
      <c r="S35" s="10"/>
      <c r="T35" s="10"/>
      <c r="U35" s="10"/>
      <c r="V35" s="10"/>
    </row>
    <row r="36" spans="2:22" ht="12.75">
      <c r="B36" s="10"/>
      <c r="C36" s="10"/>
      <c r="D36" s="10"/>
      <c r="E36" s="10"/>
      <c r="F36" s="10"/>
      <c r="G36" s="10"/>
      <c r="H36" s="10"/>
      <c r="I36" s="10"/>
      <c r="J36" s="10"/>
      <c r="K36" s="10"/>
      <c r="L36" s="10"/>
      <c r="M36" s="10"/>
      <c r="N36" s="10"/>
      <c r="O36" s="10"/>
      <c r="P36" s="10">
        <f>SUBTOTAL(109,Tableau3[Total HJ])</f>
        <v>41.25</v>
      </c>
      <c r="Q36" s="10"/>
      <c r="R36" s="10"/>
      <c r="S36" s="10"/>
      <c r="T36" s="10"/>
      <c r="U36" s="10"/>
      <c r="V36" s="10"/>
    </row>
    <row r="37" spans="2:22" ht="12.75"/>
    <row r="38" spans="2:22" ht="12.75"/>
    <row r="39" spans="2:22" ht="12.75"/>
    <row r="40" spans="2:22" ht="12.75"/>
    <row r="41" spans="2:22" ht="12.75"/>
    <row r="42" spans="2:22" ht="12.75"/>
    <row r="43" spans="2:22" ht="12.75"/>
    <row r="44" spans="2:22" ht="12.75"/>
    <row r="45" spans="2:22" ht="12.75"/>
  </sheetData>
  <mergeCells count="3">
    <mergeCell ref="Q2:V2"/>
    <mergeCell ref="B2:M2"/>
    <mergeCell ref="N2:P2"/>
  </mergeCells>
  <phoneticPr fontId="2" type="noConversion"/>
  <dataValidations disablePrompts="1" count="2">
    <dataValidation type="whole" operator="greaterThanOrEqual" allowBlank="1" showInputMessage="1" showErrorMessage="1" sqref="O14:P35 N14:N16" xr:uid="{10E2E794-3894-4CC1-AB1A-9BB5BF41EABB}">
      <formula1>0</formula1>
    </dataValidation>
    <dataValidation operator="greaterThanOrEqual" allowBlank="1" showInputMessage="1" showErrorMessage="1" sqref="N17 N18:N35" xr:uid="{194CE454-9FC1-4B42-A055-F57AD8C0EDEE}"/>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M14:M35</xm:sqref>
        </x14:dataValidation>
        <x14:dataValidation type="list" allowBlank="1" showInputMessage="1" showErrorMessage="1" xr:uid="{1F2CF1C1-BE35-4DC9-A975-F49F788F3D6A}">
          <x14:formula1>
            <xm:f>Params!$H$3:$H$6</xm:f>
          </x14:formula1>
          <xm:sqref>K14:K35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defaultColWidth="11.42578125" defaultRowHeight="14.45"/>
  <cols>
    <col min="1" max="1" width="12" style="2" customWidth="1"/>
    <col min="2" max="2" width="10.28515625" style="2" customWidth="1"/>
    <col min="3" max="3" width="11.42578125" style="2"/>
    <col min="4" max="4" width="58.28515625" style="2" customWidth="1"/>
    <col min="5" max="5" width="15.7109375" style="2" customWidth="1"/>
    <col min="6" max="6" width="22.28515625" style="2" customWidth="1"/>
    <col min="7" max="7" width="16.5703125" style="2" customWidth="1"/>
    <col min="8" max="16384" width="11.42578125" style="2"/>
  </cols>
  <sheetData>
    <row r="2" spans="1:7" ht="15" thickBot="1"/>
    <row r="3" spans="1:7" ht="24" customHeight="1" thickBot="1">
      <c r="A3" s="2" t="s">
        <v>144</v>
      </c>
      <c r="B3" s="44" t="s">
        <v>5</v>
      </c>
      <c r="C3" s="45"/>
      <c r="D3" s="45"/>
      <c r="E3" s="45"/>
      <c r="F3" s="45"/>
      <c r="G3" s="46"/>
    </row>
    <row r="4" spans="1:7">
      <c r="B4" s="4"/>
      <c r="C4" s="5"/>
      <c r="D4" s="5"/>
      <c r="E4" s="5"/>
      <c r="F4" s="5"/>
      <c r="G4" s="5"/>
    </row>
    <row r="5" spans="1:7">
      <c r="B5" s="12" t="str">
        <f>'Gestion Exigences'!B5</f>
        <v>Client</v>
      </c>
      <c r="D5" s="12" t="str">
        <f>'Gestion Exigences'!D5</f>
        <v>APEM</v>
      </c>
      <c r="E5" s="5"/>
      <c r="F5" s="5"/>
      <c r="G5" s="5"/>
    </row>
    <row r="6" spans="1:7">
      <c r="B6" s="12" t="str">
        <f>'Gestion Exigences'!B6</f>
        <v>Projet</v>
      </c>
      <c r="D6" s="12" t="str">
        <f>'Gestion Exigences'!D6</f>
        <v>Digitalisation du processus Qualité</v>
      </c>
      <c r="E6" s="5"/>
      <c r="F6" s="5"/>
      <c r="G6" s="5"/>
    </row>
    <row r="7" spans="1:7">
      <c r="B7" s="12" t="str">
        <f>'Gestion Exigences'!B7</f>
        <v>Réf BPA du Devis</v>
      </c>
      <c r="D7" s="12" t="str">
        <f>'Gestion Exigences'!D7</f>
        <v>S0-00xyz</v>
      </c>
      <c r="E7" s="5"/>
      <c r="F7" s="5"/>
      <c r="G7" s="5"/>
    </row>
    <row r="8" spans="1:7">
      <c r="B8" s="12" t="str">
        <f>'Gestion Exigences'!B8</f>
        <v>Réf BPA du Projet</v>
      </c>
      <c r="D8" s="12" t="str">
        <f>'Gestion Exigences'!D8</f>
        <v>PR-22-0xyz</v>
      </c>
      <c r="E8" s="5"/>
      <c r="F8" s="5"/>
      <c r="G8" s="5"/>
    </row>
    <row r="9" spans="1:7">
      <c r="B9" s="4"/>
      <c r="C9" s="12"/>
      <c r="D9" s="5"/>
      <c r="E9" s="5"/>
      <c r="F9" s="5"/>
      <c r="G9" s="5"/>
    </row>
    <row r="10" spans="1:7">
      <c r="B10" s="18" t="str">
        <f>'Gestion Exigences'!B10</f>
        <v>Réf Modèle Document</v>
      </c>
      <c r="C10" s="19" t="str">
        <f>'Gestion Exigences'!D10</f>
        <v>MD203</v>
      </c>
      <c r="D10" s="5"/>
      <c r="E10" s="5"/>
      <c r="F10" s="5"/>
      <c r="G10" s="5"/>
    </row>
    <row r="11" spans="1:7">
      <c r="B11" s="18" t="str">
        <f>'Gestion Exigences'!B11</f>
        <v>Version Modèle Document</v>
      </c>
      <c r="C11" s="19" t="str">
        <f>'Gestion Exigences'!D11</f>
        <v>V1.5</v>
      </c>
      <c r="D11" s="5"/>
      <c r="E11" s="5"/>
      <c r="F11" s="5"/>
      <c r="G11" s="5"/>
    </row>
    <row r="12" spans="1:7">
      <c r="B12" s="4"/>
      <c r="C12" s="5"/>
      <c r="D12" s="5"/>
      <c r="E12" s="5"/>
      <c r="F12" s="5"/>
      <c r="G12" s="5"/>
    </row>
    <row r="13" spans="1:7">
      <c r="B13" s="13" t="s">
        <v>145</v>
      </c>
      <c r="C13" s="13" t="s">
        <v>146</v>
      </c>
      <c r="D13" s="13" t="s">
        <v>147</v>
      </c>
      <c r="E13" s="13" t="s">
        <v>148</v>
      </c>
      <c r="F13" s="13" t="s">
        <v>149</v>
      </c>
      <c r="G13" s="13" t="s">
        <v>150</v>
      </c>
    </row>
    <row r="14" spans="1:7" ht="29.65" customHeight="1">
      <c r="B14" s="6" t="s">
        <v>151</v>
      </c>
      <c r="C14" s="7">
        <v>45342</v>
      </c>
      <c r="D14" s="16" t="s">
        <v>152</v>
      </c>
      <c r="E14" s="6" t="s">
        <v>153</v>
      </c>
      <c r="F14" s="15" t="s">
        <v>154</v>
      </c>
      <c r="G14" s="6" t="s">
        <v>155</v>
      </c>
    </row>
    <row r="15" spans="1:7">
      <c r="B15" s="6" t="s">
        <v>156</v>
      </c>
      <c r="C15" s="26">
        <v>45701</v>
      </c>
      <c r="D15" s="2" t="s">
        <v>157</v>
      </c>
      <c r="E15" s="2" t="s">
        <v>158</v>
      </c>
      <c r="F15" s="15" t="s">
        <v>54</v>
      </c>
      <c r="G15" s="6" t="s">
        <v>155</v>
      </c>
    </row>
    <row r="16" spans="1:7">
      <c r="C16" s="26"/>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workbookViewId="0">
      <selection activeCell="I17" sqref="I17"/>
    </sheetView>
  </sheetViews>
  <sheetFormatPr defaultColWidth="11.42578125" defaultRowHeight="13.9"/>
  <cols>
    <col min="1" max="2" width="11.42578125" style="10"/>
    <col min="3" max="4" width="19.7109375" style="10" customWidth="1"/>
    <col min="5" max="5" width="23.7109375" style="10" customWidth="1"/>
    <col min="6" max="6" width="14.42578125" style="10" customWidth="1"/>
    <col min="7" max="7" width="23.7109375" style="10" customWidth="1"/>
    <col min="8" max="8" width="25.28515625" style="10" customWidth="1"/>
    <col min="9" max="9" width="20.42578125" style="10" customWidth="1"/>
    <col min="10" max="16384" width="11.42578125" style="10"/>
  </cols>
  <sheetData>
    <row r="2" spans="2:9" ht="27.6">
      <c r="B2" s="11" t="s">
        <v>8</v>
      </c>
      <c r="C2" s="11" t="s">
        <v>25</v>
      </c>
      <c r="D2" s="11" t="s">
        <v>159</v>
      </c>
      <c r="E2" s="11" t="s">
        <v>29</v>
      </c>
      <c r="F2" s="11" t="s">
        <v>160</v>
      </c>
      <c r="G2" s="11" t="s">
        <v>34</v>
      </c>
      <c r="H2" s="11" t="s">
        <v>161</v>
      </c>
      <c r="I2" s="11" t="s">
        <v>26</v>
      </c>
    </row>
    <row r="3" spans="2:9">
      <c r="B3" s="10" t="s">
        <v>9</v>
      </c>
      <c r="C3" s="10" t="s">
        <v>46</v>
      </c>
      <c r="D3" s="10" t="s">
        <v>48</v>
      </c>
      <c r="E3" s="10" t="s">
        <v>162</v>
      </c>
      <c r="F3" s="10" t="s">
        <v>163</v>
      </c>
      <c r="G3" s="10" t="s">
        <v>164</v>
      </c>
      <c r="H3" s="10" t="s">
        <v>53</v>
      </c>
      <c r="I3" s="10" t="s">
        <v>165</v>
      </c>
    </row>
    <row r="4" spans="2:9">
      <c r="B4" s="10" t="s">
        <v>166</v>
      </c>
      <c r="C4" s="10" t="s">
        <v>167</v>
      </c>
      <c r="D4" s="10" t="s">
        <v>168</v>
      </c>
      <c r="E4" s="10" t="s">
        <v>50</v>
      </c>
      <c r="F4" s="10" t="s">
        <v>169</v>
      </c>
      <c r="G4" s="10" t="s">
        <v>170</v>
      </c>
      <c r="H4" s="10" t="s">
        <v>171</v>
      </c>
      <c r="I4" s="10" t="s">
        <v>172</v>
      </c>
    </row>
    <row r="5" spans="2:9">
      <c r="B5" s="10" t="s">
        <v>173</v>
      </c>
      <c r="C5" s="10" t="s">
        <v>174</v>
      </c>
      <c r="D5" s="10" t="s">
        <v>175</v>
      </c>
      <c r="E5" s="10" t="s">
        <v>176</v>
      </c>
      <c r="F5" s="10" t="s">
        <v>55</v>
      </c>
      <c r="G5" s="10" t="s">
        <v>55</v>
      </c>
      <c r="H5" s="10" t="s">
        <v>55</v>
      </c>
      <c r="I5" s="10" t="s">
        <v>47</v>
      </c>
    </row>
    <row r="6" spans="2:9">
      <c r="B6" s="10" t="s">
        <v>173</v>
      </c>
      <c r="C6" s="10" t="s">
        <v>177</v>
      </c>
      <c r="D6" s="10" t="s">
        <v>178</v>
      </c>
      <c r="E6" s="10" t="s">
        <v>179</v>
      </c>
      <c r="I6" s="10" t="s">
        <v>180</v>
      </c>
    </row>
    <row r="7" spans="2:9">
      <c r="C7" s="10" t="s">
        <v>181</v>
      </c>
      <c r="D7" s="10" t="s">
        <v>182</v>
      </c>
      <c r="E7" s="10" t="s">
        <v>183</v>
      </c>
      <c r="I7" s="10" t="s">
        <v>184</v>
      </c>
    </row>
    <row r="8" spans="2:9">
      <c r="C8" s="10" t="s">
        <v>185</v>
      </c>
      <c r="E8" s="10" t="s">
        <v>186</v>
      </c>
      <c r="I8" s="10" t="s">
        <v>187</v>
      </c>
    </row>
    <row r="9" spans="2:9">
      <c r="E9" s="10" t="s">
        <v>188</v>
      </c>
      <c r="I9" s="10" t="s">
        <v>189</v>
      </c>
    </row>
    <row r="11" spans="2:9">
      <c r="I11" s="10" t="s">
        <v>190</v>
      </c>
    </row>
    <row r="12" spans="2:9" ht="27.6">
      <c r="I12" s="10" t="s">
        <v>191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454B87-A7EA-425F-A330-592676A79628}"/>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2025-09-26T10:34:27Z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