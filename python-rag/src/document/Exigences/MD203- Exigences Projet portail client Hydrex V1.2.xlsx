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Commercial/Documents partages/04 Clients/007 PEC/15 Portail Client/2 Préparation Offre/"/>
    </mc:Choice>
  </mc:AlternateContent>
  <xr:revisionPtr revIDLastSave="26" documentId="8_{A948FDAC-041B-47C3-B18E-964037911EFA}" xr6:coauthVersionLast="47" xr6:coauthVersionMax="47" xr10:uidLastSave="{CC85F0CA-DE4E-4C5D-A5B6-D8C4E5A788D6}"/>
  <bookViews>
    <workbookView xWindow="-108" yWindow="-108" windowWidth="23256" windowHeight="12456" tabRatio="620" xr2:uid="{00000000-000D-0000-FFFF-FFFF00000000}"/>
  </bookViews>
  <sheets>
    <sheet name="Gestion Exigences" sheetId="27" r:id="rId1"/>
    <sheet name="E012" sheetId="31" r:id="rId2"/>
    <sheet name="Modifs Doc" sheetId="29" r:id="rId3"/>
    <sheet name="Params" sheetId="30" r:id="rId4"/>
  </sheets>
  <definedNames>
    <definedName name="_xlnm.Print_Area" localSheetId="0">'Gestion Exigences'!$D$2:$J$21</definedName>
    <definedName name="_xlnm.Print_Area" localSheetId="2">'Modifs Doc'!$B$2:$G$18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27" l="1"/>
  <c r="O40" i="31"/>
  <c r="Q40" i="31"/>
  <c r="Q14" i="31"/>
  <c r="Q15" i="31"/>
  <c r="Q16" i="31"/>
  <c r="Q17" i="31"/>
  <c r="Q18" i="31"/>
  <c r="Q19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Q32" i="31"/>
  <c r="Q33" i="31"/>
  <c r="Q34" i="31"/>
  <c r="Q35" i="31"/>
  <c r="Q36" i="31"/>
  <c r="Q37" i="31"/>
  <c r="Q38" i="31"/>
  <c r="Q13" i="31"/>
  <c r="P15" i="31"/>
  <c r="P16" i="31"/>
  <c r="P17" i="31"/>
  <c r="P18" i="31"/>
  <c r="P19" i="31"/>
  <c r="P20" i="31"/>
  <c r="P21" i="31"/>
  <c r="P22" i="31"/>
  <c r="P23" i="31"/>
  <c r="P24" i="31"/>
  <c r="P25" i="31"/>
  <c r="P26" i="31"/>
  <c r="P27" i="31"/>
  <c r="P28" i="31"/>
  <c r="P29" i="31"/>
  <c r="P30" i="31"/>
  <c r="P31" i="31"/>
  <c r="P32" i="31"/>
  <c r="P33" i="31"/>
  <c r="P34" i="31"/>
  <c r="P35" i="31"/>
  <c r="P36" i="31"/>
  <c r="P37" i="31"/>
  <c r="P38" i="31"/>
  <c r="P13" i="31"/>
  <c r="P14" i="31"/>
  <c r="P19" i="27"/>
  <c r="P17" i="27"/>
  <c r="Q15" i="27"/>
  <c r="R15" i="27" s="1"/>
  <c r="Q14" i="27"/>
  <c r="Q17" i="27"/>
  <c r="R17" i="27" s="1"/>
  <c r="Q16" i="27"/>
  <c r="R16" i="27" s="1"/>
  <c r="Q22" i="27" l="1"/>
  <c r="R22" i="27" s="1"/>
  <c r="Q23" i="27"/>
  <c r="R23" i="27" s="1"/>
  <c r="Q24" i="27"/>
  <c r="R24" i="27" s="1"/>
  <c r="Q25" i="27"/>
  <c r="R25" i="27" s="1"/>
  <c r="Q26" i="27"/>
  <c r="R26" i="27" s="1"/>
  <c r="Q27" i="27"/>
  <c r="R27" i="27" s="1"/>
  <c r="Q28" i="27"/>
  <c r="R28" i="27" s="1"/>
  <c r="Q18" i="27"/>
  <c r="R18" i="27" s="1"/>
  <c r="Q19" i="27"/>
  <c r="R19" i="27" s="1"/>
  <c r="Q20" i="27"/>
  <c r="R20" i="27" s="1"/>
  <c r="Q21" i="27"/>
  <c r="R21" i="27" s="1"/>
  <c r="D5" i="29"/>
  <c r="D6" i="29"/>
  <c r="D7" i="29"/>
  <c r="D8" i="29"/>
  <c r="C10" i="29"/>
  <c r="C11" i="29"/>
  <c r="B6" i="29"/>
  <c r="B7" i="29"/>
  <c r="B8" i="29"/>
  <c r="B10" i="29"/>
  <c r="B11" i="29"/>
  <c r="B5" i="29"/>
  <c r="R29" i="27" l="1"/>
</calcChain>
</file>

<file path=xl/sharedStrings.xml><?xml version="1.0" encoding="utf-8"?>
<sst xmlns="http://schemas.openxmlformats.org/spreadsheetml/2006/main" count="466" uniqueCount="246">
  <si>
    <t>Gestion Exigences Projet</t>
  </si>
  <si>
    <t>Chiffrage Réalisation (SF only)</t>
  </si>
  <si>
    <t>Revue et Vérification Pendant la Conception</t>
  </si>
  <si>
    <t>BU</t>
  </si>
  <si>
    <t>SF</t>
  </si>
  <si>
    <t>Client</t>
  </si>
  <si>
    <t>PEC - Hydrex</t>
  </si>
  <si>
    <t>Projet</t>
  </si>
  <si>
    <t>Portail Client</t>
  </si>
  <si>
    <t>Réf BPA du Devis</t>
  </si>
  <si>
    <t>S0-00xyz</t>
  </si>
  <si>
    <t>Réf BPA du Projet</t>
  </si>
  <si>
    <t>PR-22-0xyz</t>
  </si>
  <si>
    <t>Réf Modèle Document</t>
  </si>
  <si>
    <t>MD203</t>
  </si>
  <si>
    <t>Confidentiel | Usage Client Limité</t>
  </si>
  <si>
    <t>Version Modèle Document</t>
  </si>
  <si>
    <t>V1.5</t>
  </si>
  <si>
    <t>Id</t>
  </si>
  <si>
    <t>Objectif client</t>
  </si>
  <si>
    <t>Intitulé Exigence</t>
  </si>
  <si>
    <t>Option</t>
  </si>
  <si>
    <t>Nature</t>
  </si>
  <si>
    <t>Catégorie</t>
  </si>
  <si>
    <t>Exigence idenfiée pendant la phase</t>
  </si>
  <si>
    <t>Description de l'exigence</t>
  </si>
  <si>
    <t>Source</t>
  </si>
  <si>
    <t>Desciption de la solution MOMSOFT</t>
  </si>
  <si>
    <t>Ecart entre exigence client et la solution proposée - préciser aussi les limites et hypothèses si applicable</t>
  </si>
  <si>
    <t>Validation Interne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</si>
  <si>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</si>
  <si>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</si>
  <si>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</si>
  <si>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</si>
  <si>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</si>
  <si>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</si>
  <si>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</si>
  <si>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</si>
  <si>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</si>
  <si>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</si>
  <si>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</si>
  <si>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E001</t>
  </si>
  <si>
    <t>Administration de l'application</t>
  </si>
  <si>
    <t>Configuration</t>
  </si>
  <si>
    <t>Non</t>
  </si>
  <si>
    <t>Fonctionnelle</t>
  </si>
  <si>
    <t>SF-Fonctionnelle</t>
  </si>
  <si>
    <t>Commerciale</t>
  </si>
  <si>
    <t>Créer des comptes pour les utilisateurs internes et les clients.</t>
  </si>
  <si>
    <t>CdC client</t>
  </si>
  <si>
    <r>
      <t xml:space="preserve">Configuration :
</t>
    </r>
    <r>
      <rPr>
        <sz val="10"/>
        <color rgb="FF000000"/>
        <rFont val="Calibri Light"/>
        <family val="2"/>
        <scheme val="major"/>
      </rPr>
      <t>• Ajout, modification et suppression des utilisateurs internes (Admin, commerciaux, assistant commerciaux).
• Ajout, modification et suppression des clients : Le client reçoit un mail contenant un lien à partir du quel il peut définir son mot de passe.</t>
    </r>
    <r>
      <rPr>
        <b/>
        <sz val="10"/>
        <color rgb="FF000000"/>
        <rFont val="Calibri Light"/>
        <family val="2"/>
        <scheme val="major"/>
      </rPr>
      <t xml:space="preserve">
</t>
    </r>
    <r>
      <rPr>
        <sz val="10"/>
        <color rgb="FF000000"/>
        <rFont val="Calibri Light"/>
        <family val="2"/>
        <scheme val="major"/>
      </rPr>
      <t>• Affectation Client au commerciaux et aux assistants commerciaux</t>
    </r>
    <r>
      <rPr>
        <b/>
        <sz val="10"/>
        <color rgb="FF000000"/>
        <rFont val="Calibri Light"/>
        <family val="2"/>
        <scheme val="major"/>
      </rPr>
      <t xml:space="preserve">
</t>
    </r>
    <r>
      <rPr>
        <sz val="10"/>
        <color rgb="FF000000"/>
        <rFont val="Calibri Light"/>
        <family val="2"/>
        <scheme val="major"/>
      </rPr>
      <t>•Matrice des rôles</t>
    </r>
  </si>
  <si>
    <t>E003</t>
  </si>
  <si>
    <t>Permettre aux clients de suivre les commandes</t>
  </si>
  <si>
    <t>Intégration des commandes</t>
  </si>
  <si>
    <t>Utiliser les API de Sage X3 pour synchroniser automatiquement les données à fréquence définie.</t>
  </si>
  <si>
    <r>
      <rPr>
        <b/>
        <sz val="10"/>
        <color rgb="FF000000"/>
        <rFont val="Calibri Light"/>
        <family val="2"/>
        <scheme val="major"/>
      </rPr>
      <t xml:space="preserve">API Intégration des commandes :
</t>
    </r>
    <r>
      <rPr>
        <sz val="10"/>
        <color rgb="FF000000"/>
        <rFont val="Calibri Light"/>
        <family val="2"/>
        <scheme val="major"/>
      </rPr>
      <t>• Lire les données des commandes à partir de Sage X3 via webservice selon une fréquence prédéfinie ou à la demande.
• Stocker les commandes dans la base de données Smart Factory.
• Acquérir les données des bons de livraison et les factures à partir de Sage X3.
• Acquérir les données du stock à partir de Sage X3. (Option)</t>
    </r>
  </si>
  <si>
    <t>Cette exigence nécéssite une collaboration entre l'équipe MOMSOFT et l'équipe Sage X3.
Le nombre exact de webservice est à définir au cours du workshop.</t>
  </si>
  <si>
    <t>Inclut la partie interfaçage avec X3</t>
  </si>
  <si>
    <t>E004</t>
  </si>
  <si>
    <t>Affichage des commandes en cours</t>
  </si>
  <si>
    <t>Afficher les commandes avec leur statut (validée, expédiée, livrée), intégrées depuis Sage X3.</t>
  </si>
  <si>
    <r>
      <rPr>
        <b/>
        <sz val="10"/>
        <rFont val="Calibri Light"/>
        <family val="2"/>
        <scheme val="major"/>
      </rPr>
      <t>Interface Suivi des commandes :</t>
    </r>
    <r>
      <rPr>
        <sz val="10"/>
        <rFont val="Calibri Light"/>
        <family val="2"/>
        <scheme val="major"/>
      </rPr>
      <t xml:space="preserve">
• Afficher les données des commandes notamment le Numéro commande, date, article, statut, quantité..
•Tri et recherche multicritère</t>
    </r>
  </si>
  <si>
    <t>E005</t>
  </si>
  <si>
    <t>Permettre aux clients d'accéder aux documents de commande</t>
  </si>
  <si>
    <t>Visualisation des bons de livraison et factures</t>
  </si>
  <si>
    <t>Permettre la visualisation et le téléchargement en PDF des bons de livraison et factures.</t>
  </si>
  <si>
    <r>
      <rPr>
        <b/>
        <sz val="10"/>
        <color rgb="FF000000"/>
        <rFont val="Calibri Light"/>
        <family val="2"/>
        <scheme val="major"/>
      </rPr>
      <t xml:space="preserve">Interface Suivi des commandes :
</t>
    </r>
    <r>
      <rPr>
        <sz val="10"/>
        <color rgb="FF000000"/>
        <rFont val="Calibri Light"/>
        <family val="2"/>
        <scheme val="major"/>
      </rPr>
      <t>• Visualiser les bons de livraison et les factures.
• Télecharger les bons de livraison et les factures.
--&gt; Pour les commandes livrées</t>
    </r>
  </si>
  <si>
    <t>E006</t>
  </si>
  <si>
    <t>Informer les clients sur les délais de livraison</t>
  </si>
  <si>
    <t>Délais prévisionnels des commandes</t>
  </si>
  <si>
    <t>Afficher les délais prévisionnels à partir des données historiques de livraison extraites de Sage X3.</t>
  </si>
  <si>
    <r>
      <rPr>
        <b/>
        <sz val="10"/>
        <color rgb="FF000000"/>
        <rFont val="Calibri Light"/>
        <family val="2"/>
        <scheme val="major"/>
      </rPr>
      <t xml:space="preserve">Interface Suivi des commandes :
</t>
    </r>
    <r>
      <rPr>
        <sz val="10"/>
        <color rgb="FF000000"/>
        <rFont val="Calibri Light"/>
        <family val="2"/>
        <scheme val="major"/>
      </rPr>
      <t>• Afficher une estimation des délais prévisonnels par client, Produit, Famille de produit, Type de commande ..
Cette estimation s'appuie sur ces données lues de Sage X3
• Délai d'expédition
• Réceptions prévues des commandes non soldées</t>
    </r>
  </si>
  <si>
    <t>E007</t>
  </si>
  <si>
    <t>Informer les clients sur les ruptures de stock</t>
  </si>
  <si>
    <t>Suivi des produits en rupture</t>
  </si>
  <si>
    <t>Afficher une liste des produits en rupture, avec cause, alternatives proposées et date estimée de réapprovisionnement.</t>
  </si>
  <si>
    <r>
      <rPr>
        <b/>
        <sz val="10"/>
        <color rgb="FF000000"/>
        <rFont val="Calibri Light"/>
        <family val="2"/>
        <scheme val="major"/>
      </rPr>
      <t xml:space="preserve">Interface stock en rupture (Côté fournisseur):
</t>
    </r>
    <r>
      <rPr>
        <sz val="10"/>
        <color rgb="FF000000"/>
        <rFont val="Calibri Light"/>
        <family val="2"/>
        <scheme val="major"/>
      </rPr>
      <t>• Définir les produits en rupture de stock.</t>
    </r>
    <r>
      <rPr>
        <strike/>
        <sz val="10"/>
        <color rgb="FF000000"/>
        <rFont val="Calibri Light"/>
        <family val="2"/>
        <scheme val="major"/>
      </rPr>
      <t xml:space="preserve">
</t>
    </r>
    <r>
      <rPr>
        <sz val="10"/>
        <color rgb="FF000000"/>
        <rFont val="Calibri Light"/>
        <family val="2"/>
        <scheme val="major"/>
      </rPr>
      <t xml:space="preserve">• Définir les alternatives pour chaque produit.
• Préciser la date estimée de réapprovisionnement.
</t>
    </r>
    <r>
      <rPr>
        <b/>
        <sz val="10"/>
        <color rgb="FF000000"/>
        <rFont val="Calibri Light"/>
        <family val="2"/>
        <scheme val="major"/>
      </rPr>
      <t xml:space="preserve">Interface stock en rupture (Côté client):
</t>
    </r>
    <r>
      <rPr>
        <sz val="10"/>
        <color rgb="FF000000"/>
        <rFont val="Calibri Light"/>
        <family val="2"/>
        <scheme val="major"/>
      </rPr>
      <t>• Consulter les produits en rupture, alternatives et date estimée de réapprovisionnement.
•Tri et recherche multicritère</t>
    </r>
  </si>
  <si>
    <t>E009</t>
  </si>
  <si>
    <t>Consulter les stocks disponibles</t>
  </si>
  <si>
    <t>Consultation de stock en temps réel</t>
  </si>
  <si>
    <t>Consultation des stocks et des arrivages à venir via Sage X3 pour les clients premium.</t>
  </si>
  <si>
    <r>
      <rPr>
        <b/>
        <sz val="10"/>
        <rFont val="Calibri Light"/>
        <family val="2"/>
        <scheme val="major"/>
      </rPr>
      <t xml:space="preserve">Configuration :
</t>
    </r>
    <r>
      <rPr>
        <sz val="10"/>
        <rFont val="Calibri Light"/>
        <family val="2"/>
        <scheme val="major"/>
      </rPr>
      <t xml:space="preserve">• Dans la création des clients, permettre de choisir les clients Premuim.
</t>
    </r>
    <r>
      <rPr>
        <b/>
        <sz val="10"/>
        <rFont val="Calibri Light"/>
        <family val="2"/>
        <scheme val="major"/>
      </rPr>
      <t xml:space="preserve">Interface suivi du stock :
</t>
    </r>
    <r>
      <rPr>
        <sz val="10"/>
        <rFont val="Calibri Light"/>
        <family val="2"/>
        <scheme val="major"/>
      </rPr>
      <t>• Permettre l'accès à la table Suivi de stock pour les clients Premuim.
• Permettre la consultation des arrivages à venir pour les clients Premuim.</t>
    </r>
  </si>
  <si>
    <t>Hypothèse : A la mise à jour du stock sur Sage X3, l'information est communiqué à Smart Factory</t>
  </si>
  <si>
    <t>E010</t>
  </si>
  <si>
    <t>Faciliter l’analyse des données</t>
  </si>
  <si>
    <t>Export des données</t>
  </si>
  <si>
    <t>Permettre l’export des données visibles dans le portail en formats CSV/Excel.</t>
  </si>
  <si>
    <r>
      <rPr>
        <b/>
        <sz val="10"/>
        <rFont val="Calibri Light"/>
        <family val="2"/>
        <scheme val="major"/>
      </rPr>
      <t>Export des données :</t>
    </r>
    <r>
      <rPr>
        <sz val="10"/>
        <rFont val="Calibri Light"/>
        <family val="2"/>
        <scheme val="major"/>
      </rPr>
      <t xml:space="preserve">
• Ajout des boutons d'export de données dans l'interface Suivi de commandes.
• Ajout des boutons d'export de données dans les interface suivi de stock
• L'export de données s'effectue sous format Excel/Csv en fonction des filtres sélectionnés dans l'interfaces.</t>
    </r>
  </si>
  <si>
    <t>E011</t>
  </si>
  <si>
    <t>Avoir une vue synthétique personnalisée</t>
  </si>
  <si>
    <t>Tableau de bord client</t>
  </si>
  <si>
    <t>Offrir un tableau de bord avec widgets paramétrables : graphiques de suivi, alertes, etc.</t>
  </si>
  <si>
    <r>
      <rPr>
        <b/>
        <sz val="10"/>
        <color rgb="FF000000"/>
        <rFont val="Calibri Light"/>
        <family val="2"/>
        <scheme val="major"/>
      </rPr>
      <t xml:space="preserve">Tableau de bord :
</t>
    </r>
    <r>
      <rPr>
        <sz val="10"/>
        <color rgb="FF000000"/>
        <rFont val="Calibri Light"/>
        <family val="2"/>
        <scheme val="major"/>
      </rPr>
      <t>• Suivi des commandes en cours.
•KPI des commandes (5 / 6)
•Tri et recherche multicritère</t>
    </r>
    <r>
      <rPr>
        <strike/>
        <sz val="10"/>
        <color rgb="FF000000"/>
        <rFont val="Calibri Light"/>
        <family val="2"/>
        <scheme val="major"/>
      </rPr>
      <t xml:space="preserve">
</t>
    </r>
    <r>
      <rPr>
        <sz val="10"/>
        <color rgb="FF000000"/>
        <rFont val="Calibri Light"/>
        <family val="2"/>
        <scheme val="major"/>
      </rPr>
      <t>Exemple :
Nombre de commande en cours, Nombre de commande en cours,</t>
    </r>
  </si>
  <si>
    <t>E012</t>
  </si>
  <si>
    <t>Améliorer la communication avec Hydrex</t>
  </si>
  <si>
    <t>Messagerie interne sécurisée (OPTION)</t>
  </si>
  <si>
    <t>Oui</t>
  </si>
  <si>
    <t>Proposer une messagerie interne pour échanger avec le service commercial.</t>
  </si>
  <si>
    <r>
      <rPr>
        <b/>
        <sz val="10"/>
        <color rgb="FF000000"/>
        <rFont val="Calibri Light"/>
        <scheme val="major"/>
      </rPr>
      <t xml:space="preserve">Messagerie Interne :
</t>
    </r>
    <r>
      <rPr>
        <sz val="10"/>
        <color rgb="FF000000"/>
        <rFont val="Calibri Light"/>
        <scheme val="major"/>
      </rPr>
      <t>• Le client peut communiquer avec le service commercial directement via l'application.
• Le client peut envoyer un message direct pour l'assistant commercial lui est attaché. 
• L'assistant commercial reçoit une notification browser.
• L'assistant commercial reçoit un mail après X temps s'il n'a pas répondu au message client.
• L'assistant commercial peut répondre directement aux clients.
• Les clients reçoivent une notification browser.
• Le client reçoit un mail après X temps s'il n'a pas répondu au message client.
• Le client a un accès à un bouton qui affiche le numéro et l'e-mail du commercial.
• L'historique de discussion est sauvgardé dans la base de données sécurisée de Smart Factory.</t>
    </r>
  </si>
  <si>
    <t>Chaque Client est rattaché à un commercial et à un assistant commercial
deux boutons 
•contacter assistant : chat
•contacter commercial : mail / Téléphone
Historique discussion une année</t>
  </si>
  <si>
    <t>E013</t>
  </si>
  <si>
    <t>Obtenir rapidement des devis</t>
  </si>
  <si>
    <t>Formulaire de demande de devis (OPTION)</t>
  </si>
  <si>
    <t>Intégrer un formulaire pour soumettre des demandes de devis.</t>
  </si>
  <si>
    <r>
      <rPr>
        <b/>
        <sz val="10"/>
        <color rgb="FF000000"/>
        <rFont val="Calibri Light"/>
        <family val="2"/>
        <scheme val="major"/>
      </rPr>
      <t xml:space="preserve">Interface suivi des devis :
</t>
    </r>
    <r>
      <rPr>
        <sz val="10"/>
        <color rgb="FF000000"/>
        <rFont val="Calibri Light"/>
        <family val="2"/>
        <scheme val="major"/>
      </rPr>
      <t>• Dans l'interface Devis, le client peut créer une demande de devis.
• Le commercial et l'assistant commercial reçoient cette demande et peut la consulter dans l'interface Devis.
• Le commercial peut gérer le statut du devis.</t>
    </r>
  </si>
  <si>
    <t>E014</t>
  </si>
  <si>
    <t>Gérer les réclamations efficacement</t>
  </si>
  <si>
    <t>Système de tickets (OPTION)</t>
  </si>
  <si>
    <t>Permettre aux clients de soumettre des réclamations via un système de tickets.</t>
  </si>
  <si>
    <r>
      <rPr>
        <b/>
        <sz val="10"/>
        <color rgb="FF000000"/>
        <rFont val="Calibri Light"/>
        <family val="2"/>
        <scheme val="major"/>
      </rPr>
      <t xml:space="preserve">Interface réclamations :
</t>
    </r>
    <r>
      <rPr>
        <sz val="10"/>
        <color rgb="FF000000"/>
        <rFont val="Calibri Light"/>
        <family val="2"/>
        <scheme val="major"/>
      </rPr>
      <t xml:space="preserve">• Le client peut créer des réclamations.
• L'équipe commercial reçoit une notification de réclamation.
• L'équipe commercial peut consulter les réclamations.
• L'équipe commercial peut envoyer un rapport des causes et des actions pour le client.
• Le client peut consulter l'avancement de la réclamation.
</t>
    </r>
  </si>
  <si>
    <t>E015</t>
  </si>
  <si>
    <t>Optimiser les commandes</t>
  </si>
  <si>
    <t>Module de suggestion de commande (OPTIONNEL)</t>
  </si>
  <si>
    <t>Proposer des suggestions d’articles à commander basées sur l’historique du client.</t>
  </si>
  <si>
    <r>
      <t xml:space="preserve">Interface suivi des commandes :
</t>
    </r>
    <r>
      <rPr>
        <sz val="10"/>
        <rFont val="Calibri Light"/>
        <family val="2"/>
        <scheme val="major"/>
      </rPr>
      <t>Ajouter un champ période et un bouton Simulation des commandes qui génère une prédication des commandes de la période sélectionnée</t>
    </r>
  </si>
  <si>
    <t>E016</t>
  </si>
  <si>
    <t>Assurer la sécurité des données</t>
  </si>
  <si>
    <t>Authentification à 2 facteurs</t>
  </si>
  <si>
    <t>Sécurité</t>
  </si>
  <si>
    <t>Authentification via SMS ou email à chaque connexion.</t>
  </si>
  <si>
    <r>
      <rPr>
        <b/>
        <sz val="10"/>
        <rFont val="Calibri Light"/>
        <family val="2"/>
        <scheme val="major"/>
      </rPr>
      <t xml:space="preserve">Authentification :
</t>
    </r>
    <r>
      <rPr>
        <sz val="10"/>
        <rFont val="Calibri Light"/>
        <family val="2"/>
        <scheme val="major"/>
      </rPr>
      <t>• Authentification à deux facteurs via email.
• Après introduction du Login et du Mot de passe, le client reçoit un e-mail contenant un OTP.
• Le client introduit l'OTP afin d'accéder à l'application.
• Les utilisateurs internes de l'application peuvent accéder sans doubles authentification.</t>
    </r>
  </si>
  <si>
    <t>Pas d'authentification via SMS.
Décider sur la méthode d'authentification des utilisateurs internes.</t>
  </si>
  <si>
    <t>E017</t>
  </si>
  <si>
    <t>Garantir la confidentialité des échanges</t>
  </si>
  <si>
    <t>Chiffrement SSL/TLS</t>
  </si>
  <si>
    <t>SF-Intégration SI</t>
  </si>
  <si>
    <t>Chiffrement des données via SSL/TLS 1.3 ou supérieur.</t>
  </si>
  <si>
    <r>
      <t xml:space="preserve">Sécurité :
</t>
    </r>
    <r>
      <rPr>
        <sz val="10"/>
        <rFont val="Calibri Light"/>
        <family val="2"/>
        <scheme val="major"/>
      </rPr>
      <t>• Les données sont chiffrées via SSL/TLS 1.3 ou supérieur.</t>
    </r>
  </si>
  <si>
    <t>Dicortication de l'exigence</t>
  </si>
  <si>
    <t>ID</t>
  </si>
  <si>
    <t xml:space="preserve">Intitulée </t>
  </si>
  <si>
    <t>Messagerie interne</t>
  </si>
  <si>
    <t xml:space="preserve">Description </t>
  </si>
  <si>
    <t>Frontend / backend</t>
  </si>
  <si>
    <t>E012.01</t>
  </si>
  <si>
    <t xml:space="preserve">start converstaion pop up </t>
  </si>
  <si>
    <t>Frontend</t>
  </si>
  <si>
    <t>E012.02</t>
  </si>
  <si>
    <t>get all conversations ( conv list with pagination scroll to paginate )</t>
  </si>
  <si>
    <t>E012.03</t>
  </si>
  <si>
    <t>get messages by conversation id ( with paginatin scroll to paginate )</t>
  </si>
  <si>
    <t>E012.04</t>
  </si>
  <si>
    <t xml:space="preserve">send message </t>
  </si>
  <si>
    <t>E012.05</t>
  </si>
  <si>
    <t>send message with attachment</t>
  </si>
  <si>
    <t>E012.06</t>
  </si>
  <si>
    <t xml:space="preserve">display selected attchement </t>
  </si>
  <si>
    <t>E012.07</t>
  </si>
  <si>
    <t>display message attachement</t>
  </si>
  <si>
    <t>E012.08</t>
  </si>
  <si>
    <t xml:space="preserve">display contact information </t>
  </si>
  <si>
    <t>E012.09</t>
  </si>
  <si>
    <t>list conversation attachments</t>
  </si>
  <si>
    <t>E012.10</t>
  </si>
  <si>
    <t xml:space="preserve">mark msg as seen </t>
  </si>
  <si>
    <t>E012.11</t>
  </si>
  <si>
    <t xml:space="preserve">mark all conversation as seen </t>
  </si>
  <si>
    <t>E012.12</t>
  </si>
  <si>
    <t xml:space="preserve">list notifications </t>
  </si>
  <si>
    <t>E012.13</t>
  </si>
  <si>
    <t xml:space="preserve">display conversation on the side bar </t>
  </si>
  <si>
    <t>E012.14</t>
  </si>
  <si>
    <t xml:space="preserve">display messages in side bar </t>
  </si>
  <si>
    <t>E012.15</t>
  </si>
  <si>
    <t xml:space="preserve">send messag in side bar </t>
  </si>
  <si>
    <t>E012.16</t>
  </si>
  <si>
    <t xml:space="preserve">search conversations by user name </t>
  </si>
  <si>
    <t>E012.17</t>
  </si>
  <si>
    <t xml:space="preserve">integartion web socket to receive messages in real time </t>
  </si>
  <si>
    <t>Backend</t>
  </si>
  <si>
    <t>E012.18</t>
  </si>
  <si>
    <t xml:space="preserve">integartion web socket for push notifications </t>
  </si>
  <si>
    <t>E012.19</t>
  </si>
  <si>
    <t xml:space="preserve">integartion cron job for email notifications </t>
  </si>
  <si>
    <t>E012.20</t>
  </si>
  <si>
    <t xml:space="preserve">get messages by convo id  + pagination + ordered by creation date </t>
  </si>
  <si>
    <t>E012.21</t>
  </si>
  <si>
    <t xml:space="preserve">get convos by user id + pagination ( each convo has to come with profile details of 2nd partie and the last msg of the conversation )+ rdered by creation date </t>
  </si>
  <si>
    <t>E012.22</t>
  </si>
  <si>
    <t xml:space="preserve">upload attachement </t>
  </si>
  <si>
    <t>E012.23</t>
  </si>
  <si>
    <t xml:space="preserve">get attachements by convo id + pagination </t>
  </si>
  <si>
    <t>E012.24</t>
  </si>
  <si>
    <t>E012.25</t>
  </si>
  <si>
    <t xml:space="preserve">search convo by user name </t>
  </si>
  <si>
    <t>E012.26</t>
  </si>
  <si>
    <t>creation des tables messages , convo , conversations users , seen msgs , msg notif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</si>
  <si>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</si>
  <si>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</si>
  <si>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</si>
  <si>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</si>
  <si>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</si>
  <si>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</si>
  <si>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</si>
  <si>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V1.0</t>
  </si>
  <si>
    <t xml:space="preserve">Version initiale </t>
  </si>
  <si>
    <t>Nihel K.</t>
  </si>
  <si>
    <t xml:space="preserve">Mahdi B. + Ferjania BA </t>
  </si>
  <si>
    <t>Imed A.</t>
  </si>
  <si>
    <t>V1.1</t>
  </si>
  <si>
    <t>Ajout Colonne Objectif.
Mise à jour Design</t>
  </si>
  <si>
    <t>Mahdi B.</t>
  </si>
  <si>
    <t>N/A</t>
  </si>
  <si>
    <t>Exigence identifiée pendant la phase</t>
  </si>
  <si>
    <t>Oui/Non</t>
  </si>
  <si>
    <t>Statut Interne</t>
  </si>
  <si>
    <t>SE</t>
  </si>
  <si>
    <t>Validée par le client</t>
  </si>
  <si>
    <t>Validée</t>
  </si>
  <si>
    <t>*** SE</t>
  </si>
  <si>
    <t>SE-TN</t>
  </si>
  <si>
    <t>Performance</t>
  </si>
  <si>
    <t>Conception</t>
  </si>
  <si>
    <t>Workshop/réunion client</t>
  </si>
  <si>
    <t>Non validée par client</t>
  </si>
  <si>
    <t>Non validée</t>
  </si>
  <si>
    <t>SE-Processus</t>
  </si>
  <si>
    <t>SE-MA</t>
  </si>
  <si>
    <t>Reglementaire</t>
  </si>
  <si>
    <t>Réalisation</t>
  </si>
  <si>
    <t>Workshop/réunion Interne</t>
  </si>
  <si>
    <t>SE-Mécanique</t>
  </si>
  <si>
    <t>Mise en œuvre</t>
  </si>
  <si>
    <t>Standards client</t>
  </si>
  <si>
    <t>SE-Electrique</t>
  </si>
  <si>
    <t>R&amp;D</t>
  </si>
  <si>
    <t>Standard Client</t>
  </si>
  <si>
    <t>Support et maintenance</t>
  </si>
  <si>
    <t>Standards ADDIXO</t>
  </si>
  <si>
    <t>SE-Soft</t>
  </si>
  <si>
    <t>LOOYAS</t>
  </si>
  <si>
    <t>Standard ADDIXO</t>
  </si>
  <si>
    <t>Reglementation</t>
  </si>
  <si>
    <t>SE-Auto</t>
  </si>
  <si>
    <t>A définir</t>
  </si>
  <si>
    <t>Demande modification</t>
  </si>
  <si>
    <t>SE-Fabrication</t>
  </si>
  <si>
    <t>SE-Intégration</t>
  </si>
  <si>
    <t>SE-Achats</t>
  </si>
  <si>
    <t>*** SF</t>
  </si>
  <si>
    <t>SF-Processus</t>
  </si>
  <si>
    <t>SF-Connectivité Machine</t>
  </si>
  <si>
    <t>SF-Software</t>
  </si>
  <si>
    <t>SF-Infra IT</t>
  </si>
  <si>
    <t>*** TC</t>
  </si>
  <si>
    <t>TC-Prestations sur site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</si>
</sst>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</font>
    <font>
      <sz val="4"/>
      <name val="Calibri Light"/>
      <family val="2"/>
      <scheme val="major"/>
    </font>
    <font>
      <sz val="10"/>
      <color theme="0"/>
      <name val="Calibri Light"/>
      <family val="2"/>
      <scheme val="major"/>
    </font>
    <font>
      <b/>
      <sz val="12"/>
      <color theme="0"/>
      <name val="Calibri Light"/>
      <family val="2"/>
    </font>
    <font>
      <b/>
      <sz val="11"/>
      <color theme="0"/>
      <name val="Calibri Light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trike/>
      <sz val="10"/>
      <color rgb="FF000000"/>
      <name val="Calibri Light"/>
      <family val="2"/>
      <scheme val="major"/>
    </font>
    <font>
      <b/>
      <sz val="10"/>
      <color rgb="FF000000"/>
      <name val="Calibri Light"/>
      <scheme val="major"/>
    </font>
    <font>
      <sz val="10"/>
      <color rgb="FF000000"/>
      <name val="Calibri Light"/>
      <scheme val="major"/>
    </font>
    <font>
      <b/>
      <sz val="10"/>
      <name val="Arial"/>
    </font>
    <font>
      <sz val="10"/>
      <name val="Calibri Light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E0B1"/>
        <bgColor indexed="64"/>
      </patternFill>
    </fill>
    <fill>
      <patternFill patternType="solid">
        <fgColor rgb="FF00425A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rgb="FFFF7F0B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0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5" fillId="0" borderId="0" xfId="0" applyFont="1" applyAlignment="1">
      <alignment horizontal="left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5" fillId="0" borderId="0" xfId="0" applyFont="1"/>
    <xf numFmtId="0" fontId="15" fillId="0" borderId="0" xfId="0" applyFont="1"/>
    <xf numFmtId="0" fontId="1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left" wrapText="1"/>
    </xf>
    <xf numFmtId="14" fontId="3" fillId="0" borderId="0" xfId="0" applyNumberFormat="1" applyFont="1" applyAlignment="1">
      <alignment wrapText="1"/>
    </xf>
    <xf numFmtId="0" fontId="18" fillId="2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6" fillId="2" borderId="4" xfId="0" applyFont="1" applyFill="1" applyBorder="1" applyAlignment="1">
      <alignment vertical="center"/>
    </xf>
    <xf numFmtId="0" fontId="16" fillId="2" borderId="5" xfId="0" applyFont="1" applyFill="1" applyBorder="1" applyAlignment="1">
      <alignment vertical="center"/>
    </xf>
    <xf numFmtId="0" fontId="16" fillId="2" borderId="5" xfId="0" applyFont="1" applyFill="1" applyBorder="1" applyAlignment="1">
      <alignment vertical="center" wrapText="1"/>
    </xf>
    <xf numFmtId="0" fontId="16" fillId="2" borderId="6" xfId="0" applyFont="1" applyFill="1" applyBorder="1" applyAlignment="1">
      <alignment vertical="center" wrapText="1"/>
    </xf>
    <xf numFmtId="0" fontId="16" fillId="4" borderId="5" xfId="0" applyFont="1" applyFill="1" applyBorder="1" applyAlignment="1">
      <alignment vertical="center" wrapText="1"/>
    </xf>
    <xf numFmtId="0" fontId="16" fillId="5" borderId="7" xfId="0" applyFont="1" applyFill="1" applyBorder="1" applyAlignment="1">
      <alignment vertical="center" wrapText="1"/>
    </xf>
    <xf numFmtId="0" fontId="16" fillId="5" borderId="5" xfId="0" applyFont="1" applyFill="1" applyBorder="1" applyAlignment="1">
      <alignment vertical="center" wrapText="1"/>
    </xf>
    <xf numFmtId="0" fontId="16" fillId="5" borderId="8" xfId="0" applyFont="1" applyFill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1" fillId="0" borderId="0" xfId="0" applyFont="1" applyAlignment="1">
      <alignment wrapText="1"/>
    </xf>
    <xf numFmtId="0" fontId="25" fillId="0" borderId="0" xfId="0" applyFont="1" applyAlignment="1">
      <alignment vertical="center" wrapText="1"/>
    </xf>
    <xf numFmtId="0" fontId="26" fillId="0" borderId="0" xfId="0" applyFont="1"/>
    <xf numFmtId="0" fontId="11" fillId="5" borderId="1" xfId="0" applyFont="1" applyFill="1" applyBorder="1" applyAlignment="1">
      <alignment horizontal="center" wrapText="1"/>
    </xf>
    <xf numFmtId="0" fontId="11" fillId="5" borderId="2" xfId="0" applyFont="1" applyFill="1" applyBorder="1" applyAlignment="1">
      <alignment horizontal="center" wrapText="1"/>
    </xf>
    <xf numFmtId="0" fontId="11" fillId="5" borderId="3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/>
    </xf>
    <xf numFmtId="0" fontId="1" fillId="0" borderId="9" xfId="0" applyFont="1" applyBorder="1" applyAlignment="1">
      <alignment wrapText="1"/>
    </xf>
    <xf numFmtId="0" fontId="21" fillId="0" borderId="9" xfId="0" applyFont="1" applyBorder="1" applyAlignment="1">
      <alignment wrapText="1"/>
    </xf>
    <xf numFmtId="0" fontId="27" fillId="0" borderId="9" xfId="0" applyFont="1" applyBorder="1" applyAlignment="1">
      <alignment vertical="center"/>
    </xf>
    <xf numFmtId="0" fontId="22" fillId="0" borderId="9" xfId="0" applyFont="1" applyBorder="1" applyAlignment="1">
      <alignment vertical="center" wrapText="1"/>
    </xf>
    <xf numFmtId="0" fontId="0" fillId="0" borderId="9" xfId="0" applyBorder="1"/>
    <xf numFmtId="0" fontId="0" fillId="0" borderId="9" xfId="0" applyBorder="1" applyAlignment="1">
      <alignment vertical="center" wrapText="1"/>
    </xf>
    <xf numFmtId="0" fontId="16" fillId="2" borderId="10" xfId="0" applyFont="1" applyFill="1" applyBorder="1" applyAlignment="1">
      <alignment vertical="center"/>
    </xf>
    <xf numFmtId="0" fontId="16" fillId="2" borderId="11" xfId="0" applyFont="1" applyFill="1" applyBorder="1" applyAlignment="1">
      <alignment vertical="center"/>
    </xf>
    <xf numFmtId="0" fontId="16" fillId="2" borderId="11" xfId="0" applyFont="1" applyFill="1" applyBorder="1" applyAlignment="1">
      <alignment vertical="center" wrapText="1"/>
    </xf>
    <xf numFmtId="0" fontId="16" fillId="2" borderId="12" xfId="0" applyFont="1" applyFill="1" applyBorder="1" applyAlignment="1">
      <alignment vertical="center" wrapText="1"/>
    </xf>
    <xf numFmtId="0" fontId="16" fillId="4" borderId="11" xfId="0" applyFont="1" applyFill="1" applyBorder="1" applyAlignment="1">
      <alignment vertical="center" wrapText="1"/>
    </xf>
    <xf numFmtId="0" fontId="16" fillId="5" borderId="13" xfId="0" applyFont="1" applyFill="1" applyBorder="1" applyAlignment="1">
      <alignment vertical="center" wrapText="1"/>
    </xf>
    <xf numFmtId="0" fontId="16" fillId="5" borderId="11" xfId="0" applyFont="1" applyFill="1" applyBorder="1" applyAlignment="1">
      <alignment vertical="center" wrapText="1"/>
    </xf>
    <xf numFmtId="0" fontId="16" fillId="5" borderId="14" xfId="0" applyFont="1" applyFill="1" applyBorder="1" applyAlignment="1">
      <alignment vertical="center" wrapText="1"/>
    </xf>
  </cellXfs>
  <cellStyles count="1"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none"/>
      </font>
      <fill>
        <patternFill patternType="solid">
          <fgColor indexed="64"/>
          <bgColor rgb="FF00E0B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fill>
        <patternFill>
          <fgColor indexed="64"/>
          <bgColor rgb="FF00E0B1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7F0B"/>
      <color rgb="FF00B8FF"/>
      <color rgb="FF00E0B1"/>
      <color rgb="FF0042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62754</xdr:colOff>
      <xdr:row>2</xdr:row>
      <xdr:rowOff>188259</xdr:rowOff>
    </xdr:from>
    <xdr:to>
      <xdr:col>2</xdr:col>
      <xdr:colOff>1353671</xdr:colOff>
      <xdr:row>2</xdr:row>
      <xdr:rowOff>810503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796DF62-C2DE-4317-5F4D-42BBC1577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8" y="645459"/>
          <a:ext cx="1712258" cy="622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66675</xdr:rowOff>
    </xdr:from>
    <xdr:to>
      <xdr:col>2</xdr:col>
      <xdr:colOff>790575</xdr:colOff>
      <xdr:row>2</xdr:row>
      <xdr:rowOff>552450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EBDB4B0-3FE7-4693-A22A-C516867DD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390525"/>
          <a:ext cx="1352550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3:X29" totalsRowCount="1" headerRowDxfId="56" dataDxfId="55" headerRowBorderDxfId="54">
  <autoFilter ref="B13:X28" xr:uid="{DDEA2C8B-EE0D-4C55-9256-CCC64E002CE6}"/>
  <tableColumns count="23">
    <tableColumn id="1" xr3:uid="{E467E0EE-CDAA-4FF5-85A8-CDC0B23A5AD9}" name="Id" dataDxfId="52" totalsRowDxfId="53"/>
    <tableColumn id="23" xr3:uid="{DB65C818-8EF5-4DCC-9DA7-4CD05A291796}" name="Objectif client" dataDxfId="50" totalsRowDxfId="51"/>
    <tableColumn id="2" xr3:uid="{E53952AC-4972-47BD-8B1D-C7EF23088D0D}" name="Intitulé Exigence" dataDxfId="48" totalsRowDxfId="49"/>
    <tableColumn id="19" xr3:uid="{4DE15057-09AA-41E6-95D5-27A126AF3FCB}" name="Option" dataDxfId="46" totalsRowDxfId="47"/>
    <tableColumn id="8" xr3:uid="{B2D0BC2C-C803-4015-8FA6-70F84517BDB2}" name="Nature" dataDxfId="44" totalsRowDxfId="45"/>
    <tableColumn id="7" xr3:uid="{24F2F0ED-022E-4EC1-91D8-BFE0E4F2FD36}" name="Catégorie" dataDxfId="42" totalsRowDxfId="43"/>
    <tableColumn id="10" xr3:uid="{1FF81CF1-6D35-421C-8767-9E7FA06FEE6A}" name="Exigence idenfiée pendant la phase" dataDxfId="40" totalsRowDxfId="41"/>
    <tableColumn id="3" xr3:uid="{E7621A68-9552-4853-96A5-92A226EA42DD}" name="Description de l'exigence" dataDxfId="38" totalsRowDxfId="39"/>
    <tableColumn id="9" xr3:uid="{E6EEEC82-3576-4980-94B3-1423906CE531}" name="Source" dataDxfId="36" totalsRowDxfId="37"/>
    <tableColumn id="16" xr3:uid="{1441554A-79F9-4040-9CF5-AEBFF7ADF7D1}" name="Desciption de la solution MOMSOFT" dataDxfId="34" totalsRowDxfId="35"/>
    <tableColumn id="17" xr3:uid="{D1BC9C86-C3CE-417F-AC83-FC4786A7656D}" name="Ecart entre exigence client et la solution proposée - préciser aussi les limites et hypothèses si applicable" dataDxfId="32" totalsRowDxfId="33"/>
    <tableColumn id="5" xr3:uid="{2649C3B7-E8B9-44F9-8883-E5BB6F91B4B1}" name="Validation Interne" dataDxfId="30" totalsRowDxfId="31"/>
    <tableColumn id="6" xr3:uid="{8CC493F8-0886-498D-AB98-B77300CC6510}" name="Validation Interne par:" dataDxfId="28" totalsRowDxfId="29"/>
    <tableColumn id="15" xr3:uid="{78231C60-0932-4386-925D-4C689A91C0E3}" name="Statut Client" dataDxfId="26" totalsRowDxfId="27"/>
    <tableColumn id="22" xr3:uid="{D944A0FD-E468-407F-91A6-BD8A29086A7B}" name="HJ Dev" dataDxfId="24" totalsRowDxfId="25">
      <calculatedColumnFormula>1+0.5+0.75+1</calculatedColumnFormula>
    </tableColumn>
    <tableColumn id="21" xr3:uid="{818C68C5-1CC3-4DC9-9BB8-2CB7816ABE9F}" name="HJ Analyse et Test" dataDxfId="22" totalsRowDxfId="23">
      <calculatedColumnFormula>Tableau3[[#This Row],[HJ Dev]]*(25%+25%)</calculatedColumnFormula>
    </tableColumn>
    <tableColumn id="20" xr3:uid="{81CB5860-4285-4425-ABF9-C91F3323BF25}" name="Total HJ" totalsRowFunction="sum" dataDxfId="20" totalsRowDxfId="21">
      <calculatedColumnFormula>Tableau3[[#This Row],[HJ Analyse et Test]]+Tableau3[[#This Row],[HJ Dev]]</calculatedColumnFormula>
    </tableColumn>
    <tableColumn id="11" xr3:uid="{20685332-73A9-4B9D-874E-F1C9F770405F}" name="Description comment la conception de la solution prend en compte l'exigence client" dataDxfId="18" totalsRowDxfId="19"/>
    <tableColumn id="12" xr3:uid="{36B390F4-625A-46E1-864B-7108903FFD96}" name="Conception réalisée par:" dataDxfId="16" totalsRowDxfId="17"/>
    <tableColumn id="13" xr3:uid="{9016419E-83A5-4950-AB28-EA27A0D72FAD}" name="Revue conception réalisée par" dataDxfId="14" totalsRowDxfId="15"/>
    <tableColumn id="14" xr3:uid="{B5F29B7E-09EB-43EF-BD3D-9ADF38F7CC12}" name="Vérification de la conception réalisée par" dataDxfId="12" totalsRowDxfId="13"/>
    <tableColumn id="18" xr3:uid="{0CA25C90-64D6-43D5-90C8-CE6D70CCA638}" name="Preuve de vérification " dataDxfId="10" totalsRowDxfId="11"/>
    <tableColumn id="4" xr3:uid="{B7406A3A-A365-4F76-9A20-372573D19BC9}" name="Notes" dataDxfId="8" totalsRowDxfId="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7" dataDxfId="6">
  <autoFilter ref="B13:G18" xr:uid="{96AD1385-A1F5-4391-ABC2-C9F250557626}"/>
  <tableColumns count="6">
    <tableColumn id="1" xr3:uid="{56DA355E-F205-482A-9CF1-CA3361A1D801}" name="Version" dataDxfId="5"/>
    <tableColumn id="2" xr3:uid="{C9D8A0D7-1D6E-479B-AF74-6D39D19E4653}" name="Date" dataDxfId="4"/>
    <tableColumn id="3" xr3:uid="{79109713-8A38-4162-A269-136157905B75}" name="Modifications" dataDxfId="3"/>
    <tableColumn id="4" xr3:uid="{AC928B3E-399C-4A3D-9FB5-9CD96F5D4745}" name="Auteur(s)" dataDxfId="2"/>
    <tableColumn id="5" xr3:uid="{0D0A428D-4F18-4D4E-A0CB-4D1A5057B6E9}" name="Vérificateur(s)" dataDxfId="1"/>
    <tableColumn id="6" xr3:uid="{D81EAB57-FBCA-44D9-8F45-58AF13AA08B6}" name="Approbateu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X53"/>
  <sheetViews>
    <sheetView tabSelected="1" topLeftCell="A11" zoomScale="70" zoomScaleNormal="70" workbookViewId="0">
      <selection activeCell="R25" sqref="R25"/>
    </sheetView>
  </sheetViews>
  <sheetFormatPr defaultColWidth="11.42578125" defaultRowHeight="13.9"/>
  <cols>
    <col min="1" max="1" width="11.42578125" style="1"/>
    <col min="2" max="2" width="6.140625" style="1" customWidth="1"/>
    <col min="3" max="3" width="26.140625" style="1" customWidth="1"/>
    <col min="4" max="4" width="27.42578125" style="1" customWidth="1"/>
    <col min="5" max="5" width="18.28515625" style="1" customWidth="1"/>
    <col min="6" max="6" width="18.28515625" style="1" hidden="1" customWidth="1"/>
    <col min="7" max="7" width="22.42578125" style="1" hidden="1" customWidth="1"/>
    <col min="8" max="8" width="56.5703125" style="1" hidden="1" customWidth="1"/>
    <col min="9" max="9" width="18.42578125" style="1" hidden="1" customWidth="1"/>
    <col min="10" max="10" width="56.5703125" style="1" hidden="1" customWidth="1"/>
    <col min="11" max="11" width="33.140625" style="1" customWidth="1"/>
    <col min="12" max="13" width="13.5703125" style="1" hidden="1" customWidth="1"/>
    <col min="14" max="14" width="15.28515625" style="1" hidden="1" customWidth="1"/>
    <col min="15" max="15" width="11.85546875" style="1" customWidth="1"/>
    <col min="16" max="16" width="15.42578125" style="1" customWidth="1"/>
    <col min="17" max="17" width="13.7109375" style="1" customWidth="1"/>
    <col min="18" max="18" width="39.85546875" style="1" customWidth="1"/>
    <col min="19" max="19" width="15.7109375" style="1" customWidth="1"/>
    <col min="20" max="20" width="20.5703125" style="1" customWidth="1"/>
    <col min="21" max="21" width="20.140625" style="1" customWidth="1"/>
    <col min="22" max="22" width="15.140625" style="1" customWidth="1"/>
    <col min="23" max="23" width="30.85546875" style="1" customWidth="1"/>
    <col min="24" max="24" width="23.7109375" style="1" customWidth="1"/>
    <col min="25" max="16384" width="11.42578125" style="1"/>
  </cols>
  <sheetData>
    <row r="1" spans="2:24" ht="14.45" thickBot="1"/>
    <row r="2" spans="2:24" ht="33" customHeight="1" thickBot="1">
      <c r="B2" s="43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  <c r="O2" s="46" t="s">
        <v>1</v>
      </c>
      <c r="P2" s="47"/>
      <c r="Q2" s="48"/>
      <c r="R2" s="40" t="s">
        <v>2</v>
      </c>
      <c r="S2" s="41"/>
      <c r="T2" s="41"/>
      <c r="U2" s="41"/>
      <c r="V2" s="41"/>
      <c r="W2" s="42"/>
    </row>
    <row r="3" spans="2:24" ht="66" customHeight="1">
      <c r="D3" s="8"/>
      <c r="E3" s="8"/>
      <c r="F3" s="8"/>
      <c r="G3" s="8"/>
      <c r="H3" s="8"/>
      <c r="I3" s="8"/>
      <c r="J3" s="8"/>
    </row>
    <row r="4" spans="2:24" ht="21" customHeight="1">
      <c r="B4" s="22" t="s">
        <v>3</v>
      </c>
      <c r="C4" s="22"/>
      <c r="D4" s="8" t="s">
        <v>4</v>
      </c>
      <c r="E4" s="23"/>
      <c r="F4" s="8"/>
      <c r="G4" s="8"/>
      <c r="H4" s="8"/>
      <c r="I4" s="8"/>
      <c r="J4" s="8"/>
    </row>
    <row r="5" spans="2:24" ht="21.75" customHeight="1">
      <c r="B5" s="19" t="s">
        <v>5</v>
      </c>
      <c r="C5" s="19"/>
      <c r="D5" s="1" t="s">
        <v>6</v>
      </c>
      <c r="E5" s="3"/>
      <c r="F5" s="3"/>
      <c r="G5" s="3"/>
      <c r="H5" s="3"/>
      <c r="I5" s="3"/>
      <c r="J5" s="3"/>
    </row>
    <row r="6" spans="2:24" ht="21" customHeight="1">
      <c r="B6" s="19" t="s">
        <v>7</v>
      </c>
      <c r="C6" s="19"/>
      <c r="D6" s="1" t="s">
        <v>8</v>
      </c>
      <c r="E6" s="3"/>
      <c r="F6" s="3"/>
      <c r="G6" s="3"/>
      <c r="H6" s="3"/>
      <c r="I6" s="3"/>
      <c r="J6" s="3"/>
    </row>
    <row r="7" spans="2:24" ht="20.45" customHeight="1">
      <c r="B7" s="19" t="s">
        <v>9</v>
      </c>
      <c r="C7" s="19"/>
      <c r="E7" s="3" t="s">
        <v>10</v>
      </c>
      <c r="F7" s="3"/>
      <c r="G7" s="3"/>
      <c r="H7" s="3"/>
      <c r="I7" s="3"/>
      <c r="J7" s="3"/>
    </row>
    <row r="8" spans="2:24" ht="21.6" customHeight="1">
      <c r="B8" s="19" t="s">
        <v>11</v>
      </c>
      <c r="C8" s="19"/>
      <c r="E8" s="3" t="s">
        <v>12</v>
      </c>
      <c r="F8" s="3"/>
      <c r="G8" s="3"/>
      <c r="H8" s="3"/>
      <c r="I8" s="3"/>
      <c r="J8" s="3"/>
    </row>
    <row r="9" spans="2:24" ht="14.45">
      <c r="D9" s="3"/>
      <c r="E9" s="16"/>
      <c r="F9" s="16"/>
      <c r="G9" s="16"/>
      <c r="H9" s="16"/>
      <c r="I9" s="16"/>
      <c r="J9" s="16"/>
    </row>
    <row r="10" spans="2:24">
      <c r="B10" s="20" t="s">
        <v>13</v>
      </c>
      <c r="C10" s="20"/>
      <c r="D10" s="21"/>
      <c r="E10" s="20" t="s">
        <v>14</v>
      </c>
      <c r="F10" s="9"/>
      <c r="G10" s="9"/>
      <c r="J10" s="13" t="s">
        <v>15</v>
      </c>
    </row>
    <row r="11" spans="2:24">
      <c r="B11" s="20" t="s">
        <v>16</v>
      </c>
      <c r="C11" s="20"/>
      <c r="D11" s="21"/>
      <c r="E11" s="20" t="s">
        <v>17</v>
      </c>
      <c r="F11" s="9"/>
      <c r="G11" s="9"/>
    </row>
    <row r="13" spans="2:24" s="10" customFormat="1" ht="42" customHeight="1">
      <c r="B13" s="28" t="s">
        <v>18</v>
      </c>
      <c r="C13" s="29" t="s">
        <v>19</v>
      </c>
      <c r="D13" s="30" t="s">
        <v>20</v>
      </c>
      <c r="E13" s="30" t="s">
        <v>21</v>
      </c>
      <c r="F13" s="30" t="s">
        <v>22</v>
      </c>
      <c r="G13" s="30" t="s">
        <v>23</v>
      </c>
      <c r="H13" s="30" t="s">
        <v>24</v>
      </c>
      <c r="I13" s="30" t="s">
        <v>25</v>
      </c>
      <c r="J13" s="30" t="s">
        <v>26</v>
      </c>
      <c r="K13" s="30" t="s">
        <v>27</v>
      </c>
      <c r="L13" s="30" t="s">
        <v>28</v>
      </c>
      <c r="M13" s="30" t="s">
        <v>29</v>
      </c>
      <c r="N13" s="30" t="s">
        <v>30</v>
      </c>
      <c r="O13" s="31" t="s">
        <v>31</v>
      </c>
      <c r="P13" s="32" t="s">
        <v>32</v>
      </c>
      <c r="Q13" s="32" t="s">
        <v>33</v>
      </c>
      <c r="R13" s="32" t="s">
        <v>34</v>
      </c>
      <c r="S13" s="33" t="s">
        <v>35</v>
      </c>
      <c r="T13" s="34" t="s">
        <v>36</v>
      </c>
      <c r="U13" s="34" t="s">
        <v>37</v>
      </c>
      <c r="V13" s="34" t="s">
        <v>38</v>
      </c>
      <c r="W13" s="34" t="s">
        <v>39</v>
      </c>
      <c r="X13" s="35" t="s">
        <v>40</v>
      </c>
    </row>
    <row r="14" spans="2:24" ht="151.9">
      <c r="B14" s="1" t="s">
        <v>41</v>
      </c>
      <c r="C14" s="1" t="s">
        <v>42</v>
      </c>
      <c r="D14" s="1" t="s">
        <v>43</v>
      </c>
      <c r="E14" s="1" t="s">
        <v>44</v>
      </c>
      <c r="F14" s="1" t="s">
        <v>45</v>
      </c>
      <c r="G14" s="1" t="s">
        <v>46</v>
      </c>
      <c r="H14" s="1" t="s">
        <v>47</v>
      </c>
      <c r="I14" s="1" t="s">
        <v>48</v>
      </c>
      <c r="J14" s="10" t="s">
        <v>49</v>
      </c>
      <c r="K14" s="37" t="s">
        <v>50</v>
      </c>
      <c r="P14" s="1">
        <v>3.5</v>
      </c>
      <c r="Q14" s="10">
        <f>Tableau3[[#This Row],[HJ Dev]]*(25%+25%)</f>
        <v>1.75</v>
      </c>
    </row>
    <row r="15" spans="2:24" s="10" customFormat="1" ht="118.15" customHeight="1">
      <c r="B15" s="1" t="s">
        <v>51</v>
      </c>
      <c r="C15" s="10" t="s">
        <v>52</v>
      </c>
      <c r="D15" s="10" t="s">
        <v>53</v>
      </c>
      <c r="E15" s="1" t="s">
        <v>44</v>
      </c>
      <c r="F15" s="10" t="s">
        <v>45</v>
      </c>
      <c r="G15" s="10" t="s">
        <v>46</v>
      </c>
      <c r="H15" s="10" t="s">
        <v>47</v>
      </c>
      <c r="I15" s="10" t="s">
        <v>54</v>
      </c>
      <c r="J15" s="10" t="s">
        <v>49</v>
      </c>
      <c r="K15" s="36" t="s">
        <v>55</v>
      </c>
      <c r="L15" s="10" t="s">
        <v>56</v>
      </c>
      <c r="P15" s="10">
        <f>3+2+2+2+9</f>
        <v>18</v>
      </c>
      <c r="Q15" s="10">
        <f>Tableau3[[#This Row],[HJ Dev]]*(25%+25%)</f>
        <v>9</v>
      </c>
      <c r="R15" s="10">
        <f>Tableau3[[#This Row],[HJ Analyse et Test]]+Tableau3[[#This Row],[HJ Dev]]</f>
        <v>27</v>
      </c>
      <c r="X15" s="10" t="s">
        <v>57</v>
      </c>
    </row>
    <row r="16" spans="2:24" s="10" customFormat="1" ht="118.15" customHeight="1">
      <c r="B16" s="1" t="s">
        <v>58</v>
      </c>
      <c r="C16" s="10" t="s">
        <v>52</v>
      </c>
      <c r="D16" s="10" t="s">
        <v>59</v>
      </c>
      <c r="E16" s="1" t="s">
        <v>44</v>
      </c>
      <c r="F16" s="10" t="s">
        <v>45</v>
      </c>
      <c r="G16" s="10" t="s">
        <v>46</v>
      </c>
      <c r="H16" s="10" t="s">
        <v>47</v>
      </c>
      <c r="I16" s="10" t="s">
        <v>60</v>
      </c>
      <c r="J16" s="10" t="s">
        <v>49</v>
      </c>
      <c r="K16" s="10" t="s">
        <v>61</v>
      </c>
      <c r="P16" s="10">
        <v>1</v>
      </c>
      <c r="Q16" s="10">
        <f>Tableau3[[#This Row],[HJ Dev]]*(25%+25%)</f>
        <v>0.5</v>
      </c>
      <c r="R16" s="10">
        <f>Tableau3[[#This Row],[HJ Analyse et Test]]+Tableau3[[#This Row],[HJ Dev]]</f>
        <v>1.5</v>
      </c>
    </row>
    <row r="17" spans="2:24" s="10" customFormat="1" ht="118.15" customHeight="1">
      <c r="B17" s="1" t="s">
        <v>62</v>
      </c>
      <c r="C17" s="10" t="s">
        <v>63</v>
      </c>
      <c r="D17" s="10" t="s">
        <v>64</v>
      </c>
      <c r="E17" s="1" t="s">
        <v>44</v>
      </c>
      <c r="F17" s="10" t="s">
        <v>45</v>
      </c>
      <c r="G17" s="10" t="s">
        <v>46</v>
      </c>
      <c r="H17" s="10" t="s">
        <v>47</v>
      </c>
      <c r="I17" s="10" t="s">
        <v>65</v>
      </c>
      <c r="J17" s="10" t="s">
        <v>49</v>
      </c>
      <c r="K17" s="36" t="s">
        <v>66</v>
      </c>
      <c r="P17" s="10">
        <f>1+1.5+1.5+1.5+1.5</f>
        <v>7</v>
      </c>
      <c r="Q17" s="10">
        <f>Tableau3[[#This Row],[HJ Dev]]*(25%+25%)</f>
        <v>3.5</v>
      </c>
      <c r="R17" s="10">
        <f>Tableau3[[#This Row],[HJ Analyse et Test]]+Tableau3[[#This Row],[HJ Dev]]</f>
        <v>10.5</v>
      </c>
    </row>
    <row r="18" spans="2:24" s="10" customFormat="1" ht="96" customHeight="1">
      <c r="B18" s="1" t="s">
        <v>67</v>
      </c>
      <c r="C18" s="10" t="s">
        <v>68</v>
      </c>
      <c r="D18" s="10" t="s">
        <v>69</v>
      </c>
      <c r="E18" s="1" t="s">
        <v>44</v>
      </c>
      <c r="F18" s="10" t="s">
        <v>45</v>
      </c>
      <c r="G18" s="10" t="s">
        <v>46</v>
      </c>
      <c r="H18" s="10" t="s">
        <v>47</v>
      </c>
      <c r="I18" s="10" t="s">
        <v>70</v>
      </c>
      <c r="J18" s="10" t="s">
        <v>49</v>
      </c>
      <c r="K18" s="36" t="s">
        <v>71</v>
      </c>
      <c r="P18" s="10">
        <v>1</v>
      </c>
      <c r="Q18" s="10">
        <f>Tableau3[[#This Row],[HJ Dev]]*(25%+25%)</f>
        <v>0.5</v>
      </c>
      <c r="R18" s="10">
        <f>Tableau3[[#This Row],[HJ Analyse et Test]]+Tableau3[[#This Row],[HJ Dev]]</f>
        <v>1.5</v>
      </c>
    </row>
    <row r="19" spans="2:24" s="10" customFormat="1" ht="193.15">
      <c r="B19" s="1" t="s">
        <v>72</v>
      </c>
      <c r="C19" s="10" t="s">
        <v>73</v>
      </c>
      <c r="D19" s="10" t="s">
        <v>74</v>
      </c>
      <c r="E19" s="1" t="s">
        <v>44</v>
      </c>
      <c r="F19" s="10" t="s">
        <v>45</v>
      </c>
      <c r="G19" s="10" t="s">
        <v>46</v>
      </c>
      <c r="H19" s="10" t="s">
        <v>47</v>
      </c>
      <c r="I19" s="10" t="s">
        <v>75</v>
      </c>
      <c r="J19" s="10" t="s">
        <v>49</v>
      </c>
      <c r="K19" s="36" t="s">
        <v>76</v>
      </c>
      <c r="P19" s="10">
        <f>1</f>
        <v>1</v>
      </c>
      <c r="Q19" s="10">
        <f>Tableau3[[#This Row],[HJ Dev]]*(25%+25%)</f>
        <v>0.5</v>
      </c>
      <c r="R19" s="10">
        <f>Tableau3[[#This Row],[HJ Analyse et Test]]+Tableau3[[#This Row],[HJ Dev]]</f>
        <v>1.5</v>
      </c>
    </row>
    <row r="20" spans="2:24" s="10" customFormat="1" ht="110.45">
      <c r="B20" s="1" t="s">
        <v>77</v>
      </c>
      <c r="C20" s="10" t="s">
        <v>78</v>
      </c>
      <c r="D20" s="10" t="s">
        <v>79</v>
      </c>
      <c r="E20" s="1" t="s">
        <v>44</v>
      </c>
      <c r="F20" s="10" t="s">
        <v>45</v>
      </c>
      <c r="G20" s="10" t="s">
        <v>46</v>
      </c>
      <c r="H20" s="10" t="s">
        <v>47</v>
      </c>
      <c r="I20" s="10" t="s">
        <v>80</v>
      </c>
      <c r="J20" s="10" t="s">
        <v>49</v>
      </c>
      <c r="K20" s="10" t="s">
        <v>81</v>
      </c>
      <c r="L20" s="10" t="s">
        <v>82</v>
      </c>
      <c r="P20" s="10">
        <v>2</v>
      </c>
      <c r="Q20" s="10">
        <f>Tableau3[[#This Row],[HJ Dev]]*(25%+25%)</f>
        <v>1</v>
      </c>
      <c r="R20" s="10">
        <f>Tableau3[[#This Row],[HJ Analyse et Test]]+Tableau3[[#This Row],[HJ Dev]]</f>
        <v>3</v>
      </c>
    </row>
    <row r="21" spans="2:24" s="10" customFormat="1" ht="124.15">
      <c r="B21" s="1" t="s">
        <v>83</v>
      </c>
      <c r="C21" s="10" t="s">
        <v>84</v>
      </c>
      <c r="D21" s="10" t="s">
        <v>85</v>
      </c>
      <c r="E21" s="1" t="s">
        <v>44</v>
      </c>
      <c r="F21" s="10" t="s">
        <v>45</v>
      </c>
      <c r="G21" s="10" t="s">
        <v>46</v>
      </c>
      <c r="H21" s="10" t="s">
        <v>47</v>
      </c>
      <c r="I21" s="10" t="s">
        <v>86</v>
      </c>
      <c r="J21" s="10" t="s">
        <v>49</v>
      </c>
      <c r="K21" s="10" t="s">
        <v>87</v>
      </c>
      <c r="P21" s="10">
        <v>1</v>
      </c>
      <c r="Q21" s="10">
        <f>Tableau3[[#This Row],[HJ Dev]]*(25%+25%)</f>
        <v>0.5</v>
      </c>
      <c r="R21" s="10">
        <f>Tableau3[[#This Row],[HJ Analyse et Test]]+Tableau3[[#This Row],[HJ Dev]]</f>
        <v>1.5</v>
      </c>
    </row>
    <row r="22" spans="2:24" ht="109.15" customHeight="1">
      <c r="B22" s="1" t="s">
        <v>88</v>
      </c>
      <c r="C22" s="10" t="s">
        <v>89</v>
      </c>
      <c r="D22" s="10" t="s">
        <v>90</v>
      </c>
      <c r="E22" s="1" t="s">
        <v>44</v>
      </c>
      <c r="F22" s="10" t="s">
        <v>45</v>
      </c>
      <c r="G22" s="10" t="s">
        <v>46</v>
      </c>
      <c r="H22" s="10" t="s">
        <v>47</v>
      </c>
      <c r="I22" s="10" t="s">
        <v>91</v>
      </c>
      <c r="J22" s="10" t="s">
        <v>49</v>
      </c>
      <c r="K22" s="36" t="s">
        <v>92</v>
      </c>
      <c r="L22" s="10"/>
      <c r="M22" s="10"/>
      <c r="N22" s="10"/>
      <c r="O22" s="10"/>
      <c r="P22" s="10">
        <v>4</v>
      </c>
      <c r="Q22" s="10">
        <f>Tableau3[[#This Row],[HJ Dev]]*(25%+25%)</f>
        <v>2</v>
      </c>
      <c r="R22" s="10">
        <f>Tableau3[[#This Row],[HJ Analyse et Test]]+Tableau3[[#This Row],[HJ Dev]]</f>
        <v>6</v>
      </c>
      <c r="S22" s="10"/>
      <c r="T22" s="10"/>
      <c r="U22" s="10"/>
      <c r="V22" s="10"/>
      <c r="W22" s="10"/>
      <c r="X22" s="10"/>
    </row>
    <row r="23" spans="2:24" ht="212.25" customHeight="1">
      <c r="B23" s="1" t="s">
        <v>93</v>
      </c>
      <c r="C23" s="10" t="s">
        <v>94</v>
      </c>
      <c r="D23" s="10" t="s">
        <v>95</v>
      </c>
      <c r="E23" s="1" t="s">
        <v>96</v>
      </c>
      <c r="F23" s="10" t="s">
        <v>45</v>
      </c>
      <c r="G23" s="10" t="s">
        <v>46</v>
      </c>
      <c r="H23" s="10" t="s">
        <v>47</v>
      </c>
      <c r="I23" s="10" t="s">
        <v>97</v>
      </c>
      <c r="J23" s="10" t="s">
        <v>49</v>
      </c>
      <c r="K23" s="38" t="s">
        <v>98</v>
      </c>
      <c r="L23" s="10" t="s">
        <v>99</v>
      </c>
      <c r="M23" s="10"/>
      <c r="N23" s="10"/>
      <c r="O23" s="10"/>
      <c r="P23" s="10">
        <v>26</v>
      </c>
      <c r="Q23" s="10">
        <f>Tableau3[[#This Row],[HJ Dev]]*(25%+25%)</f>
        <v>13</v>
      </c>
      <c r="R23" s="10">
        <f>Tableau3[[#This Row],[HJ Analyse et Test]]+Tableau3[[#This Row],[HJ Dev]]</f>
        <v>39</v>
      </c>
      <c r="S23" s="10"/>
      <c r="T23" s="10"/>
      <c r="U23" s="10"/>
      <c r="V23" s="10"/>
      <c r="W23" s="10"/>
      <c r="X23" s="10"/>
    </row>
    <row r="24" spans="2:24" ht="110.45">
      <c r="B24" s="1" t="s">
        <v>100</v>
      </c>
      <c r="C24" s="10" t="s">
        <v>101</v>
      </c>
      <c r="D24" s="10" t="s">
        <v>102</v>
      </c>
      <c r="E24" s="1" t="s">
        <v>96</v>
      </c>
      <c r="F24" s="10" t="s">
        <v>45</v>
      </c>
      <c r="G24" s="10" t="s">
        <v>46</v>
      </c>
      <c r="H24" s="10" t="s">
        <v>47</v>
      </c>
      <c r="I24" s="10" t="s">
        <v>103</v>
      </c>
      <c r="J24" s="10" t="s">
        <v>49</v>
      </c>
      <c r="K24" s="36" t="s">
        <v>104</v>
      </c>
      <c r="L24" s="10"/>
      <c r="M24" s="10"/>
      <c r="N24" s="10"/>
      <c r="O24" s="10"/>
      <c r="P24" s="10">
        <v>2</v>
      </c>
      <c r="Q24" s="10">
        <f>Tableau3[[#This Row],[HJ Dev]]*(25%+25%)</f>
        <v>1</v>
      </c>
      <c r="R24" s="10">
        <f>Tableau3[[#This Row],[HJ Analyse et Test]]+Tableau3[[#This Row],[HJ Dev]]</f>
        <v>3</v>
      </c>
      <c r="S24" s="10"/>
      <c r="T24" s="10"/>
      <c r="U24" s="10"/>
      <c r="V24" s="10"/>
      <c r="W24" s="10"/>
      <c r="X24" s="10"/>
    </row>
    <row r="25" spans="2:24" ht="165.6">
      <c r="B25" s="1" t="s">
        <v>105</v>
      </c>
      <c r="C25" s="10" t="s">
        <v>106</v>
      </c>
      <c r="D25" s="10" t="s">
        <v>107</v>
      </c>
      <c r="E25" s="1" t="s">
        <v>96</v>
      </c>
      <c r="F25" s="10" t="s">
        <v>45</v>
      </c>
      <c r="G25" s="10" t="s">
        <v>46</v>
      </c>
      <c r="H25" s="10" t="s">
        <v>47</v>
      </c>
      <c r="I25" s="10" t="s">
        <v>108</v>
      </c>
      <c r="J25" s="10" t="s">
        <v>49</v>
      </c>
      <c r="K25" s="36" t="s">
        <v>109</v>
      </c>
      <c r="L25" s="10"/>
      <c r="M25" s="10"/>
      <c r="N25" s="10"/>
      <c r="O25" s="10"/>
      <c r="P25" s="10">
        <v>3</v>
      </c>
      <c r="Q25" s="10">
        <f>Tableau3[[#This Row],[HJ Dev]]*(25%+25%)</f>
        <v>1.5</v>
      </c>
      <c r="R25" s="10">
        <f>Tableau3[[#This Row],[HJ Analyse et Test]]+Tableau3[[#This Row],[HJ Dev]]</f>
        <v>4.5</v>
      </c>
      <c r="S25" s="10"/>
      <c r="T25" s="10"/>
      <c r="U25" s="10"/>
      <c r="V25" s="10"/>
      <c r="W25" s="10"/>
      <c r="X25" s="10"/>
    </row>
    <row r="26" spans="2:24" ht="88.5">
      <c r="B26" s="1" t="s">
        <v>110</v>
      </c>
      <c r="C26" s="10" t="s">
        <v>111</v>
      </c>
      <c r="D26" s="10" t="s">
        <v>112</v>
      </c>
      <c r="E26" s="1" t="s">
        <v>96</v>
      </c>
      <c r="F26" s="10" t="s">
        <v>45</v>
      </c>
      <c r="G26" s="10" t="s">
        <v>46</v>
      </c>
      <c r="H26" s="10" t="s">
        <v>47</v>
      </c>
      <c r="I26" s="10" t="s">
        <v>113</v>
      </c>
      <c r="J26" s="10" t="s">
        <v>49</v>
      </c>
      <c r="K26" s="11" t="s">
        <v>114</v>
      </c>
      <c r="L26" s="10"/>
      <c r="M26" s="10"/>
      <c r="N26" s="10"/>
      <c r="O26" s="10"/>
      <c r="P26" s="52">
        <v>16.5</v>
      </c>
      <c r="Q26" s="10">
        <f>Tableau3[[#This Row],[HJ Dev]]*(25%+25%)</f>
        <v>8.25</v>
      </c>
      <c r="R26" s="10">
        <f>Tableau3[[#This Row],[HJ Analyse et Test]]+Tableau3[[#This Row],[HJ Dev]]</f>
        <v>24.75</v>
      </c>
      <c r="S26" s="10"/>
      <c r="T26" s="10"/>
      <c r="U26" s="10"/>
      <c r="V26" s="10"/>
      <c r="W26" s="10"/>
      <c r="X26" s="10"/>
    </row>
    <row r="27" spans="2:24" ht="151.9">
      <c r="B27" s="1" t="s">
        <v>115</v>
      </c>
      <c r="C27" s="10" t="s">
        <v>116</v>
      </c>
      <c r="D27" s="10" t="s">
        <v>117</v>
      </c>
      <c r="E27" s="1" t="s">
        <v>44</v>
      </c>
      <c r="F27" s="10" t="s">
        <v>118</v>
      </c>
      <c r="G27" s="10" t="s">
        <v>46</v>
      </c>
      <c r="H27" s="10" t="s">
        <v>47</v>
      </c>
      <c r="I27" s="10" t="s">
        <v>119</v>
      </c>
      <c r="J27" s="10" t="s">
        <v>49</v>
      </c>
      <c r="K27" s="10" t="s">
        <v>120</v>
      </c>
      <c r="L27" s="10" t="s">
        <v>121</v>
      </c>
      <c r="M27" s="10"/>
      <c r="N27" s="10"/>
      <c r="O27" s="10"/>
      <c r="P27" s="10">
        <v>5</v>
      </c>
      <c r="Q27" s="10">
        <f>Tableau3[[#This Row],[HJ Dev]]*(25%+25%)</f>
        <v>2.5</v>
      </c>
      <c r="R27" s="10">
        <f>Tableau3[[#This Row],[HJ Analyse et Test]]+Tableau3[[#This Row],[HJ Dev]]</f>
        <v>7.5</v>
      </c>
      <c r="S27" s="10"/>
      <c r="T27" s="10"/>
      <c r="U27" s="10"/>
      <c r="V27" s="10"/>
      <c r="W27" s="10"/>
      <c r="X27" s="10"/>
    </row>
    <row r="28" spans="2:24" ht="41.45">
      <c r="B28" s="1" t="s">
        <v>122</v>
      </c>
      <c r="C28" s="10" t="s">
        <v>123</v>
      </c>
      <c r="D28" s="10" t="s">
        <v>124</v>
      </c>
      <c r="E28" s="1" t="s">
        <v>44</v>
      </c>
      <c r="F28" s="10" t="s">
        <v>118</v>
      </c>
      <c r="G28" s="10" t="s">
        <v>125</v>
      </c>
      <c r="H28" s="10" t="s">
        <v>47</v>
      </c>
      <c r="I28" s="10" t="s">
        <v>126</v>
      </c>
      <c r="J28" s="10" t="s">
        <v>49</v>
      </c>
      <c r="K28" s="11" t="s">
        <v>127</v>
      </c>
      <c r="L28" s="10"/>
      <c r="M28" s="10"/>
      <c r="N28" s="10"/>
      <c r="O28" s="10"/>
      <c r="P28" s="10">
        <v>3</v>
      </c>
      <c r="Q28" s="10">
        <f>Tableau3[[#This Row],[HJ Dev]]*(25%+25%)</f>
        <v>1.5</v>
      </c>
      <c r="R28" s="10">
        <f>Tableau3[[#This Row],[HJ Analyse et Test]]+Tableau3[[#This Row],[HJ Dev]]</f>
        <v>4.5</v>
      </c>
      <c r="S28" s="10"/>
      <c r="T28" s="10"/>
      <c r="U28" s="10"/>
      <c r="V28" s="10"/>
      <c r="W28" s="10"/>
      <c r="X28" s="10"/>
    </row>
    <row r="29" spans="2:24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>
        <f>SUBTOTAL(109,Tableau3[Total HJ])</f>
        <v>135.75</v>
      </c>
      <c r="S29" s="10"/>
      <c r="T29" s="10"/>
      <c r="U29" s="10"/>
      <c r="V29" s="10"/>
      <c r="W29" s="10"/>
      <c r="X29" s="10"/>
    </row>
    <row r="36" spans="5:7">
      <c r="E36" s="26"/>
      <c r="F36" s="26"/>
      <c r="G36" s="26"/>
    </row>
    <row r="37" spans="5:7">
      <c r="E37" s="27"/>
      <c r="F37" s="27"/>
      <c r="G37" s="27"/>
    </row>
    <row r="38" spans="5:7">
      <c r="E38" s="27"/>
      <c r="F38" s="27"/>
      <c r="G38" s="27"/>
    </row>
    <row r="39" spans="5:7">
      <c r="E39" s="27"/>
      <c r="F39" s="27"/>
      <c r="G39" s="27"/>
    </row>
    <row r="40" spans="5:7">
      <c r="E40" s="27"/>
      <c r="F40" s="27"/>
      <c r="G40" s="27"/>
    </row>
    <row r="41" spans="5:7">
      <c r="E41" s="27"/>
      <c r="F41" s="27"/>
      <c r="G41" s="27"/>
    </row>
    <row r="42" spans="5:7">
      <c r="E42" s="27"/>
      <c r="F42" s="27"/>
      <c r="G42" s="27"/>
    </row>
    <row r="43" spans="5:7">
      <c r="E43" s="27"/>
      <c r="F43" s="27"/>
      <c r="G43" s="27"/>
    </row>
    <row r="44" spans="5:7">
      <c r="E44" s="27"/>
      <c r="F44" s="27"/>
      <c r="G44" s="27"/>
    </row>
    <row r="45" spans="5:7">
      <c r="E45" s="27"/>
      <c r="F45" s="27"/>
      <c r="G45" s="27"/>
    </row>
    <row r="46" spans="5:7">
      <c r="E46" s="27"/>
      <c r="F46" s="27"/>
      <c r="G46" s="27"/>
    </row>
    <row r="47" spans="5:7">
      <c r="E47" s="27"/>
      <c r="F47" s="27"/>
      <c r="G47" s="27"/>
    </row>
    <row r="48" spans="5:7">
      <c r="E48" s="27"/>
      <c r="F48" s="27"/>
      <c r="G48" s="27"/>
    </row>
    <row r="49" spans="5:7">
      <c r="E49" s="27"/>
      <c r="F49" s="27"/>
      <c r="G49" s="27"/>
    </row>
    <row r="50" spans="5:7">
      <c r="E50" s="27"/>
      <c r="F50" s="27"/>
      <c r="G50" s="27"/>
    </row>
    <row r="51" spans="5:7">
      <c r="E51" s="27"/>
      <c r="F51" s="27"/>
      <c r="G51" s="27"/>
    </row>
    <row r="52" spans="5:7">
      <c r="E52" s="27"/>
      <c r="F52" s="27"/>
      <c r="G52" s="27"/>
    </row>
    <row r="53" spans="5:7">
      <c r="E53" s="27"/>
      <c r="F53" s="27"/>
      <c r="G53" s="27"/>
    </row>
  </sheetData>
  <mergeCells count="3">
    <mergeCell ref="R2:W2"/>
    <mergeCell ref="B2:N2"/>
    <mergeCell ref="O2:Q2"/>
  </mergeCells>
  <phoneticPr fontId="2" type="noConversion"/>
  <dataValidations count="1">
    <dataValidation operator="greaterThanOrEqual" allowBlank="1" showInputMessage="1" showErrorMessage="1" sqref="P14:R28" xr:uid="{10E2E794-3894-4CC1-AB1A-9BB5BF41EABB}"/>
  </dataValidations>
  <pageMargins left="0.7" right="0.7" top="0.75" bottom="0.75" header="0.3" footer="0.3"/>
  <pageSetup paperSize="9" scale="7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9E253E9F-6967-4CE3-BEC2-E6EF086F8550}">
          <x14:formula1>
            <xm:f>Params!$B$3:$B$10</xm:f>
          </x14:formula1>
          <xm:sqref>E4</xm:sqref>
        </x14:dataValidation>
        <x14:dataValidation type="list" allowBlank="1" showInputMessage="1" showErrorMessage="1" xr:uid="{63E576AD-8CDE-4B1B-8DEC-1BE67CC8DE6D}">
          <x14:formula1>
            <xm:f>Params!$D$3:$D$10</xm:f>
          </x14:formula1>
          <xm:sqref>H15:H28</xm:sqref>
        </x14:dataValidation>
        <x14:dataValidation type="list" allowBlank="1" showInputMessage="1" showErrorMessage="1" xr:uid="{C43D2377-E8A5-4EC4-8F56-2516FCD07F2A}">
          <x14:formula1>
            <xm:f>Params!$E$3:$E$12</xm:f>
          </x14:formula1>
          <xm:sqref>J14:J28</xm:sqref>
        </x14:dataValidation>
        <x14:dataValidation type="list" allowBlank="1" showInputMessage="1" showErrorMessage="1" xr:uid="{63FB3CBD-0303-4DD5-A1D9-0AE10EE7B36C}">
          <x14:formula1>
            <xm:f>Params!$C$3:$C$10</xm:f>
          </x14:formula1>
          <xm:sqref>F15:F28</xm:sqref>
        </x14:dataValidation>
        <x14:dataValidation type="list" allowBlank="1" showInputMessage="1" showErrorMessage="1" xr:uid="{ACD971DD-EBC0-49A2-8B0F-955749BFC348}">
          <x14:formula1>
            <xm:f>Params!$I$3:$I$19</xm:f>
          </x14:formula1>
          <xm:sqref>G15:G28</xm:sqref>
        </x14:dataValidation>
        <x14:dataValidation type="list" allowBlank="1" showInputMessage="1" showErrorMessage="1" xr:uid="{06B2A4DB-2A94-4B0B-971B-CDFF438E23BA}">
          <x14:formula1>
            <xm:f>Params!$G$3:$G$9</xm:f>
          </x14:formula1>
          <xm:sqref>O15:O28</xm:sqref>
        </x14:dataValidation>
        <x14:dataValidation type="list" allowBlank="1" showInputMessage="1" showErrorMessage="1" xr:uid="{1F2CF1C1-BE35-4DC9-A975-F49F788F3D6A}">
          <x14:formula1>
            <xm:f>Params!$H$3:$H$6</xm:f>
          </x14:formula1>
          <xm:sqref>M15:M28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E1B7-F385-49DB-B31C-9EA8567C472E}">
  <dimension ref="B2:W40"/>
  <sheetViews>
    <sheetView topLeftCell="A12" workbookViewId="0">
      <selection activeCell="B13" sqref="B13:W38"/>
    </sheetView>
  </sheetViews>
  <sheetFormatPr defaultColWidth="8.85546875" defaultRowHeight="13.15"/>
  <cols>
    <col min="2" max="2" width="8.85546875" customWidth="1"/>
    <col min="3" max="3" width="72" bestFit="1" customWidth="1"/>
    <col min="4" max="4" width="17.7109375" customWidth="1"/>
    <col min="5" max="5" width="19.85546875" customWidth="1"/>
    <col min="6" max="6" width="18.85546875" customWidth="1"/>
    <col min="7" max="7" width="32.28515625" customWidth="1"/>
    <col min="8" max="8" width="33.85546875" hidden="1" customWidth="1"/>
    <col min="9" max="9" width="0" hidden="1" customWidth="1"/>
    <col min="10" max="10" width="41.5703125" hidden="1" customWidth="1"/>
    <col min="11" max="11" width="34.7109375" customWidth="1"/>
    <col min="14" max="14" width="14.85546875" customWidth="1"/>
    <col min="15" max="15" width="13.7109375" customWidth="1"/>
    <col min="16" max="16" width="12" customWidth="1"/>
    <col min="17" max="17" width="17.7109375" customWidth="1"/>
    <col min="18" max="18" width="32.7109375" customWidth="1"/>
    <col min="19" max="19" width="21.42578125" customWidth="1"/>
    <col min="20" max="20" width="17" customWidth="1"/>
    <col min="21" max="21" width="21.5703125" customWidth="1"/>
    <col min="22" max="22" width="16.28515625" customWidth="1"/>
    <col min="23" max="23" width="34" customWidth="1"/>
  </cols>
  <sheetData>
    <row r="2" spans="2:23" ht="12.75" customHeight="1">
      <c r="B2" s="43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  <c r="O2" s="46" t="s">
        <v>1</v>
      </c>
      <c r="P2" s="47"/>
      <c r="Q2" s="48"/>
      <c r="R2" s="40" t="s">
        <v>2</v>
      </c>
      <c r="S2" s="41"/>
      <c r="T2" s="41"/>
      <c r="U2" s="41"/>
      <c r="V2" s="41"/>
      <c r="W2" s="42"/>
    </row>
    <row r="3" spans="2:23" ht="49.5" customHeight="1"/>
    <row r="6" spans="2:23">
      <c r="B6" s="39" t="s">
        <v>128</v>
      </c>
    </row>
    <row r="7" spans="2:23">
      <c r="B7" t="s">
        <v>129</v>
      </c>
      <c r="C7" t="s">
        <v>93</v>
      </c>
    </row>
    <row r="8" spans="2:23">
      <c r="B8" t="s">
        <v>130</v>
      </c>
      <c r="C8" t="s">
        <v>131</v>
      </c>
    </row>
    <row r="11" spans="2:23" ht="13.9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2:23" ht="85.5" customHeight="1">
      <c r="B12" s="61" t="s">
        <v>18</v>
      </c>
      <c r="C12" s="62" t="s">
        <v>132</v>
      </c>
      <c r="D12" s="63" t="s">
        <v>133</v>
      </c>
      <c r="E12" s="63" t="s">
        <v>22</v>
      </c>
      <c r="F12" s="63" t="s">
        <v>23</v>
      </c>
      <c r="G12" s="63" t="s">
        <v>24</v>
      </c>
      <c r="H12" s="63" t="s">
        <v>25</v>
      </c>
      <c r="I12" s="63" t="s">
        <v>26</v>
      </c>
      <c r="J12" s="63" t="s">
        <v>27</v>
      </c>
      <c r="K12" s="63" t="s">
        <v>28</v>
      </c>
      <c r="L12" s="63" t="s">
        <v>29</v>
      </c>
      <c r="M12" s="63" t="s">
        <v>30</v>
      </c>
      <c r="N12" s="64" t="s">
        <v>31</v>
      </c>
      <c r="O12" s="65" t="s">
        <v>32</v>
      </c>
      <c r="P12" s="65" t="s">
        <v>33</v>
      </c>
      <c r="Q12" s="65" t="s">
        <v>34</v>
      </c>
      <c r="R12" s="66" t="s">
        <v>35</v>
      </c>
      <c r="S12" s="67" t="s">
        <v>36</v>
      </c>
      <c r="T12" s="67" t="s">
        <v>37</v>
      </c>
      <c r="U12" s="67" t="s">
        <v>38</v>
      </c>
      <c r="V12" s="67" t="s">
        <v>39</v>
      </c>
      <c r="W12" s="68" t="s">
        <v>40</v>
      </c>
    </row>
    <row r="13" spans="2:23" ht="14.25">
      <c r="B13" s="53" t="s">
        <v>134</v>
      </c>
      <c r="C13" s="54" t="s">
        <v>135</v>
      </c>
      <c r="D13" s="53" t="s">
        <v>136</v>
      </c>
      <c r="E13" s="53" t="s">
        <v>45</v>
      </c>
      <c r="F13" s="53" t="s">
        <v>46</v>
      </c>
      <c r="G13" s="53" t="s">
        <v>47</v>
      </c>
      <c r="H13" s="55" t="s">
        <v>48</v>
      </c>
      <c r="I13" s="53" t="s">
        <v>49</v>
      </c>
      <c r="J13" s="56" t="s">
        <v>50</v>
      </c>
      <c r="K13" s="55"/>
      <c r="L13" s="55"/>
      <c r="M13" s="55"/>
      <c r="N13" s="55"/>
      <c r="O13" s="57">
        <v>0.25</v>
      </c>
      <c r="P13" s="53">
        <f>O13*(25%+25%)</f>
        <v>0.125</v>
      </c>
      <c r="Q13" s="53">
        <f>O13+P13</f>
        <v>0.375</v>
      </c>
      <c r="R13" s="55"/>
      <c r="S13" s="55"/>
      <c r="T13" s="55"/>
      <c r="U13" s="55"/>
      <c r="V13" s="55"/>
      <c r="W13" s="55"/>
    </row>
    <row r="14" spans="2:23" ht="14.25">
      <c r="B14" s="53" t="s">
        <v>137</v>
      </c>
      <c r="C14" s="54" t="s">
        <v>138</v>
      </c>
      <c r="D14" s="53" t="s">
        <v>136</v>
      </c>
      <c r="E14" s="53" t="s">
        <v>45</v>
      </c>
      <c r="F14" s="53" t="s">
        <v>46</v>
      </c>
      <c r="G14" s="53" t="s">
        <v>47</v>
      </c>
      <c r="H14" s="53" t="s">
        <v>54</v>
      </c>
      <c r="I14" s="53" t="s">
        <v>49</v>
      </c>
      <c r="J14" s="58" t="s">
        <v>55</v>
      </c>
      <c r="K14" s="53"/>
      <c r="L14" s="53"/>
      <c r="M14" s="53"/>
      <c r="N14" s="53"/>
      <c r="O14" s="57">
        <v>1</v>
      </c>
      <c r="P14" s="53">
        <f>O14*(25%+25%)</f>
        <v>0.5</v>
      </c>
      <c r="Q14" s="53">
        <f t="shared" ref="Q14:Q38" si="0">O14+P14</f>
        <v>1.5</v>
      </c>
      <c r="R14" s="53"/>
      <c r="S14" s="53"/>
      <c r="T14" s="53"/>
      <c r="U14" s="53"/>
      <c r="V14" s="53"/>
      <c r="W14" s="53"/>
    </row>
    <row r="15" spans="2:23" ht="14.25">
      <c r="B15" s="53" t="s">
        <v>139</v>
      </c>
      <c r="C15" s="54" t="s">
        <v>140</v>
      </c>
      <c r="D15" s="53" t="s">
        <v>136</v>
      </c>
      <c r="E15" s="53" t="s">
        <v>45</v>
      </c>
      <c r="F15" s="53" t="s">
        <v>46</v>
      </c>
      <c r="G15" s="53" t="s">
        <v>47</v>
      </c>
      <c r="H15" s="59"/>
      <c r="I15" s="59"/>
      <c r="J15" s="59"/>
      <c r="K15" s="59"/>
      <c r="L15" s="59"/>
      <c r="M15" s="59"/>
      <c r="N15" s="59"/>
      <c r="O15" s="57">
        <v>0.75</v>
      </c>
      <c r="P15" s="53">
        <f t="shared" ref="P15:P38" si="1">O15*(25%+25%)</f>
        <v>0.375</v>
      </c>
      <c r="Q15" s="53">
        <f t="shared" si="0"/>
        <v>1.125</v>
      </c>
      <c r="R15" s="59"/>
      <c r="S15" s="59"/>
      <c r="T15" s="59"/>
      <c r="U15" s="59"/>
      <c r="V15" s="59"/>
      <c r="W15" s="59"/>
    </row>
    <row r="16" spans="2:23" ht="14.25">
      <c r="B16" s="53" t="s">
        <v>141</v>
      </c>
      <c r="C16" s="54" t="s">
        <v>142</v>
      </c>
      <c r="D16" s="53" t="s">
        <v>136</v>
      </c>
      <c r="E16" s="53" t="s">
        <v>45</v>
      </c>
      <c r="F16" s="53" t="s">
        <v>46</v>
      </c>
      <c r="G16" s="53" t="s">
        <v>47</v>
      </c>
      <c r="H16" s="59"/>
      <c r="I16" s="59"/>
      <c r="J16" s="59"/>
      <c r="K16" s="59"/>
      <c r="L16" s="59"/>
      <c r="M16" s="59"/>
      <c r="N16" s="59"/>
      <c r="O16" s="57">
        <v>0.25</v>
      </c>
      <c r="P16" s="53">
        <f t="shared" si="1"/>
        <v>0.125</v>
      </c>
      <c r="Q16" s="53">
        <f t="shared" si="0"/>
        <v>0.375</v>
      </c>
      <c r="R16" s="59"/>
      <c r="S16" s="59"/>
      <c r="T16" s="59"/>
      <c r="U16" s="59"/>
      <c r="V16" s="59"/>
      <c r="W16" s="59"/>
    </row>
    <row r="17" spans="2:23" ht="14.25">
      <c r="B17" s="53" t="s">
        <v>143</v>
      </c>
      <c r="C17" s="54" t="s">
        <v>144</v>
      </c>
      <c r="D17" s="53" t="s">
        <v>136</v>
      </c>
      <c r="E17" s="53" t="s">
        <v>45</v>
      </c>
      <c r="F17" s="53" t="s">
        <v>46</v>
      </c>
      <c r="G17" s="53" t="s">
        <v>47</v>
      </c>
      <c r="H17" s="59"/>
      <c r="I17" s="59"/>
      <c r="J17" s="59"/>
      <c r="K17" s="59"/>
      <c r="L17" s="59"/>
      <c r="M17" s="59"/>
      <c r="N17" s="59"/>
      <c r="O17" s="57">
        <v>0.75</v>
      </c>
      <c r="P17" s="53">
        <f t="shared" si="1"/>
        <v>0.375</v>
      </c>
      <c r="Q17" s="53">
        <f t="shared" si="0"/>
        <v>1.125</v>
      </c>
      <c r="R17" s="59"/>
      <c r="S17" s="59"/>
      <c r="T17" s="59"/>
      <c r="U17" s="59"/>
      <c r="V17" s="59"/>
      <c r="W17" s="59"/>
    </row>
    <row r="18" spans="2:23" ht="14.25">
      <c r="B18" s="53" t="s">
        <v>145</v>
      </c>
      <c r="C18" s="54" t="s">
        <v>146</v>
      </c>
      <c r="D18" s="53" t="s">
        <v>136</v>
      </c>
      <c r="E18" s="53" t="s">
        <v>45</v>
      </c>
      <c r="F18" s="53" t="s">
        <v>46</v>
      </c>
      <c r="G18" s="53" t="s">
        <v>47</v>
      </c>
      <c r="H18" s="59"/>
      <c r="I18" s="59"/>
      <c r="J18" s="59"/>
      <c r="K18" s="59"/>
      <c r="L18" s="59"/>
      <c r="M18" s="59"/>
      <c r="N18" s="59"/>
      <c r="O18" s="57">
        <v>1</v>
      </c>
      <c r="P18" s="53">
        <f t="shared" si="1"/>
        <v>0.5</v>
      </c>
      <c r="Q18" s="53">
        <f t="shared" si="0"/>
        <v>1.5</v>
      </c>
      <c r="R18" s="59"/>
      <c r="S18" s="59"/>
      <c r="T18" s="59"/>
      <c r="U18" s="59"/>
      <c r="V18" s="59"/>
      <c r="W18" s="59"/>
    </row>
    <row r="19" spans="2:23" ht="14.25">
      <c r="B19" s="53" t="s">
        <v>147</v>
      </c>
      <c r="C19" s="54" t="s">
        <v>148</v>
      </c>
      <c r="D19" s="53" t="s">
        <v>136</v>
      </c>
      <c r="E19" s="53" t="s">
        <v>45</v>
      </c>
      <c r="F19" s="53" t="s">
        <v>46</v>
      </c>
      <c r="G19" s="53" t="s">
        <v>47</v>
      </c>
      <c r="H19" s="59"/>
      <c r="I19" s="59"/>
      <c r="J19" s="59"/>
      <c r="K19" s="59"/>
      <c r="L19" s="59"/>
      <c r="M19" s="59"/>
      <c r="N19" s="59"/>
      <c r="O19" s="57">
        <v>0.25</v>
      </c>
      <c r="P19" s="53">
        <f t="shared" si="1"/>
        <v>0.125</v>
      </c>
      <c r="Q19" s="53">
        <f t="shared" si="0"/>
        <v>0.375</v>
      </c>
      <c r="R19" s="59"/>
      <c r="S19" s="59"/>
      <c r="T19" s="59"/>
      <c r="U19" s="59"/>
      <c r="V19" s="59"/>
      <c r="W19" s="59"/>
    </row>
    <row r="20" spans="2:23" ht="14.25">
      <c r="B20" s="53" t="s">
        <v>149</v>
      </c>
      <c r="C20" s="54" t="s">
        <v>150</v>
      </c>
      <c r="D20" s="53" t="s">
        <v>136</v>
      </c>
      <c r="E20" s="53" t="s">
        <v>45</v>
      </c>
      <c r="F20" s="53" t="s">
        <v>46</v>
      </c>
      <c r="G20" s="53" t="s">
        <v>47</v>
      </c>
      <c r="H20" s="59"/>
      <c r="I20" s="59"/>
      <c r="J20" s="59"/>
      <c r="K20" s="59"/>
      <c r="L20" s="59"/>
      <c r="M20" s="59"/>
      <c r="N20" s="59"/>
      <c r="O20" s="57">
        <v>0.5</v>
      </c>
      <c r="P20" s="53">
        <f t="shared" si="1"/>
        <v>0.25</v>
      </c>
      <c r="Q20" s="53">
        <f t="shared" si="0"/>
        <v>0.75</v>
      </c>
      <c r="R20" s="59"/>
      <c r="S20" s="59"/>
      <c r="T20" s="59"/>
      <c r="U20" s="59"/>
      <c r="V20" s="59"/>
      <c r="W20" s="59"/>
    </row>
    <row r="21" spans="2:23" ht="14.25">
      <c r="B21" s="53" t="s">
        <v>151</v>
      </c>
      <c r="C21" s="54" t="s">
        <v>152</v>
      </c>
      <c r="D21" s="53" t="s">
        <v>136</v>
      </c>
      <c r="E21" s="53" t="s">
        <v>45</v>
      </c>
      <c r="F21" s="53" t="s">
        <v>46</v>
      </c>
      <c r="G21" s="53" t="s">
        <v>47</v>
      </c>
      <c r="H21" s="59"/>
      <c r="I21" s="59"/>
      <c r="J21" s="59"/>
      <c r="K21" s="59"/>
      <c r="L21" s="59"/>
      <c r="M21" s="59"/>
      <c r="N21" s="59"/>
      <c r="O21" s="57">
        <v>1.5</v>
      </c>
      <c r="P21" s="53">
        <f t="shared" si="1"/>
        <v>0.75</v>
      </c>
      <c r="Q21" s="53">
        <f t="shared" si="0"/>
        <v>2.25</v>
      </c>
      <c r="R21" s="59"/>
      <c r="S21" s="59"/>
      <c r="T21" s="59"/>
      <c r="U21" s="59"/>
      <c r="V21" s="59"/>
      <c r="W21" s="59"/>
    </row>
    <row r="22" spans="2:23" ht="14.25">
      <c r="B22" s="53" t="s">
        <v>153</v>
      </c>
      <c r="C22" s="54" t="s">
        <v>154</v>
      </c>
      <c r="D22" s="53" t="s">
        <v>136</v>
      </c>
      <c r="E22" s="53" t="s">
        <v>45</v>
      </c>
      <c r="F22" s="53" t="s">
        <v>46</v>
      </c>
      <c r="G22" s="53" t="s">
        <v>47</v>
      </c>
      <c r="H22" s="59"/>
      <c r="I22" s="59"/>
      <c r="J22" s="59"/>
      <c r="K22" s="59"/>
      <c r="L22" s="59"/>
      <c r="M22" s="59"/>
      <c r="N22" s="59"/>
      <c r="O22" s="57">
        <v>0.5</v>
      </c>
      <c r="P22" s="53">
        <f t="shared" si="1"/>
        <v>0.25</v>
      </c>
      <c r="Q22" s="53">
        <f t="shared" si="0"/>
        <v>0.75</v>
      </c>
      <c r="R22" s="59"/>
      <c r="S22" s="59"/>
      <c r="T22" s="59"/>
      <c r="U22" s="59"/>
      <c r="V22" s="59"/>
      <c r="W22" s="59"/>
    </row>
    <row r="23" spans="2:23" ht="14.25">
      <c r="B23" s="53" t="s">
        <v>155</v>
      </c>
      <c r="C23" s="54" t="s">
        <v>156</v>
      </c>
      <c r="D23" s="53" t="s">
        <v>136</v>
      </c>
      <c r="E23" s="53" t="s">
        <v>45</v>
      </c>
      <c r="F23" s="53" t="s">
        <v>46</v>
      </c>
      <c r="G23" s="53" t="s">
        <v>47</v>
      </c>
      <c r="H23" s="59"/>
      <c r="I23" s="59"/>
      <c r="J23" s="59"/>
      <c r="K23" s="59"/>
      <c r="L23" s="59"/>
      <c r="M23" s="59"/>
      <c r="N23" s="59"/>
      <c r="O23" s="57">
        <v>0.25</v>
      </c>
      <c r="P23" s="53">
        <f t="shared" si="1"/>
        <v>0.125</v>
      </c>
      <c r="Q23" s="53">
        <f t="shared" si="0"/>
        <v>0.375</v>
      </c>
      <c r="R23" s="59"/>
      <c r="S23" s="59"/>
      <c r="T23" s="59"/>
      <c r="U23" s="59"/>
      <c r="V23" s="59"/>
      <c r="W23" s="59"/>
    </row>
    <row r="24" spans="2:23" ht="14.25">
      <c r="B24" s="53" t="s">
        <v>157</v>
      </c>
      <c r="C24" s="54" t="s">
        <v>158</v>
      </c>
      <c r="D24" s="53" t="s">
        <v>136</v>
      </c>
      <c r="E24" s="53" t="s">
        <v>45</v>
      </c>
      <c r="F24" s="53" t="s">
        <v>46</v>
      </c>
      <c r="G24" s="53" t="s">
        <v>47</v>
      </c>
      <c r="H24" s="59"/>
      <c r="I24" s="59"/>
      <c r="J24" s="59"/>
      <c r="K24" s="59"/>
      <c r="L24" s="59"/>
      <c r="M24" s="59"/>
      <c r="N24" s="59"/>
      <c r="O24" s="57">
        <v>0.75</v>
      </c>
      <c r="P24" s="53">
        <f t="shared" si="1"/>
        <v>0.375</v>
      </c>
      <c r="Q24" s="53">
        <f t="shared" si="0"/>
        <v>1.125</v>
      </c>
      <c r="R24" s="59"/>
      <c r="S24" s="59"/>
      <c r="T24" s="59"/>
      <c r="U24" s="59"/>
      <c r="V24" s="59"/>
      <c r="W24" s="59"/>
    </row>
    <row r="25" spans="2:23" ht="14.25">
      <c r="B25" s="53" t="s">
        <v>159</v>
      </c>
      <c r="C25" s="54" t="s">
        <v>160</v>
      </c>
      <c r="D25" s="53" t="s">
        <v>136</v>
      </c>
      <c r="E25" s="53" t="s">
        <v>45</v>
      </c>
      <c r="F25" s="53" t="s">
        <v>46</v>
      </c>
      <c r="G25" s="53" t="s">
        <v>47</v>
      </c>
      <c r="H25" s="59"/>
      <c r="I25" s="59"/>
      <c r="J25" s="59"/>
      <c r="K25" s="59"/>
      <c r="L25" s="59"/>
      <c r="M25" s="59"/>
      <c r="N25" s="59"/>
      <c r="O25" s="57">
        <v>0.5</v>
      </c>
      <c r="P25" s="53">
        <f t="shared" si="1"/>
        <v>0.25</v>
      </c>
      <c r="Q25" s="53">
        <f t="shared" si="0"/>
        <v>0.75</v>
      </c>
      <c r="R25" s="59"/>
      <c r="S25" s="59"/>
      <c r="T25" s="59"/>
      <c r="U25" s="59"/>
      <c r="V25" s="59"/>
      <c r="W25" s="59"/>
    </row>
    <row r="26" spans="2:23" ht="14.25">
      <c r="B26" s="53" t="s">
        <v>161</v>
      </c>
      <c r="C26" s="54" t="s">
        <v>162</v>
      </c>
      <c r="D26" s="53" t="s">
        <v>136</v>
      </c>
      <c r="E26" s="53" t="s">
        <v>45</v>
      </c>
      <c r="F26" s="53" t="s">
        <v>46</v>
      </c>
      <c r="G26" s="53" t="s">
        <v>47</v>
      </c>
      <c r="H26" s="59"/>
      <c r="I26" s="59"/>
      <c r="J26" s="59"/>
      <c r="K26" s="59"/>
      <c r="L26" s="59"/>
      <c r="M26" s="59"/>
      <c r="N26" s="59"/>
      <c r="O26" s="57">
        <v>0.25</v>
      </c>
      <c r="P26" s="53">
        <f t="shared" si="1"/>
        <v>0.125</v>
      </c>
      <c r="Q26" s="53">
        <f t="shared" si="0"/>
        <v>0.375</v>
      </c>
      <c r="R26" s="59"/>
      <c r="S26" s="59"/>
      <c r="T26" s="59"/>
      <c r="U26" s="59"/>
      <c r="V26" s="59"/>
      <c r="W26" s="59"/>
    </row>
    <row r="27" spans="2:23" ht="14.25">
      <c r="B27" s="53" t="s">
        <v>163</v>
      </c>
      <c r="C27" s="54" t="s">
        <v>164</v>
      </c>
      <c r="D27" s="53" t="s">
        <v>136</v>
      </c>
      <c r="E27" s="53" t="s">
        <v>45</v>
      </c>
      <c r="F27" s="53" t="s">
        <v>46</v>
      </c>
      <c r="G27" s="53" t="s">
        <v>47</v>
      </c>
      <c r="H27" s="59"/>
      <c r="I27" s="59"/>
      <c r="J27" s="59"/>
      <c r="K27" s="59"/>
      <c r="L27" s="59"/>
      <c r="M27" s="59"/>
      <c r="N27" s="59"/>
      <c r="O27" s="57">
        <v>0.25</v>
      </c>
      <c r="P27" s="53">
        <f t="shared" si="1"/>
        <v>0.125</v>
      </c>
      <c r="Q27" s="53">
        <f t="shared" si="0"/>
        <v>0.375</v>
      </c>
      <c r="R27" s="59"/>
      <c r="S27" s="59"/>
      <c r="T27" s="59"/>
      <c r="U27" s="59"/>
      <c r="V27" s="59"/>
      <c r="W27" s="59"/>
    </row>
    <row r="28" spans="2:23" ht="14.25">
      <c r="B28" s="53" t="s">
        <v>165</v>
      </c>
      <c r="C28" s="54" t="s">
        <v>166</v>
      </c>
      <c r="D28" s="53" t="s">
        <v>136</v>
      </c>
      <c r="E28" s="53" t="s">
        <v>45</v>
      </c>
      <c r="F28" s="53" t="s">
        <v>46</v>
      </c>
      <c r="G28" s="53" t="s">
        <v>47</v>
      </c>
      <c r="H28" s="59"/>
      <c r="I28" s="59"/>
      <c r="J28" s="59"/>
      <c r="K28" s="59"/>
      <c r="L28" s="59"/>
      <c r="M28" s="59"/>
      <c r="N28" s="59"/>
      <c r="O28" s="57">
        <v>0.5</v>
      </c>
      <c r="P28" s="53">
        <f t="shared" si="1"/>
        <v>0.25</v>
      </c>
      <c r="Q28" s="53">
        <f t="shared" si="0"/>
        <v>0.75</v>
      </c>
      <c r="R28" s="59"/>
      <c r="S28" s="59"/>
      <c r="T28" s="59"/>
      <c r="U28" s="59"/>
      <c r="V28" s="59"/>
      <c r="W28" s="59"/>
    </row>
    <row r="29" spans="2:23" ht="14.25">
      <c r="B29" s="53" t="s">
        <v>167</v>
      </c>
      <c r="C29" s="54" t="s">
        <v>168</v>
      </c>
      <c r="D29" s="53" t="s">
        <v>169</v>
      </c>
      <c r="E29" s="53" t="s">
        <v>45</v>
      </c>
      <c r="F29" s="53" t="s">
        <v>46</v>
      </c>
      <c r="G29" s="53" t="s">
        <v>47</v>
      </c>
      <c r="H29" s="59"/>
      <c r="I29" s="59"/>
      <c r="J29" s="59"/>
      <c r="K29" s="59"/>
      <c r="L29" s="59"/>
      <c r="M29" s="59"/>
      <c r="N29" s="59"/>
      <c r="O29" s="57">
        <v>3</v>
      </c>
      <c r="P29" s="53">
        <f t="shared" si="1"/>
        <v>1.5</v>
      </c>
      <c r="Q29" s="53">
        <f t="shared" si="0"/>
        <v>4.5</v>
      </c>
      <c r="R29" s="59"/>
      <c r="S29" s="59"/>
      <c r="T29" s="59"/>
      <c r="U29" s="59"/>
      <c r="V29" s="59"/>
      <c r="W29" s="59"/>
    </row>
    <row r="30" spans="2:23" ht="14.25">
      <c r="B30" s="53" t="s">
        <v>170</v>
      </c>
      <c r="C30" s="54" t="s">
        <v>171</v>
      </c>
      <c r="D30" s="53" t="s">
        <v>169</v>
      </c>
      <c r="E30" s="53" t="s">
        <v>45</v>
      </c>
      <c r="F30" s="53" t="s">
        <v>46</v>
      </c>
      <c r="G30" s="53" t="s">
        <v>47</v>
      </c>
      <c r="H30" s="59"/>
      <c r="I30" s="59"/>
      <c r="J30" s="59"/>
      <c r="K30" s="59"/>
      <c r="L30" s="59"/>
      <c r="M30" s="59"/>
      <c r="N30" s="59"/>
      <c r="O30" s="57">
        <v>1.75</v>
      </c>
      <c r="P30" s="53">
        <f t="shared" si="1"/>
        <v>0.875</v>
      </c>
      <c r="Q30" s="53">
        <f t="shared" si="0"/>
        <v>2.625</v>
      </c>
      <c r="R30" s="59"/>
      <c r="S30" s="59"/>
      <c r="T30" s="59"/>
      <c r="U30" s="59"/>
      <c r="V30" s="59"/>
      <c r="W30" s="59"/>
    </row>
    <row r="31" spans="2:23" ht="14.25">
      <c r="B31" s="53" t="s">
        <v>172</v>
      </c>
      <c r="C31" s="54" t="s">
        <v>173</v>
      </c>
      <c r="D31" s="53" t="s">
        <v>169</v>
      </c>
      <c r="E31" s="53" t="s">
        <v>45</v>
      </c>
      <c r="F31" s="53" t="s">
        <v>46</v>
      </c>
      <c r="G31" s="53" t="s">
        <v>47</v>
      </c>
      <c r="H31" s="59"/>
      <c r="I31" s="59"/>
      <c r="J31" s="59"/>
      <c r="K31" s="59"/>
      <c r="L31" s="59"/>
      <c r="M31" s="59"/>
      <c r="N31" s="59"/>
      <c r="O31" s="57">
        <v>4</v>
      </c>
      <c r="P31" s="53">
        <f t="shared" si="1"/>
        <v>2</v>
      </c>
      <c r="Q31" s="53">
        <f t="shared" si="0"/>
        <v>6</v>
      </c>
      <c r="R31" s="59"/>
      <c r="S31" s="59"/>
      <c r="T31" s="59"/>
      <c r="U31" s="59"/>
      <c r="V31" s="59"/>
      <c r="W31" s="59"/>
    </row>
    <row r="32" spans="2:23" ht="14.25">
      <c r="B32" s="53" t="s">
        <v>174</v>
      </c>
      <c r="C32" s="54" t="s">
        <v>175</v>
      </c>
      <c r="D32" s="53" t="s">
        <v>169</v>
      </c>
      <c r="E32" s="53" t="s">
        <v>45</v>
      </c>
      <c r="F32" s="53" t="s">
        <v>46</v>
      </c>
      <c r="G32" s="53" t="s">
        <v>47</v>
      </c>
      <c r="H32" s="59"/>
      <c r="I32" s="59"/>
      <c r="J32" s="59"/>
      <c r="K32" s="59"/>
      <c r="L32" s="59"/>
      <c r="M32" s="59"/>
      <c r="N32" s="59"/>
      <c r="O32" s="57">
        <v>2</v>
      </c>
      <c r="P32" s="53">
        <f t="shared" si="1"/>
        <v>1</v>
      </c>
      <c r="Q32" s="53">
        <f t="shared" si="0"/>
        <v>3</v>
      </c>
      <c r="R32" s="59"/>
      <c r="S32" s="59"/>
      <c r="T32" s="59"/>
      <c r="U32" s="59"/>
      <c r="V32" s="59"/>
      <c r="W32" s="59"/>
    </row>
    <row r="33" spans="2:23" ht="23.25">
      <c r="B33" s="53" t="s">
        <v>176</v>
      </c>
      <c r="C33" s="60" t="s">
        <v>177</v>
      </c>
      <c r="D33" s="53" t="s">
        <v>169</v>
      </c>
      <c r="E33" s="53" t="s">
        <v>45</v>
      </c>
      <c r="F33" s="53" t="s">
        <v>46</v>
      </c>
      <c r="G33" s="53" t="s">
        <v>47</v>
      </c>
      <c r="H33" s="59"/>
      <c r="I33" s="59"/>
      <c r="J33" s="59"/>
      <c r="K33" s="59"/>
      <c r="L33" s="59"/>
      <c r="M33" s="59"/>
      <c r="N33" s="59"/>
      <c r="O33" s="57">
        <v>1.5</v>
      </c>
      <c r="P33" s="53">
        <f t="shared" si="1"/>
        <v>0.75</v>
      </c>
      <c r="Q33" s="53">
        <f t="shared" si="0"/>
        <v>2.25</v>
      </c>
      <c r="R33" s="59"/>
      <c r="S33" s="59"/>
      <c r="T33" s="59"/>
      <c r="U33" s="59"/>
      <c r="V33" s="59"/>
      <c r="W33" s="59"/>
    </row>
    <row r="34" spans="2:23" ht="14.25">
      <c r="B34" s="53" t="s">
        <v>178</v>
      </c>
      <c r="C34" s="60" t="s">
        <v>179</v>
      </c>
      <c r="D34" s="53" t="s">
        <v>169</v>
      </c>
      <c r="E34" s="53" t="s">
        <v>45</v>
      </c>
      <c r="F34" s="53" t="s">
        <v>46</v>
      </c>
      <c r="G34" s="53" t="s">
        <v>47</v>
      </c>
      <c r="H34" s="59"/>
      <c r="I34" s="59"/>
      <c r="J34" s="59"/>
      <c r="K34" s="59"/>
      <c r="L34" s="59"/>
      <c r="M34" s="59"/>
      <c r="N34" s="59"/>
      <c r="O34" s="57">
        <v>0.25</v>
      </c>
      <c r="P34" s="53">
        <f t="shared" si="1"/>
        <v>0.125</v>
      </c>
      <c r="Q34" s="53">
        <f t="shared" si="0"/>
        <v>0.375</v>
      </c>
      <c r="R34" s="59"/>
      <c r="S34" s="59"/>
      <c r="T34" s="59"/>
      <c r="U34" s="59"/>
      <c r="V34" s="59"/>
      <c r="W34" s="59"/>
    </row>
    <row r="35" spans="2:23" ht="14.25">
      <c r="B35" s="53" t="s">
        <v>180</v>
      </c>
      <c r="C35" s="54" t="s">
        <v>181</v>
      </c>
      <c r="D35" s="53" t="s">
        <v>169</v>
      </c>
      <c r="E35" s="53" t="s">
        <v>45</v>
      </c>
      <c r="F35" s="53" t="s">
        <v>46</v>
      </c>
      <c r="G35" s="53" t="s">
        <v>47</v>
      </c>
      <c r="H35" s="59"/>
      <c r="I35" s="59"/>
      <c r="J35" s="59"/>
      <c r="K35" s="59"/>
      <c r="L35" s="59"/>
      <c r="M35" s="59"/>
      <c r="N35" s="59"/>
      <c r="O35" s="57">
        <v>0.5</v>
      </c>
      <c r="P35" s="53">
        <f t="shared" si="1"/>
        <v>0.25</v>
      </c>
      <c r="Q35" s="53">
        <f t="shared" si="0"/>
        <v>0.75</v>
      </c>
      <c r="R35" s="59"/>
      <c r="S35" s="59"/>
      <c r="T35" s="59"/>
      <c r="U35" s="59"/>
      <c r="V35" s="59"/>
      <c r="W35" s="59"/>
    </row>
    <row r="36" spans="2:23" ht="14.25">
      <c r="B36" s="53" t="s">
        <v>182</v>
      </c>
      <c r="C36" s="54" t="s">
        <v>142</v>
      </c>
      <c r="D36" s="53" t="s">
        <v>169</v>
      </c>
      <c r="E36" s="53" t="s">
        <v>45</v>
      </c>
      <c r="F36" s="53" t="s">
        <v>46</v>
      </c>
      <c r="G36" s="53" t="s">
        <v>47</v>
      </c>
      <c r="H36" s="59"/>
      <c r="I36" s="59"/>
      <c r="J36" s="59"/>
      <c r="K36" s="59"/>
      <c r="L36" s="59"/>
      <c r="M36" s="59"/>
      <c r="N36" s="59"/>
      <c r="O36" s="57">
        <v>2</v>
      </c>
      <c r="P36" s="53">
        <f t="shared" si="1"/>
        <v>1</v>
      </c>
      <c r="Q36" s="53">
        <f t="shared" si="0"/>
        <v>3</v>
      </c>
      <c r="R36" s="59"/>
      <c r="S36" s="59"/>
      <c r="T36" s="59"/>
      <c r="U36" s="59"/>
      <c r="V36" s="59"/>
      <c r="W36" s="59"/>
    </row>
    <row r="37" spans="2:23" ht="14.25">
      <c r="B37" s="53" t="s">
        <v>183</v>
      </c>
      <c r="C37" s="54" t="s">
        <v>184</v>
      </c>
      <c r="D37" s="53" t="s">
        <v>169</v>
      </c>
      <c r="E37" s="53" t="s">
        <v>45</v>
      </c>
      <c r="F37" s="53" t="s">
        <v>46</v>
      </c>
      <c r="G37" s="53" t="s">
        <v>47</v>
      </c>
      <c r="H37" s="59"/>
      <c r="I37" s="59"/>
      <c r="J37" s="59"/>
      <c r="K37" s="59"/>
      <c r="L37" s="59"/>
      <c r="M37" s="59"/>
      <c r="N37" s="59"/>
      <c r="O37" s="57">
        <v>0.5</v>
      </c>
      <c r="P37" s="53">
        <f t="shared" si="1"/>
        <v>0.25</v>
      </c>
      <c r="Q37" s="53">
        <f t="shared" si="0"/>
        <v>0.75</v>
      </c>
      <c r="R37" s="59"/>
      <c r="S37" s="59"/>
      <c r="T37" s="59"/>
      <c r="U37" s="59"/>
      <c r="V37" s="59"/>
      <c r="W37" s="59"/>
    </row>
    <row r="38" spans="2:23" ht="14.25">
      <c r="B38" s="53" t="s">
        <v>185</v>
      </c>
      <c r="C38" s="54" t="s">
        <v>186</v>
      </c>
      <c r="D38" s="53" t="s">
        <v>169</v>
      </c>
      <c r="E38" s="53" t="s">
        <v>45</v>
      </c>
      <c r="F38" s="53" t="s">
        <v>46</v>
      </c>
      <c r="G38" s="53" t="s">
        <v>47</v>
      </c>
      <c r="H38" s="59"/>
      <c r="I38" s="59"/>
      <c r="J38" s="59"/>
      <c r="K38" s="59"/>
      <c r="L38" s="59"/>
      <c r="M38" s="59"/>
      <c r="N38" s="59"/>
      <c r="O38" s="57">
        <v>0.75</v>
      </c>
      <c r="P38" s="53">
        <f t="shared" si="1"/>
        <v>0.375</v>
      </c>
      <c r="Q38" s="53">
        <f t="shared" si="0"/>
        <v>1.125</v>
      </c>
      <c r="R38" s="59"/>
      <c r="S38" s="59"/>
      <c r="T38" s="59"/>
      <c r="U38" s="59"/>
      <c r="V38" s="59"/>
      <c r="W38" s="59"/>
    </row>
    <row r="40" spans="2:23">
      <c r="O40">
        <f>SUM(O13:O38)</f>
        <v>25.5</v>
      </c>
      <c r="Q40">
        <f>SUM(Q13:Q38)</f>
        <v>38.25</v>
      </c>
    </row>
  </sheetData>
  <mergeCells count="3">
    <mergeCell ref="O2:Q2"/>
    <mergeCell ref="R2:W2"/>
    <mergeCell ref="B2:N2"/>
  </mergeCells>
  <dataValidations count="1">
    <dataValidation operator="greaterThanOrEqual" allowBlank="1" showInputMessage="1" showErrorMessage="1" sqref="P15:P38 O13:P14 Q13:Q38" xr:uid="{2DC842F1-B04A-4E75-A9C4-B0D210CC29F3}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F10F236-22A7-4122-BB37-B0CA0F8C2E92}">
          <x14:formula1>
            <xm:f>Params!$H$3:$H$6</xm:f>
          </x14:formula1>
          <xm:sqref>L14</xm:sqref>
        </x14:dataValidation>
        <x14:dataValidation type="list" allowBlank="1" showInputMessage="1" showErrorMessage="1" xr:uid="{884A4EED-E42F-4D1D-8C8B-DB89B899999D}">
          <x14:formula1>
            <xm:f>Params!$G$3:$G$9</xm:f>
          </x14:formula1>
          <xm:sqref>N14</xm:sqref>
        </x14:dataValidation>
        <x14:dataValidation type="list" allowBlank="1" showInputMessage="1" showErrorMessage="1" xr:uid="{61CD31D6-D0FC-428D-97AC-1114F4DE687A}">
          <x14:formula1>
            <xm:f>Params!$I$3:$I$19</xm:f>
          </x14:formula1>
          <xm:sqref>F14 F16 F18 F20 F22 F24 F26 F28 F30 F32 F34 F36 F38</xm:sqref>
        </x14:dataValidation>
        <x14:dataValidation type="list" allowBlank="1" showInputMessage="1" showErrorMessage="1" xr:uid="{9A80B2F4-099F-4C92-B561-3BC2B9171018}">
          <x14:formula1>
            <xm:f>Params!$C$3:$C$10</xm:f>
          </x14:formula1>
          <xm:sqref>E14 E16 E18 E20 E22 E24 E26 E28 E30 E32 E34 E36 E38</xm:sqref>
        </x14:dataValidation>
        <x14:dataValidation type="list" allowBlank="1" showInputMessage="1" showErrorMessage="1" xr:uid="{FD795F12-7913-4CED-988C-F77328F9A8DE}">
          <x14:formula1>
            <xm:f>Params!$E$3:$E$12</xm:f>
          </x14:formula1>
          <xm:sqref>I13:I14</xm:sqref>
        </x14:dataValidation>
        <x14:dataValidation type="list" allowBlank="1" showInputMessage="1" showErrorMessage="1" xr:uid="{BFCAEFB6-E338-479A-99C4-7D08236F0B07}">
          <x14:formula1>
            <xm:f>Params!$D$3:$D$10</xm:f>
          </x14:formula1>
          <xm:sqref>G14 G16 G18 G20 G22 G24 G26 G28 G30 G32 G34 G36 G38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zoomScale="80" zoomScaleNormal="80" workbookViewId="0">
      <selection activeCell="G16" sqref="G16"/>
    </sheetView>
  </sheetViews>
  <sheetFormatPr defaultColWidth="11.42578125" defaultRowHeight="14.45"/>
  <cols>
    <col min="1" max="1" width="12" style="2" customWidth="1"/>
    <col min="2" max="2" width="10.140625" style="2" customWidth="1"/>
    <col min="3" max="3" width="11.42578125" style="2"/>
    <col min="4" max="4" width="58.28515625" style="2" customWidth="1"/>
    <col min="5" max="5" width="15.85546875" style="2" customWidth="1"/>
    <col min="6" max="6" width="22.28515625" style="2" customWidth="1"/>
    <col min="7" max="7" width="16.5703125" style="2" customWidth="1"/>
    <col min="8" max="16384" width="11.42578125" style="2"/>
  </cols>
  <sheetData>
    <row r="2" spans="1:7" ht="15" thickBot="1"/>
    <row r="3" spans="1:7" ht="24" customHeight="1" thickBot="1">
      <c r="A3" s="2" t="s">
        <v>187</v>
      </c>
      <c r="B3" s="49" t="s">
        <v>0</v>
      </c>
      <c r="C3" s="50"/>
      <c r="D3" s="50"/>
      <c r="E3" s="50"/>
      <c r="F3" s="50"/>
      <c r="G3" s="51"/>
    </row>
    <row r="4" spans="1:7">
      <c r="B4" s="4"/>
      <c r="C4" s="5"/>
      <c r="D4" s="5"/>
      <c r="E4" s="5"/>
      <c r="F4" s="5"/>
      <c r="G4" s="5"/>
    </row>
    <row r="5" spans="1:7">
      <c r="B5" s="12" t="str">
        <f>'Gestion Exigences'!B5</f>
        <v>Client</v>
      </c>
      <c r="D5" s="12">
        <f>'Gestion Exigences'!E5</f>
        <v>0</v>
      </c>
      <c r="E5" s="5"/>
      <c r="F5" s="5"/>
      <c r="G5" s="5"/>
    </row>
    <row r="6" spans="1:7">
      <c r="B6" s="12" t="str">
        <f>'Gestion Exigences'!B6</f>
        <v>Projet</v>
      </c>
      <c r="D6" s="12">
        <f>'Gestion Exigences'!E6</f>
        <v>0</v>
      </c>
      <c r="E6" s="5"/>
      <c r="F6" s="5"/>
      <c r="G6" s="5"/>
    </row>
    <row r="7" spans="1:7">
      <c r="B7" s="12" t="str">
        <f>'Gestion Exigences'!B7</f>
        <v>Réf BPA du Devis</v>
      </c>
      <c r="D7" s="12" t="str">
        <f>'Gestion Exigences'!E7</f>
        <v>S0-00xyz</v>
      </c>
      <c r="E7" s="5"/>
      <c r="F7" s="5"/>
      <c r="G7" s="5"/>
    </row>
    <row r="8" spans="1:7">
      <c r="B8" s="12" t="str">
        <f>'Gestion Exigences'!B8</f>
        <v>Réf BPA du Projet</v>
      </c>
      <c r="D8" s="12" t="str">
        <f>'Gestion Exigences'!E8</f>
        <v>PR-22-0xyz</v>
      </c>
      <c r="E8" s="5"/>
      <c r="F8" s="5"/>
      <c r="G8" s="5"/>
    </row>
    <row r="9" spans="1:7">
      <c r="B9" s="4"/>
      <c r="C9" s="12"/>
      <c r="D9" s="5"/>
      <c r="E9" s="5"/>
      <c r="F9" s="5"/>
      <c r="G9" s="5"/>
    </row>
    <row r="10" spans="1:7">
      <c r="B10" s="17" t="str">
        <f>'Gestion Exigences'!B10</f>
        <v>Réf Modèle Document</v>
      </c>
      <c r="C10" s="18" t="str">
        <f>'Gestion Exigences'!E10</f>
        <v>MD203</v>
      </c>
      <c r="D10" s="5"/>
      <c r="E10" s="5"/>
      <c r="F10" s="5"/>
      <c r="G10" s="5"/>
    </row>
    <row r="11" spans="1:7">
      <c r="B11" s="17" t="str">
        <f>'Gestion Exigences'!B11</f>
        <v>Version Modèle Document</v>
      </c>
      <c r="C11" s="18" t="str">
        <f>'Gestion Exigences'!E11</f>
        <v>V1.5</v>
      </c>
      <c r="D11" s="5"/>
      <c r="E11" s="5"/>
      <c r="F11" s="5"/>
      <c r="G11" s="5"/>
    </row>
    <row r="12" spans="1:7">
      <c r="B12" s="4"/>
      <c r="C12" s="5"/>
      <c r="D12" s="5"/>
      <c r="E12" s="5"/>
      <c r="F12" s="5"/>
      <c r="G12" s="5"/>
    </row>
    <row r="13" spans="1:7">
      <c r="B13" s="25" t="s">
        <v>188</v>
      </c>
      <c r="C13" s="25" t="s">
        <v>189</v>
      </c>
      <c r="D13" s="25" t="s">
        <v>190</v>
      </c>
      <c r="E13" s="25" t="s">
        <v>191</v>
      </c>
      <c r="F13" s="25" t="s">
        <v>192</v>
      </c>
      <c r="G13" s="25" t="s">
        <v>193</v>
      </c>
    </row>
    <row r="14" spans="1:7" ht="29.45" customHeight="1">
      <c r="B14" s="6" t="s">
        <v>194</v>
      </c>
      <c r="C14" s="7">
        <v>45342</v>
      </c>
      <c r="D14" s="15" t="s">
        <v>195</v>
      </c>
      <c r="E14" s="6" t="s">
        <v>196</v>
      </c>
      <c r="F14" s="14" t="s">
        <v>197</v>
      </c>
      <c r="G14" s="6" t="s">
        <v>198</v>
      </c>
    </row>
    <row r="15" spans="1:7" ht="28.9">
      <c r="B15" s="2" t="s">
        <v>199</v>
      </c>
      <c r="C15" s="24">
        <v>45791</v>
      </c>
      <c r="D15" s="2" t="s">
        <v>200</v>
      </c>
      <c r="E15" s="2" t="s">
        <v>201</v>
      </c>
      <c r="F15" s="2" t="s">
        <v>198</v>
      </c>
      <c r="G15" s="2" t="s">
        <v>202</v>
      </c>
    </row>
    <row r="16" spans="1:7">
      <c r="C16" s="24"/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I22"/>
  <sheetViews>
    <sheetView workbookViewId="0">
      <selection activeCell="B4" sqref="B4"/>
    </sheetView>
  </sheetViews>
  <sheetFormatPr defaultColWidth="11.42578125" defaultRowHeight="13.9"/>
  <cols>
    <col min="1" max="2" width="11.42578125" style="10"/>
    <col min="3" max="4" width="19.7109375" style="10" customWidth="1"/>
    <col min="5" max="5" width="23.85546875" style="10" customWidth="1"/>
    <col min="6" max="6" width="14.42578125" style="10" customWidth="1"/>
    <col min="7" max="7" width="23.85546875" style="10" customWidth="1"/>
    <col min="8" max="8" width="25.140625" style="10" customWidth="1"/>
    <col min="9" max="9" width="20.42578125" style="10" customWidth="1"/>
    <col min="10" max="16384" width="11.42578125" style="10"/>
  </cols>
  <sheetData>
    <row r="2" spans="2:9" ht="27.6">
      <c r="B2" s="11" t="s">
        <v>3</v>
      </c>
      <c r="C2" s="11" t="s">
        <v>22</v>
      </c>
      <c r="D2" s="11" t="s">
        <v>203</v>
      </c>
      <c r="E2" s="11" t="s">
        <v>26</v>
      </c>
      <c r="F2" s="11" t="s">
        <v>204</v>
      </c>
      <c r="G2" s="11" t="s">
        <v>31</v>
      </c>
      <c r="H2" s="11" t="s">
        <v>205</v>
      </c>
      <c r="I2" s="11" t="s">
        <v>23</v>
      </c>
    </row>
    <row r="3" spans="2:9">
      <c r="B3" s="10" t="s">
        <v>206</v>
      </c>
      <c r="C3" s="10" t="s">
        <v>45</v>
      </c>
      <c r="D3" s="10" t="s">
        <v>47</v>
      </c>
      <c r="E3" s="10" t="s">
        <v>49</v>
      </c>
      <c r="F3" s="10" t="s">
        <v>96</v>
      </c>
      <c r="G3" s="10" t="s">
        <v>207</v>
      </c>
      <c r="H3" s="10" t="s">
        <v>208</v>
      </c>
      <c r="I3" s="10" t="s">
        <v>209</v>
      </c>
    </row>
    <row r="4" spans="2:9">
      <c r="B4" s="10" t="s">
        <v>210</v>
      </c>
      <c r="C4" s="10" t="s">
        <v>211</v>
      </c>
      <c r="D4" s="10" t="s">
        <v>212</v>
      </c>
      <c r="E4" s="10" t="s">
        <v>213</v>
      </c>
      <c r="F4" s="10" t="s">
        <v>44</v>
      </c>
      <c r="G4" s="10" t="s">
        <v>214</v>
      </c>
      <c r="H4" s="10" t="s">
        <v>215</v>
      </c>
      <c r="I4" s="10" t="s">
        <v>216</v>
      </c>
    </row>
    <row r="5" spans="2:9">
      <c r="B5" s="10" t="s">
        <v>217</v>
      </c>
      <c r="C5" s="10" t="s">
        <v>218</v>
      </c>
      <c r="D5" s="10" t="s">
        <v>219</v>
      </c>
      <c r="E5" s="10" t="s">
        <v>220</v>
      </c>
      <c r="F5" s="10" t="s">
        <v>202</v>
      </c>
      <c r="G5" s="10" t="s">
        <v>202</v>
      </c>
      <c r="H5" s="10" t="s">
        <v>202</v>
      </c>
      <c r="I5" s="10" t="s">
        <v>221</v>
      </c>
    </row>
    <row r="6" spans="2:9">
      <c r="B6" s="10" t="s">
        <v>4</v>
      </c>
      <c r="C6" s="10" t="s">
        <v>118</v>
      </c>
      <c r="D6" s="10" t="s">
        <v>222</v>
      </c>
      <c r="E6" s="10" t="s">
        <v>223</v>
      </c>
      <c r="I6" s="10" t="s">
        <v>224</v>
      </c>
    </row>
    <row r="7" spans="2:9">
      <c r="B7" s="10" t="s">
        <v>225</v>
      </c>
      <c r="C7" s="10" t="s">
        <v>226</v>
      </c>
      <c r="D7" s="10" t="s">
        <v>227</v>
      </c>
      <c r="E7" s="10" t="s">
        <v>228</v>
      </c>
      <c r="I7" s="10" t="s">
        <v>229</v>
      </c>
    </row>
    <row r="8" spans="2:9">
      <c r="B8" s="10" t="s">
        <v>230</v>
      </c>
      <c r="C8" s="10" t="s">
        <v>231</v>
      </c>
      <c r="E8" s="10" t="s">
        <v>232</v>
      </c>
      <c r="I8" s="10" t="s">
        <v>233</v>
      </c>
    </row>
    <row r="9" spans="2:9">
      <c r="B9" s="10" t="s">
        <v>234</v>
      </c>
      <c r="E9" s="10" t="s">
        <v>235</v>
      </c>
      <c r="I9" s="10" t="s">
        <v>236</v>
      </c>
    </row>
    <row r="10" spans="2:9">
      <c r="I10" s="10" t="s">
        <v>237</v>
      </c>
    </row>
    <row r="11" spans="2:9">
      <c r="I11" s="10" t="s">
        <v>238</v>
      </c>
    </row>
    <row r="13" spans="2:9">
      <c r="I13" s="10" t="s">
        <v>239</v>
      </c>
    </row>
    <row r="14" spans="2:9">
      <c r="I14" s="10" t="s">
        <v>240</v>
      </c>
    </row>
    <row r="15" spans="2:9">
      <c r="I15" s="10" t="s">
        <v>46</v>
      </c>
    </row>
    <row r="16" spans="2:9">
      <c r="I16" s="10" t="s">
        <v>241</v>
      </c>
    </row>
    <row r="17" spans="9:9">
      <c r="I17" s="10" t="s">
        <v>125</v>
      </c>
    </row>
    <row r="18" spans="9:9">
      <c r="I18" s="10" t="s">
        <v>242</v>
      </c>
    </row>
    <row r="19" spans="9:9">
      <c r="I19" s="10" t="s">
        <v>243</v>
      </c>
    </row>
    <row r="21" spans="9:9">
      <c r="I21" s="10" t="s">
        <v>244</v>
      </c>
    </row>
    <row r="22" spans="9:9" ht="27.6">
      <c r="I22" s="10" t="s">
        <v>245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9e80-f74a-40c7-b145-b94d8e4966f0">
      <Terms xmlns="http://schemas.microsoft.com/office/infopath/2007/PartnerControls"/>
    </lcf76f155ced4ddcb4097134ff3c332f>
    <TaxCatchAll xmlns="43b908ec-9e92-424c-a4ad-3174bac6e88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1C8B5B-7A06-4686-9F8A-E8F24EECD8B3}"/>
</file>

<file path=customXml/itemProps2.xml><?xml version="1.0" encoding="utf-8"?>
<ds:datastoreItem xmlns:ds="http://schemas.openxmlformats.org/officeDocument/2006/customXml" ds:itemID="{85503822-DF13-4051-A489-72B75648E37A}"/>
</file>

<file path=customXml/itemProps3.xml><?xml version="1.0" encoding="utf-8"?>
<ds:datastoreItem xmlns:ds="http://schemas.openxmlformats.org/officeDocument/2006/customXml" ds:itemID="{104A247F-C4A2-4338-95FE-23FF2F5107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DACTEM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Siwar Abbes</cp:lastModifiedBy>
  <cp:revision/>
  <dcterms:created xsi:type="dcterms:W3CDTF">2000-07-05T17:03:55Z</dcterms:created>
  <dcterms:modified xsi:type="dcterms:W3CDTF">2025-06-10T16:09:04Z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