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98" documentId="8_{46F3E770-C115-446E-BE80-74CE8C6D632B}" xr6:coauthVersionLast="47" xr6:coauthVersionMax="47" xr10:uidLastSave="{53675123-957B-4E9D-A6EA-DAB90518A7E4}"/>
  <bookViews>
    <workbookView xWindow="1520" yWindow="1520" windowWidth="14400" windowHeight="7360" tabRatio="620" xr2:uid="{00000000-000D-0000-FFFF-FFFF00000000}"/>
  </bookViews>
  <sheets>
    <sheet name="Gestion Exigences" sheetId="27" r:id="rId1"/>
    <sheet name="Modifs Doc" sheetId="29" r:id="rId2"/>
    <sheet name="Params" sheetId="30" r:id="rId3"/>
  </sheets>
  <externalReferences>
    <externalReference r:id="rId4"/>
  </externalReferences>
  <definedNames>
    <definedName name="_xlnm.Print_Area" localSheetId="0">'Gestion Exigences'!$C$2:$I$44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3" i="27" l="1"/>
  <c r="AD13" i="27" s="1"/>
  <c r="AC14" i="27"/>
  <c r="AC15" i="27"/>
  <c r="AC16" i="27"/>
  <c r="AC17" i="27"/>
  <c r="AC18" i="27"/>
  <c r="AC19" i="27"/>
  <c r="AC20" i="27"/>
  <c r="AD20" i="27" s="1"/>
  <c r="AC21" i="27"/>
  <c r="AD21" i="27" s="1"/>
  <c r="AC22" i="27"/>
  <c r="AC23" i="27"/>
  <c r="AC24" i="27"/>
  <c r="AC25" i="27"/>
  <c r="AD25" i="27" s="1"/>
  <c r="AC26" i="27"/>
  <c r="AD26" i="27" s="1"/>
  <c r="AC27" i="27"/>
  <c r="AC28" i="27"/>
  <c r="AD28" i="27" s="1"/>
  <c r="AC29" i="27"/>
  <c r="AD29" i="27" s="1"/>
  <c r="AC30" i="27"/>
  <c r="AC31" i="27"/>
  <c r="AD31" i="27" s="1"/>
  <c r="AC32" i="27"/>
  <c r="AC33" i="27"/>
  <c r="AD33" i="27" s="1"/>
  <c r="AC34" i="27"/>
  <c r="AC35" i="27"/>
  <c r="AD35" i="27" s="1"/>
  <c r="AC36" i="27"/>
  <c r="AD36" i="27" s="1"/>
  <c r="AC37" i="27"/>
  <c r="AD37" i="27" s="1"/>
  <c r="AC38" i="27"/>
  <c r="AC39" i="27"/>
  <c r="AC40" i="27"/>
  <c r="AC41" i="27"/>
  <c r="AD41" i="27" s="1"/>
  <c r="AC42" i="27"/>
  <c r="AC43" i="27"/>
  <c r="AC44" i="27"/>
  <c r="AD44" i="27" s="1"/>
  <c r="AD42" i="27"/>
  <c r="AD23" i="27"/>
  <c r="AD18" i="27"/>
  <c r="AD19" i="27"/>
  <c r="AD27" i="27"/>
  <c r="AD43" i="27"/>
  <c r="P41" i="27"/>
  <c r="Q41" i="27"/>
  <c r="R41" i="27"/>
  <c r="P31" i="27"/>
  <c r="Q31" i="27"/>
  <c r="R31" i="27"/>
  <c r="P25" i="27"/>
  <c r="Q25" i="27"/>
  <c r="R25" i="27"/>
  <c r="P24" i="27"/>
  <c r="Q24" i="27"/>
  <c r="R24" i="27"/>
  <c r="AD24" i="27"/>
  <c r="P16" i="27"/>
  <c r="Q16" i="27"/>
  <c r="R16" i="27"/>
  <c r="AD16" i="27"/>
  <c r="P35" i="27"/>
  <c r="Q35" i="27"/>
  <c r="R35" i="27"/>
  <c r="P30" i="27"/>
  <c r="Q30" i="27"/>
  <c r="R30" i="27"/>
  <c r="AD30" i="27"/>
  <c r="R26" i="27"/>
  <c r="Q26" i="27"/>
  <c r="P26" i="27"/>
  <c r="P27" i="27"/>
  <c r="Q27" i="27"/>
  <c r="R27" i="27"/>
  <c r="P20" i="27"/>
  <c r="Q20" i="27"/>
  <c r="R20" i="27"/>
  <c r="P28" i="27"/>
  <c r="Q28" i="27"/>
  <c r="R28" i="27"/>
  <c r="P38" i="27"/>
  <c r="Q38" i="27"/>
  <c r="R38" i="27"/>
  <c r="AD38" i="27"/>
  <c r="P34" i="27"/>
  <c r="Q34" i="27"/>
  <c r="R34" i="27"/>
  <c r="AD34" i="27"/>
  <c r="P36" i="27"/>
  <c r="Q36" i="27"/>
  <c r="R36" i="27"/>
  <c r="P37" i="27"/>
  <c r="Q37" i="27"/>
  <c r="R37" i="27"/>
  <c r="AD14" i="27"/>
  <c r="AD15" i="27"/>
  <c r="AD17" i="27"/>
  <c r="AD22" i="27"/>
  <c r="AD32" i="27"/>
  <c r="AD39" i="27"/>
  <c r="AD40" i="27"/>
  <c r="P42" i="27"/>
  <c r="Q42" i="27"/>
  <c r="R42" i="27"/>
  <c r="P43" i="27"/>
  <c r="Q43" i="27"/>
  <c r="R43" i="27"/>
  <c r="P40" i="27"/>
  <c r="Q40" i="27"/>
  <c r="R40" i="27"/>
  <c r="P44" i="27"/>
  <c r="Q44" i="27"/>
  <c r="R44" i="27"/>
  <c r="P23" i="27"/>
  <c r="Q23" i="27"/>
  <c r="R23" i="27"/>
  <c r="P15" i="27"/>
  <c r="Q15" i="27"/>
  <c r="R15" i="27"/>
  <c r="P21" i="27" l="1"/>
  <c r="Q21" i="27"/>
  <c r="R21" i="27"/>
  <c r="P17" i="27"/>
  <c r="Q17" i="27"/>
  <c r="R17" i="27"/>
  <c r="P33" i="27"/>
  <c r="Q33" i="27"/>
  <c r="R33" i="27"/>
  <c r="P39" i="27"/>
  <c r="Q39" i="27"/>
  <c r="R39" i="27"/>
  <c r="P29" i="27"/>
  <c r="Q29" i="27"/>
  <c r="R29" i="27"/>
  <c r="P32" i="27"/>
  <c r="Q32" i="27"/>
  <c r="R32" i="27"/>
  <c r="P14" i="27"/>
  <c r="Q14" i="27"/>
  <c r="R14" i="27"/>
  <c r="P18" i="27"/>
  <c r="Q18" i="27"/>
  <c r="R18" i="27"/>
  <c r="P19" i="27"/>
  <c r="Q19" i="27"/>
  <c r="R19" i="27"/>
  <c r="P22" i="27"/>
  <c r="Q22" i="27"/>
  <c r="R22" i="27"/>
  <c r="AB45" i="27"/>
  <c r="AC45" i="27"/>
  <c r="AD45" i="27"/>
  <c r="C5" i="29"/>
  <c r="C6" i="29"/>
  <c r="C7" i="29"/>
  <c r="C8" i="29"/>
  <c r="C9" i="29"/>
  <c r="C10" i="29"/>
  <c r="B6" i="29"/>
  <c r="B7" i="29"/>
  <c r="B8" i="29"/>
  <c r="B9" i="29"/>
  <c r="B10" i="29"/>
  <c r="B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32"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<sst xmlns="http://schemas.openxmlformats.org/spreadsheetml/2006/main" count="411" uniqueCount="250">
  <si>
    <t>Gestion Exigences Projet</t>
  </si>
  <si>
    <t>Chiffrage Réalisation SF</t>
  </si>
  <si>
    <t>Revue et Vérification pendant la Conception</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</si>
  <si>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</si>
  <si>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</si>
  <si>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</si>
  <si>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</si>
  <si>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</si>
  <si>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</si>
  <si>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</si>
  <si>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</si>
  <si>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</si>
  <si>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</si>
  <si>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</si>
  <si>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</si>
  <si>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</si>
  <si>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</si>
  <si>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</si>
  <si>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Exigence indéfiée pendant la phase</t>
  </si>
  <si>
    <t>Description de l'exigence</t>
  </si>
  <si>
    <t>Source</t>
  </si>
  <si>
    <t>Description de la solution ADDIXO</t>
  </si>
  <si>
    <t>Écart entre exigence client et la solution proposée - préciser aussi les limites et hypothèses si applicable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</si>
  <si>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</si>
  <si>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</si>
  <si>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</si>
  <si>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</si>
  <si>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</si>
  <si>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</si>
  <si>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</si>
  <si>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</si>
  <si>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</si>
  <si>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</si>
  <si>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</si>
  <si>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</si>
  <si>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</si>
  <si>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</si>
  <si>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</si>
  <si>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</si>
  <si>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</si>
  <si>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</si>
  <si>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</si>
  <si>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</si>
  <si>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</si>
  <si>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</si>
  <si>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</si>
  <si>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</si>
  <si>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</si>
  <si>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</si>
  <si>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</si>
  <si>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 l'usine </t>
  </si>
  <si>
    <t>Fonctionnelle</t>
  </si>
  <si>
    <t>SF-Fonctionnelle</t>
  </si>
  <si>
    <t>Commerciale</t>
  </si>
  <si>
    <t xml:space="preserve">Configurer les données de l'usine </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</si>
  <si>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 Configuration des imprimantes.
 etc.</t>
  </si>
  <si>
    <t>Validée</t>
  </si>
  <si>
    <t>Mahdi B.</t>
  </si>
  <si>
    <t>Non validée par client</t>
  </si>
  <si>
    <t>E002</t>
  </si>
  <si>
    <t xml:space="preserve">Configuration des produits </t>
  </si>
  <si>
    <t>Configurer les produits en poids, en métrage linéaire et en pièce</t>
  </si>
  <si>
    <r>
      <rPr>
        <b/>
        <sz val="11"/>
        <color theme="1"/>
        <rFont val="Calibri Light"/>
        <family val="2"/>
        <scheme val="major"/>
      </rPr>
      <t>Adaptation</t>
    </r>
    <r>
      <rPr>
        <sz val="11"/>
        <color theme="1"/>
        <rFont val="Calibri Light"/>
        <family val="2"/>
        <scheme val="major"/>
      </rPr>
      <t xml:space="preserve">
Permettre au niveau de la configuration des produits :
- L'ajout de plusieurs unités de mesure (ex. kg, mètres, pièces). Pour chaque unité, l'utilisateur saisit une valeur spécifique avec des tolérances .
- L'ajout d'un taux de conversion entre les unités sélectionnées
- L'ajout de la capacité maximale et minimale par palette en nombre de bobines filles.</t>
    </r>
  </si>
  <si>
    <t>Hypothèse :  Métrage min et max , poids min et max  , capacité palette min et max sont différents pour chaque produit</t>
  </si>
  <si>
    <t>E003</t>
  </si>
  <si>
    <t>Chargement des données via des fichiers CSV</t>
  </si>
  <si>
    <t>Charger les données à partir des fichiers csv</t>
  </si>
  <si>
    <r>
      <rPr>
        <sz val="11"/>
        <color rgb="FF000000"/>
        <rFont val="Calibri Light"/>
        <family val="2"/>
        <scheme val="major"/>
      </rP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rgb="FF000000"/>
        <rFont val="Calibri Light"/>
        <family val="2"/>
        <scheme val="major"/>
      </rPr>
      <t xml:space="preserve">Adaptation : </t>
    </r>
    <r>
      <rPr>
        <sz val="11"/>
        <color rgb="FF000000"/>
        <rFont val="Calibri Light"/>
        <family val="2"/>
        <scheme val="major"/>
      </rPr>
      <t>Adapter le fichier pour supporter plusieurs unités pour chaque produit</t>
    </r>
  </si>
  <si>
    <t>E004</t>
  </si>
  <si>
    <t>Lecture des produits , matières et nomenclatures  à partir du sage X3</t>
  </si>
  <si>
    <t>Intégration et mis à jour des produits, matières et nomenclatures à partir du sage X3 via API</t>
  </si>
  <si>
    <r>
      <rPr>
        <b/>
        <sz val="11"/>
        <color rgb="FF000000"/>
        <rFont val="Calibri Light"/>
        <family val="2"/>
        <scheme val="major"/>
      </rPr>
      <t xml:space="preserve">Adaptation : 
</t>
    </r>
    <r>
      <rPr>
        <sz val="11"/>
        <color rgb="FF000000"/>
        <rFont val="Calibri Light"/>
        <family val="2"/>
        <scheme val="major"/>
      </rPr>
      <t>Le module "Intégration SI" de la solution permet d'intégrer via webservice , des produits, matières et nomenclatures à partir du sage X3 manuellement ou automatiquement selon une fréquence choisie par le client .
Le module "Intégration SI" de la solution permet l’importation des produits, nomenclatures et matières à partir du Sage X3 via webservice . L’intégration peut être réalisée soit manuellement, soit automatiquement, selon une fréquence définie par le client. En cas d’incompatibilité des champs transmis, la solution génère une alerte précisant les champs incorrects ou manquants, afin de garantir le succès de l’intégration.</t>
    </r>
  </si>
  <si>
    <t>Cette exigences nécessite un travail de collaboration entre l'équipe MOMSOFT  et le fournisseur ERP du Client.</t>
  </si>
  <si>
    <t>E005</t>
  </si>
  <si>
    <t>Lecture des OF à partir de sage X3</t>
  </si>
  <si>
    <t>Automatiser l'intégration  des OF à partir de Sage X3 via API</t>
  </si>
  <si>
    <r>
      <rPr>
        <b/>
        <sz val="11"/>
        <color theme="1"/>
        <rFont val="Calibri Light"/>
        <family val="2"/>
        <scheme val="major"/>
      </rPr>
      <t xml:space="preserve">Adaptation : </t>
    </r>
    <r>
      <rPr>
        <sz val="11"/>
        <color theme="1"/>
        <rFont val="Calibri Light"/>
        <family val="2"/>
        <scheme val="major"/>
      </rPr>
      <t xml:space="preserve">
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r>
  </si>
  <si>
    <t>E006</t>
  </si>
  <si>
    <t>Gestion des Ordres de Fabrication</t>
  </si>
  <si>
    <t>Ajustement de la planification et gestion centralisée des OF</t>
  </si>
  <si>
    <r>
      <rPr>
        <sz val="11"/>
        <color rgb="FF000000"/>
        <rFont val="Calibri Light"/>
        <family val="2"/>
        <scheme val="major"/>
      </rPr>
      <t xml:space="preserve">La solution offre un module "Gestion des OF" , offrant les fonctionnalités suivantes :
- Lancement simultané des OF sur plusieurs lignes de production en parallèle.
- Gestion et suivi des statuts des OF: planifié, lancé, suspendu, changement de série, fermé.
- Mise à jour en temps réel des statuts des OF.
- Workflow paramétrable pour valider les changements de statut.
- Ajustement dynamique de la planification en réponse aux aléas de production.
- Gestion des changements de série.
</t>
    </r>
    <r>
      <rPr>
        <b/>
        <sz val="11"/>
        <color rgb="FF000000"/>
        <rFont val="Calibri Light"/>
        <family val="2"/>
        <scheme val="major"/>
      </rPr>
      <t>Adaptation :</t>
    </r>
    <r>
      <rPr>
        <sz val="11"/>
        <color rgb="FF000000"/>
        <rFont val="Calibri Light"/>
        <family val="2"/>
        <scheme val="major"/>
      </rPr>
      <t xml:space="preserve"> 
- Gestion des OF en série, incluant une configuration pour une ligne dédiée à la sortie de production, 
-Saisie des quantités objectifs en poids ou en métrage.</t>
    </r>
  </si>
  <si>
    <t>E007</t>
  </si>
  <si>
    <t xml:space="preserve">Planification des opération </t>
  </si>
  <si>
    <t>Visualisation des planifications en temps réel</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</si>
  <si>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</si>
  <si>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E008</t>
  </si>
  <si>
    <t xml:space="preserve"> Fiche de contrôle matière</t>
  </si>
  <si>
    <t>Génération automatique et manuelle des fiches de contrôle matière</t>
  </si>
  <si>
    <r>
      <rPr>
        <b/>
        <sz val="11"/>
        <color theme="1"/>
        <rFont val="Calibri Light"/>
        <family val="2"/>
        <scheme val="major"/>
      </rPr>
      <t>Adaptation :</t>
    </r>
    <r>
      <rPr>
        <sz val="11"/>
        <color theme="1"/>
        <rFont val="Calibri Light"/>
        <family val="2"/>
        <scheme val="major"/>
      </rPr>
      <t xml:space="preserve"> 
La solution propose de créer automatiquement ou manuellement les fiches de contrôle matière sous forme de check-list, contenant tous les critères à inspecter par produit (bobine mère). L'accès à ces fiches est limité aux opérateurs, avec un workflow de validation, ainsi qu'une historisation complète et un suivi de toutes les fiches de contrôle matière pour assurer une traçabilité totale.</t>
    </r>
  </si>
  <si>
    <t>E009</t>
  </si>
  <si>
    <t xml:space="preserve">Fiche OK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</si>
  <si>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</si>
  <si>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Gestion des paramètres et réglages machines
- Génération automatique des contrôles :
   Des fiches de contrôle produit et réglages machines au démarrage.
-Validation et Traçabilité  : 
  Workflow de validation à multi-niveaux des contrôles (validation régleur , validation qualiticien ..) .
   Archivage des résultats de contrôle</t>
  </si>
  <si>
    <t>E010</t>
  </si>
  <si>
    <t xml:space="preserve">Instruction de travail par référence produit </t>
  </si>
  <si>
    <t xml:space="preserve">Chargement , affectation et visualisions des fiches d'instruction par produits </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</si>
  <si>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</si>
  <si>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E011</t>
  </si>
  <si>
    <t xml:space="preserve">Récupération du poids des bobines à partir des balances </t>
  </si>
  <si>
    <t xml:space="preserve">Récupération du poids  des bobines à partir des balances </t>
  </si>
  <si>
    <r>
      <rPr>
        <b/>
        <sz val="11"/>
        <color rgb="FF000000"/>
        <rFont val="Calibri Light"/>
        <family val="2"/>
        <scheme val="major"/>
      </rPr>
      <t xml:space="preserve">Adaptation :
</t>
    </r>
    <r>
      <rPr>
        <sz val="11"/>
        <color rgb="FF000000"/>
        <rFont val="Calibri Light"/>
        <family val="2"/>
        <scheme val="major"/>
      </rPr>
      <t>Récupération automatique des données : Intégration avec la balance pour récupérer automatiquement le poids de chaque bobine produite.</t>
    </r>
  </si>
  <si>
    <t>Hypothèse : Ces informations seront récupérées à partir d'un fichier sur le serveur.</t>
  </si>
  <si>
    <t>E012</t>
  </si>
  <si>
    <t>Génération et impression étiquette bobine fille</t>
  </si>
  <si>
    <t>Validation de la quantité produite (bobine fille) en poids et mètre linéaire et déclenchement de l'impression étiquette bobine fille</t>
  </si>
  <si>
    <r>
      <rPr>
        <b/>
        <sz val="11"/>
        <color rgb="FF000000"/>
        <rFont val="Calibri Light"/>
        <family val="2"/>
        <scheme val="major"/>
      </rPr>
      <t xml:space="preserve">Adaptation </t>
    </r>
    <r>
      <rPr>
        <sz val="11"/>
        <color rgb="FF000000"/>
        <rFont val="Calibri Light"/>
        <family val="2"/>
        <scheme val="major"/>
      </rPr>
      <t xml:space="preserve">: 
La solution permet de :
- Afficher le poids récupéré de la balance de la bobine fille
- Introduire le métrage linéaire du bobine fille 
- Valider le poids et le métrage linéaire selon le taux de conversion : Contrôle du métrage pour s'assurer que le métrage et poids récupéré ne soit pas inférieur au métrage et poids exigés, tel que défini dans la configuration du produit et affichage d'une alerte en cas de non-conformité .
- Générer une étiquette pour la bobine fille 
</t>
    </r>
  </si>
  <si>
    <t>E013</t>
  </si>
  <si>
    <t>Impression et réimpression étiquette bobine fille</t>
  </si>
  <si>
    <r>
      <rPr>
        <b/>
        <sz val="11"/>
        <color rgb="FF000000"/>
        <rFont val="Calibri Light"/>
        <family val="2"/>
        <scheme val="major"/>
      </rPr>
      <t xml:space="preserve">Adaptation </t>
    </r>
    <r>
      <rPr>
        <sz val="11"/>
        <color rgb="FF000000"/>
        <rFont val="Calibri Light"/>
        <family val="2"/>
        <scheme val="major"/>
      </rPr>
      <t>: 
La solution permet d'enregistrer et d'imprimer directement l'étiquette de la bobine fille ou de la réimprimer .</t>
    </r>
  </si>
  <si>
    <t>Cette exigence nécessite l'envoi d'une signale d'impression du panel à l'imprimante</t>
  </si>
  <si>
    <t>E014</t>
  </si>
  <si>
    <t xml:space="preserve"> Fiche Machine : Déclaration de production en utilisant plusieurs unités ( par bobine fille et par palette )</t>
  </si>
  <si>
    <t>Déclaration des quantités produite et non-conforme en Kg, en mètre et en pièces (pour les sleeveuses) par bobine et par palette.</t>
  </si>
  <si>
    <r>
      <rPr>
        <b/>
        <sz val="11"/>
        <color rgb="FF000000"/>
        <rFont val="Calibri Light"/>
        <family val="2"/>
        <scheme val="major"/>
      </rPr>
      <t xml:space="preserve">Adaptation :
</t>
    </r>
    <r>
      <rPr>
        <sz val="11"/>
        <color rgb="FF000000"/>
        <rFont val="Calibri Light"/>
        <family val="2"/>
        <scheme val="major"/>
      </rPr>
      <t xml:space="preserve">La solution proposée permettra de crée une fiche machine par opérateur et par shift permet  :
- Le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L'enregistrement automatiquement les quantités (selon les unités du produits) pour chaque bobine produite.
- La génération automatique des palettes au démarrage de production
- La gestion automatique et manuelle des palettes : remplissage et clôture 
- La déclaration manuelle des non-conformités par bobine, avec un suivi des défauts qualité et du lieu de détection 
- La gestion  des déchets déclarés  et  non déclarés. 
- La gestion des restes non consommés de la bobine mère .
- Un workflow de validation
- Un accès limité de modification 
</t>
    </r>
  </si>
  <si>
    <t>E015</t>
  </si>
  <si>
    <t xml:space="preserve">Suivi de la qualité : Fiche d'auto-contrôle </t>
  </si>
  <si>
    <t>Digitaliser la génération et le remplissage des fiches de contrôle par bobine fille</t>
  </si>
  <si>
    <r>
      <rPr>
        <sz val="11"/>
        <color rgb="FF000000"/>
        <rFont val="Calibri Light"/>
        <family val="2"/>
        <scheme val="major"/>
      </rPr>
      <t xml:space="preserve">La fiche suivi de la solution permet de :
- Générer automatiquement ou manuellement des fiches de suivi dédiées aux opérateurs ,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
</t>
    </r>
    <r>
      <rPr>
        <b/>
        <sz val="11"/>
        <color rgb="FF000000"/>
        <rFont val="Calibri Light"/>
        <family val="2"/>
        <scheme val="major"/>
      </rPr>
      <t>Adaptation</t>
    </r>
    <r>
      <rPr>
        <sz val="11"/>
        <color rgb="FF000000"/>
        <rFont val="Calibri Light"/>
        <family val="2"/>
        <scheme val="major"/>
      </rPr>
      <t xml:space="preserve"> : Ajouter des champs dans la fiche d'auto-contrôle pour identification de la matière (bobine mère ) , bobine fille et palette.
Adapter la génération de la fiche d'auto-contrôle à la génération de l'étiquette bobine fille .</t>
    </r>
  </si>
  <si>
    <t>E016</t>
  </si>
  <si>
    <t>Gestion des fiches de passation</t>
  </si>
  <si>
    <t>Gérer le changement de responsabilité en utilisant les fiches de passation</t>
  </si>
  <si>
    <r>
      <rPr>
        <b/>
        <sz val="11"/>
        <color rgb="FF000000"/>
        <rFont val="Calibri Light"/>
        <family val="2"/>
        <scheme val="major"/>
      </rPr>
      <t xml:space="preserve">Adaptation </t>
    </r>
    <r>
      <rPr>
        <sz val="11"/>
        <color rgb="FF000000"/>
        <rFont val="Calibri Light"/>
        <family val="2"/>
        <scheme val="major"/>
      </rPr>
      <t>: La solution permet de générer automatiquement des fiches de passation contenant toutes les informations relatives au shift. La validation de ces fiches est nécessaire pour contrôler le changement de responsabilité.</t>
    </r>
  </si>
  <si>
    <t>E017</t>
  </si>
  <si>
    <t xml:space="preserve">Génération et impression des étiquette pour les palettes </t>
  </si>
  <si>
    <t>Génération et impression d'étiquettes automatique à la fermeture de palette</t>
  </si>
  <si>
    <r>
      <rPr>
        <b/>
        <sz val="11"/>
        <color rgb="FF000000"/>
        <rFont val="Calibri Light"/>
        <family val="2"/>
        <scheme val="major"/>
      </rPr>
      <t xml:space="preserve">Adaptation  </t>
    </r>
    <r>
      <rPr>
        <sz val="11"/>
        <color rgb="FF000000"/>
        <rFont val="Calibri Light"/>
        <family val="2"/>
        <scheme val="major"/>
      </rPr>
      <t xml:space="preserve">: Une fois qu'une palette est clôturée, la solution génère automatiquement une étiquette contenant les informations essentielles (Code à barre , code produit, poids, mètre linéaire, etc.). </t>
    </r>
  </si>
  <si>
    <t>E018</t>
  </si>
  <si>
    <t>Fiche de contrôle: Libération</t>
  </si>
  <si>
    <t>Génération automatique et manuelle des fiches de contrôle  (libération ) à la clôture de la palette</t>
  </si>
  <si>
    <r>
      <rPr>
        <b/>
        <sz val="11"/>
        <color rgb="FF000000"/>
        <rFont val="Calibri Light"/>
        <family val="2"/>
        <scheme val="major"/>
      </rPr>
      <t xml:space="preserve">Adaptation </t>
    </r>
    <r>
      <rPr>
        <sz val="11"/>
        <color rgb="FF000000"/>
        <rFont val="Calibri Light"/>
        <family val="2"/>
        <scheme val="major"/>
      </rPr>
      <t>:
La solution propose de créer automatiquement à la clôture de la palette ou manuellement les fiches de contrôle (libération)  sous forme de check-list, contenant tous les critères à contrôler par palette .
 - Gestion des statuts des palettes ( libérée , en attente de libération , en attente d'analyse, Libérée avec dérogation , bloquée )
- Envoie d'une notification au magasinier une fois le statut de la palette est libérée ou libérée avec dérogation .
L'accès à ces fiches est limité aux agents qualité, avec une historisation complète et un suivi de toutes les fiches d'inspection pour assurer une traçabilité totale.
De plus, la solution intègre un workflow de validation .</t>
    </r>
  </si>
  <si>
    <t>E019</t>
  </si>
  <si>
    <t>Pré-déclaration de la palette dans Sage X3</t>
  </si>
  <si>
    <t>Envoi de la palette au sage X3 avec un statut défini</t>
  </si>
  <si>
    <r>
      <rPr>
        <b/>
        <sz val="11"/>
        <color theme="1"/>
        <rFont val="Calibri Light"/>
        <family val="2"/>
        <scheme val="major"/>
      </rPr>
      <t>Adaptation :</t>
    </r>
    <r>
      <rPr>
        <sz val="11"/>
        <color theme="1"/>
        <rFont val="Calibri Light"/>
        <family val="2"/>
        <scheme val="major"/>
      </rPr>
      <t xml:space="preserve">
Envoi de la palette vers sage X3 avec un statut "en attente de libération" .</t>
    </r>
  </si>
  <si>
    <t>Cette exigence nécessite un travail de collaboration entre l'équipe MOMSOFT et le fournisseur ERP du Client.</t>
  </si>
  <si>
    <t>E020</t>
  </si>
  <si>
    <t xml:space="preserve">Suivi de la production et qualité en utilisant plusieurs unités </t>
  </si>
  <si>
    <t xml:space="preserve">Suivi et historisation de la production et qualité par poids et mètre linéaire </t>
  </si>
  <si>
    <r>
      <rPr>
        <b/>
        <sz val="11"/>
        <color rgb="FF000000"/>
        <rFont val="Calibri Light"/>
        <family val="2"/>
        <scheme val="major"/>
      </rPr>
      <t xml:space="preserve">Adaptation </t>
    </r>
    <r>
      <rPr>
        <sz val="11"/>
        <color rgb="FF000000"/>
        <rFont val="Calibri Light"/>
        <family val="2"/>
        <scheme val="major"/>
      </rPr>
      <t>: La solution permet de suivre et d'historiser la production et la qualité par OF, par shift, et par bobine. Des colonnes supplémentaires sont proposées pour afficher les quantités en poids et en mètres linéaires.</t>
    </r>
  </si>
  <si>
    <t>E021</t>
  </si>
  <si>
    <t xml:space="preserve">Gestion des Rework  </t>
  </si>
  <si>
    <t>Création des ordres de Rework</t>
  </si>
  <si>
    <r>
      <rPr>
        <sz val="11"/>
        <color rgb="FF000000"/>
        <rFont val="Calibri Light"/>
        <family val="2"/>
        <scheme val="major"/>
      </rPr>
      <t xml:space="preserve"> </t>
    </r>
    <r>
      <rPr>
        <b/>
        <sz val="11"/>
        <color rgb="FF000000"/>
        <rFont val="Calibri Light"/>
        <family val="2"/>
        <scheme val="major"/>
      </rPr>
      <t xml:space="preserve">Adaptation </t>
    </r>
    <r>
      <rPr>
        <sz val="11"/>
        <color rgb="FF000000"/>
        <rFont val="Calibri Light"/>
        <family val="2"/>
        <scheme val="major"/>
      </rPr>
      <t>: La solution proposée permet de crée et gérer   des OF de Rework avec le même code OF  dès la déclaration d'un incident de qualité nécessitant un traitement. Les OF de Rework seront marqués pour les identifier.</t>
    </r>
  </si>
  <si>
    <t>E022</t>
  </si>
  <si>
    <t>Fiche de réception magasin</t>
  </si>
  <si>
    <t>Génération automatique de la fiche de contrôle par palette</t>
  </si>
  <si>
    <r>
      <rPr>
        <b/>
        <sz val="11"/>
        <color theme="1"/>
        <rFont val="Calibri Light"/>
        <family val="2"/>
        <scheme val="major"/>
      </rPr>
      <t xml:space="preserve">Adaptation : </t>
    </r>
    <r>
      <rPr>
        <sz val="11"/>
        <color theme="1"/>
        <rFont val="Calibri Light"/>
        <family val="2"/>
        <scheme val="major"/>
      </rPr>
      <t xml:space="preserve">
La solution permet de générer automatiquement ou manuellement une fiche de contrôle après libération d’une palette, afin de la valider avant le conditionnement. 
Cette fiche dédié au magasinier , se présente sous la forme d’une check-list de contrôle, avec des paramètres configurables.
Elle permet également de vérifier le taux de conversion réel par rapport au taux théorique.
De plus, la solution inclut un workflow de validation et garantit une historisation complète des fiches.</t>
    </r>
  </si>
  <si>
    <t>E023</t>
  </si>
  <si>
    <t>Certificat d'analyse laboratoire</t>
  </si>
  <si>
    <t>Création et consultation des certificats d'analyse laboratoire</t>
  </si>
  <si>
    <r>
      <rPr>
        <b/>
        <sz val="11"/>
        <color rgb="FF000000"/>
        <rFont val="Calibri Light"/>
        <family val="2"/>
        <scheme val="major"/>
      </rPr>
      <t xml:space="preserve">Adaptation </t>
    </r>
    <r>
      <rPr>
        <sz val="11"/>
        <color rgb="FF000000"/>
        <rFont val="Calibri Light"/>
        <family val="2"/>
        <scheme val="major"/>
      </rPr>
      <t>: 
La solution permet de créer , consulter et imprimer des certificat d'analyse laboratoire contenant une synthèse des contrôles réalisés par critère .</t>
    </r>
  </si>
  <si>
    <t>E024</t>
  </si>
  <si>
    <t xml:space="preserve">Génération et impression de la deuxième  étiquette pour les palettes </t>
  </si>
  <si>
    <t xml:space="preserve">Génération et impression d'étiquettes automatique à la validation de la fiche de réception magasin </t>
  </si>
  <si>
    <r>
      <rPr>
        <b/>
        <sz val="11"/>
        <color rgb="FF000000"/>
        <rFont val="Calibri Light"/>
        <family val="2"/>
        <scheme val="major"/>
      </rPr>
      <t xml:space="preserve">Adaptation  </t>
    </r>
    <r>
      <rPr>
        <sz val="11"/>
        <color rgb="FF000000"/>
        <rFont val="Calibri Light"/>
        <family val="2"/>
        <scheme val="major"/>
      </rPr>
      <t xml:space="preserve">: Une fois qu'une fiche de réception magasin est validée par le magasinier ,  la solution permet de générer et imprimer une deuxième  étiquette contenant les informations essentielles (Code à barre , code produit, poids, mètre linéaire, etc.). </t>
    </r>
  </si>
  <si>
    <t>E025</t>
  </si>
  <si>
    <t xml:space="preserve">Confirmation collage étiquette </t>
  </si>
  <si>
    <t>Scan des deux étiquettes, de comparer leurs données</t>
  </si>
  <si>
    <r>
      <rPr>
        <b/>
        <sz val="11"/>
        <color rgb="FF000000"/>
        <rFont val="Calibri Light"/>
        <family val="2"/>
        <scheme val="major"/>
      </rPr>
      <t xml:space="preserve">Adaptation  </t>
    </r>
    <r>
      <rPr>
        <sz val="11"/>
        <color rgb="FF000000"/>
        <rFont val="Calibri Light"/>
        <family val="2"/>
        <scheme val="major"/>
      </rPr>
      <t>: La solution exige de scanner les deux étiquettes, de vérifier la correspondance des données et d'informer l'utilisateur en cas de divergence, avant de déplacer la palette vers le stock.</t>
    </r>
  </si>
  <si>
    <t>E026</t>
  </si>
  <si>
    <t>Confirmation de la déclaration finale de la production pour l'ERP</t>
  </si>
  <si>
    <t xml:space="preserve">Déclaration finale de la production dans l'ERP </t>
  </si>
  <si>
    <r>
      <rPr>
        <b/>
        <sz val="11"/>
        <color rgb="FF000000"/>
        <rFont val="Calibri Light"/>
        <family val="2"/>
        <scheme val="major"/>
      </rPr>
      <t xml:space="preserve">Adaptation </t>
    </r>
    <r>
      <rPr>
        <sz val="11"/>
        <color rgb="FF000000"/>
        <rFont val="Calibri Light"/>
        <family val="2"/>
        <scheme val="major"/>
      </rPr>
      <t>: La solution exige aux utilisateurs de confirmer la déclaration de production au niveau de l'ERP.</t>
    </r>
  </si>
  <si>
    <t>E027</t>
  </si>
  <si>
    <r>
      <rPr>
        <sz val="11"/>
        <rFont val="Calibri Light"/>
        <family val="2"/>
      </rPr>
      <t>É</t>
    </r>
    <r>
      <rPr>
        <sz val="11"/>
        <rFont val="Calibri Light"/>
        <family val="2"/>
        <scheme val="major"/>
      </rPr>
      <t>criture vers Sage X3 par Palette</t>
    </r>
  </si>
  <si>
    <t>Retour des données des OF vers sage X3</t>
  </si>
  <si>
    <r>
      <rPr>
        <b/>
        <sz val="11"/>
        <color rgb="FF000000"/>
        <rFont val="Calibri Light"/>
        <family val="2"/>
        <scheme val="major"/>
      </rPr>
      <t xml:space="preserve">Adaptation </t>
    </r>
    <r>
      <rPr>
        <sz val="11"/>
        <color rgb="FF000000"/>
        <rFont val="Calibri Light"/>
        <family val="2"/>
        <scheme val="major"/>
      </rPr>
      <t xml:space="preserve">: La solution permet d'automatiser le retour des données des OF vers Sage X3 via webservices , les données envoyées inclut la quantité produite par palette en poids et en  mètres linéaires avec un statut "en stock". </t>
    </r>
  </si>
  <si>
    <t>Cette adaptation nécessite la collaboration avec l'intégrateur ERP de client .</t>
  </si>
  <si>
    <t>E028</t>
  </si>
  <si>
    <t xml:space="preserve">Gestion et suivi des arrêts  </t>
  </si>
  <si>
    <t>Suivi des arrêts de production</t>
  </si>
  <si>
    <t>La solution permet d'arrêter manuellement la production, en précisant les causes d'arrêt configurées. Elle offre un suivi détaillé de la durée d'arrêt et de l'occurrence des différentes causes.</t>
  </si>
  <si>
    <t>E029</t>
  </si>
  <si>
    <t>Compte Rendu OF</t>
  </si>
  <si>
    <t>Récapitulation de données de l'OF dans un compte rendu</t>
  </si>
  <si>
    <r>
      <t xml:space="preserve">La solution offre une interface "Résumé OF" contenant tous les données concernant l'OF : Production , Qualité , maintenance prêt à imprimer .
</t>
    </r>
    <r>
      <rPr>
        <b/>
        <sz val="11"/>
        <color theme="1"/>
        <rFont val="Calibri Light"/>
        <family val="2"/>
        <scheme val="major"/>
      </rPr>
      <t xml:space="preserve">Adaptation : </t>
    </r>
    <r>
      <rPr>
        <sz val="11"/>
        <color theme="1"/>
        <rFont val="Calibri Light"/>
        <family val="2"/>
        <scheme val="major"/>
      </rPr>
      <t>Adapter les détails de production par shift de l'OF pour inclure les informations depuis la fiche machines .</t>
    </r>
  </si>
  <si>
    <t>E030</t>
  </si>
  <si>
    <t xml:space="preserve">Suivi de la production en temps réel </t>
  </si>
  <si>
    <t>Suivi en temps réel des KPIs , des durées d'arrêts et des quantités en poids et en mètre linéaire</t>
  </si>
  <si>
    <t>Suivi en temps réel des KPIs et des quantités par poids et par mètre linéaire</t>
  </si>
  <si>
    <t>E031</t>
  </si>
  <si>
    <t xml:space="preserve">Tableau de bord qualité </t>
  </si>
  <si>
    <t>Analyse des données  historique de la qualité en poids et en mètre linéaire : Rebut et Rework</t>
  </si>
  <si>
    <r>
      <t xml:space="preserve">La solution offre un tableau de bord qualité fournissant une vue multiniveaux de la non-conformité , les défauts et leurs occurrence , un Pareto des défaut 
</t>
    </r>
    <r>
      <rPr>
        <b/>
        <sz val="11"/>
        <color rgb="FF000000"/>
        <rFont val="Calibri Light"/>
        <family val="2"/>
      </rPr>
      <t>Adaptation : 
-</t>
    </r>
    <r>
      <rPr>
        <sz val="11"/>
        <color rgb="FF000000"/>
        <rFont val="Calibri Light"/>
        <family val="2"/>
      </rPr>
      <t>Ajouter l'option de visualiser les quantités non conforme en poids et en métrage  
- Ajouter un chart pour visualiser le taux de Rework  et de déchet par poids et par mètre linéaire</t>
    </r>
  </si>
  <si>
    <t>E032</t>
  </si>
  <si>
    <t>Analyser l'évolution des indicateurs clés au cours du temps des lignes de production .</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</si>
  <si>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</si>
  <si>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</si>
  <si>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</si>
  <si>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</si>
  <si>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</si>
  <si>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</si>
  <si>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</si>
  <si>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</si>
  <si>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</si>
  <si>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</si>
  <si>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</si>
  <si>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</si>
  <si>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</si>
  <si>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</si>
  <si>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</si>
  <si>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</si>
  <si>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</si>
  <si>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</si>
  <si>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</si>
  <si>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</si>
  <si>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Type de la solution</t>
  </si>
  <si>
    <t>CdC client</t>
  </si>
  <si>
    <t>Oui</t>
  </si>
  <si>
    <t>Validée par le client</t>
  </si>
  <si>
    <t>*** SE</t>
  </si>
  <si>
    <t>Standard</t>
  </si>
  <si>
    <t>Performance</t>
  </si>
  <si>
    <t>Conception</t>
  </si>
  <si>
    <t>Workshop/réunion client</t>
  </si>
  <si>
    <t>Non</t>
  </si>
  <si>
    <t>Non validée</t>
  </si>
  <si>
    <t>SE-Processus</t>
  </si>
  <si>
    <t>Adaptaion</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</si>
  <si>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</si>
  <si>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</si>
  <si>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</si>
  <si>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</si>
  <si>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</si>
  <si>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</si>
  <si>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</si>
  <si>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</si>
  <si>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</si>
  <si>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</si>
  <si>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</si>
  <si>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</si>
  <si>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</si>
  <si>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</si>
  <si>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</si>
  <si>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</si>
  <si>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</si>
  <si>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</si>
  <si>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</si>
  <si>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</si>
  <si>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</si>
  <si>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</si>
  <si>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</si>
  <si>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SF-Intégration SI</t>
  </si>
  <si>
    <t>SF-Software</t>
  </si>
  <si>
    <t>SF-Infra IT</t>
  </si>
  <si>
    <t>*** TC</t>
  </si>
  <si>
    <t>TC-Prestations sur site client</t>
  </si>
  <si>
    <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rgb="FF000000"/>
        <rFont val="Calibri Light"/>
        <family val="2"/>
        <scheme val="major"/>
      </rPr>
      <t xml:space="preserve">Adaptation </t>
    </r>
    <r>
      <rPr>
        <sz val="11"/>
        <color rgb="FF000000"/>
        <rFont val="Calibri Light"/>
        <family val="2"/>
        <scheme val="major"/>
      </rPr>
      <t>: ajouter l'option de visualiser la progression de l'OF , la quantité totale produite , la non-conformité en poids et en métrage.</t>
    </r>
  </si>
  <si>
    <t>Tableau de bord production</t>
  </si>
  <si>
    <r>
      <t xml:space="preserve">la solution offre un tableau de bord fournissant une vue multi-niveaux de la production en utilisant des indicateurs clés :  TRS, Quantité produite vs Quantité planifiée, Temps d'arrêt vs temps de production, etc.
</t>
    </r>
    <r>
      <rPr>
        <b/>
        <sz val="11"/>
        <color theme="1"/>
        <rFont val="Calibri Light"/>
        <family val="2"/>
        <scheme val="major"/>
      </rPr>
      <t xml:space="preserve">Adaptation </t>
    </r>
    <r>
      <rPr>
        <sz val="11"/>
        <color theme="1"/>
        <rFont val="Calibri Light"/>
        <family val="2"/>
        <scheme val="major"/>
      </rPr>
      <t>: 
-Ajouter l'option de visualiser les indicateurs en poids et en mètre linéaires
- Ajouter un chart pour visualiser le taux de Rework  et de déchet par poids et par mètre linéaire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</si>
</sst>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
      <b/>
      <sz val="11"/>
      <color rgb="FF000000"/>
      <name val="Calibri Light"/>
      <family val="2"/>
      <scheme val="major"/>
    </font>
    <font>
      <sz val="11"/>
      <color rgb="FF000000"/>
      <name val="Calibri Light"/>
      <family val="2"/>
      <scheme val="major"/>
    </font>
    <font>
      <sz val="11"/>
      <color rgb="FF000000"/>
      <name val="Calibri Light"/>
      <family val="2"/>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FF00"/>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right/>
      <top style="thin">
        <color rgb="FF000000"/>
      </top>
      <bottom/>
      <diagonal/>
    </border>
    <border>
      <left/>
      <right/>
      <top style="medium">
        <color indexed="64"/>
      </top>
      <bottom/>
      <diagonal/>
    </border>
  </borders>
  <cellStyleXfs count="1">
    <xf numFmtId="0" fontId="0" fillId="0" borderId="0"/>
  </cellStyleXfs>
  <cellXfs count="57">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7" fillId="0" borderId="0" xfId="0" applyFont="1" applyAlignment="1">
      <alignment vertical="center" wrapText="1"/>
    </xf>
    <xf numFmtId="0" fontId="5" fillId="0" borderId="0" xfId="0" applyFont="1" applyAlignment="1">
      <alignment horizontal="left" wrapText="1"/>
    </xf>
    <xf numFmtId="164" fontId="1" fillId="0" borderId="0" xfId="0" applyNumberFormat="1" applyFont="1" applyAlignment="1">
      <alignment vertical="center" wrapText="1"/>
    </xf>
    <xf numFmtId="0" fontId="21" fillId="0" borderId="6" xfId="0" applyFont="1" applyBorder="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3" fillId="6" borderId="0" xfId="0" applyFont="1" applyFill="1" applyAlignment="1">
      <alignment vertical="center" wrapText="1"/>
    </xf>
    <xf numFmtId="164" fontId="1" fillId="6" borderId="0" xfId="0" applyNumberFormat="1" applyFont="1" applyFill="1" applyAlignment="1">
      <alignment vertical="center" wrapText="1"/>
    </xf>
    <xf numFmtId="0" fontId="17" fillId="6" borderId="0" xfId="0" applyFont="1" applyFill="1" applyAlignment="1">
      <alignment vertical="center" wrapText="1"/>
    </xf>
    <xf numFmtId="0" fontId="21" fillId="6" borderId="6" xfId="0" applyFont="1" applyFill="1" applyBorder="1" applyAlignment="1">
      <alignment vertical="center" wrapText="1"/>
    </xf>
    <xf numFmtId="0" fontId="24" fillId="6" borderId="0" xfId="0" applyFont="1" applyFill="1" applyAlignment="1">
      <alignment vertical="center" wrapText="1"/>
    </xf>
    <xf numFmtId="0" fontId="1" fillId="6" borderId="0" xfId="0" applyFont="1" applyFill="1" applyAlignment="1">
      <alignment vertical="center" wrapText="1"/>
    </xf>
    <xf numFmtId="0" fontId="1" fillId="6" borderId="0" xfId="0" applyFont="1" applyFill="1" applyAlignment="1">
      <alignmen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5" fillId="0" borderId="0" xfId="0" applyFont="1" applyAlignment="1">
      <alignment horizontal="lef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center" wrapText="1"/>
    </xf>
    <xf numFmtId="0" fontId="1" fillId="0" borderId="7" xfId="0" applyFont="1" applyBorder="1" applyAlignment="1">
      <alignment horizontal="center" wrapText="1"/>
    </xf>
    <xf numFmtId="0" fontId="1" fillId="0" borderId="0" xfId="0" applyFont="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6</xdr:col>
      <xdr:colOff>211667</xdr:colOff>
      <xdr:row>3</xdr:row>
      <xdr:rowOff>254010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Exigences"/>
      <sheetName val="Modifs Doc"/>
      <sheetName val="Params"/>
      <sheetName val="MD203- Exigences Cogitel Digita"/>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45" totalsRowCount="1" headerRowDxfId="79" dataDxfId="78">
  <autoFilter ref="B12:AJ44" xr:uid="{DDEA2C8B-EE0D-4C55-9256-CCC64E002CE6}"/>
  <tableColumns count="35">
    <tableColumn id="1" xr3:uid="{E467E0EE-CDAA-4FF5-85A8-CDC0B23A5AD9}" name="ID" dataDxfId="77" totalsRowDxfId="76"/>
    <tableColumn id="2" xr3:uid="{E53952AC-4972-47BD-8B1D-C7EF23088D0D}" name="Exigence" dataDxfId="75" totalsRowDxfId="74"/>
    <tableColumn id="8" xr3:uid="{B2D0BC2C-C803-4015-8FA6-70F84517BDB2}" name="Nature" dataDxfId="73" totalsRowDxfId="72"/>
    <tableColumn id="7" xr3:uid="{24F2F0ED-022E-4EC1-91D8-BFE0E4F2FD36}" name="Catégorie" dataDxfId="71" totalsRowDxfId="70"/>
    <tableColumn id="10" xr3:uid="{1FF81CF1-6D35-421C-8767-9E7FA06FEE6A}" name="Exigence indéfiée pendant la phase" dataDxfId="69" totalsRowDxfId="68"/>
    <tableColumn id="3" xr3:uid="{E7621A68-9552-4853-96A5-92A226EA42DD}" name="Description de l'exigence" dataDxfId="67" totalsRowDxfId="66"/>
    <tableColumn id="9" xr3:uid="{E6EEEC82-3576-4980-94B3-1423906CE531}" name="Source" dataDxfId="65" totalsRowDxfId="64"/>
    <tableColumn id="16" xr3:uid="{1441554A-79F9-4040-9CF5-AEBFF7ADF7D1}" name="Description de la solution ADDIXO" dataDxfId="63" totalsRowDxfId="62"/>
    <tableColumn id="17" xr3:uid="{D1BC9C86-C3CE-417F-AC83-FC4786A7656D}" name="Écart entre exigence client et la solution proposée - préciser aussi les limites et hypothèses si applicable" dataDxfId="61" totalsRowDxfId="60"/>
    <tableColumn id="5" xr3:uid="{2649C3B7-E8B9-44F9-8883-E5BB6F91B4B1}" name="Validation Interne" dataDxfId="59" totalsRowDxfId="58"/>
    <tableColumn id="19" xr3:uid="{1684315C-4BF1-4202-9296-395A9CBBCF5B}" name="Colonne1" dataDxfId="57" totalsRowDxfId="56"/>
    <tableColumn id="23" xr3:uid="{B6C3130B-09EF-45AC-BADA-90DC4AA315FC}" name="Colonne2" dataDxfId="55" totalsRowDxfId="54"/>
    <tableColumn id="24" xr3:uid="{ED6C4BB9-0261-4756-9E2F-D66985E18ED3}" name="Colonne3" dataDxfId="53" totalsRowDxfId="52"/>
    <tableColumn id="25" xr3:uid="{78150193-1C14-44BE-96A3-D80FFAA537A1}" name="Colonne4" dataDxfId="51" totalsRowDxfId="50"/>
    <tableColumn id="26" xr3:uid="{675E0A2C-BB54-404C-AA93-815EC984D2D6}" name="Colonne5" dataDxfId="49" totalsRowDxfId="48">
      <calculatedColumnFormula>[1]!Tableau32[[#This Row],[HJ Dev]]*(25%+25%)</calculatedColumnFormula>
    </tableColumn>
    <tableColumn id="27" xr3:uid="{CBA3FCD9-30EA-4D19-BD7E-D0C0216A2D2C}" name="Colonne6" dataDxfId="47" totalsRowDxfId="46">
      <calculatedColumnFormula>[1]!Tableau32[[#This Row],[HJ Analyse et test]]+[1]!Tableau32[[#This Row],[HJ Dev]]</calculatedColumnFormula>
    </tableColumn>
    <tableColumn id="28" xr3:uid="{64F4902E-4937-4A74-910C-13A5511F7340}" name="Colonne7" dataDxfId="45" totalsRowDxfId="44">
      <calculatedColumnFormula>[1]!Tableau32[[#This Row],[Total HJ]]*8</calculatedColumnFormula>
    </tableColumn>
    <tableColumn id="29" xr3:uid="{D26DE321-3DF3-4A2C-8283-3F62F92E87F7}" name="Colonne8" dataDxfId="43" totalsRowDxfId="42"/>
    <tableColumn id="30" xr3:uid="{5434348C-D2DE-493F-94CA-198AB6E4DAB4}" name="Colonne9" dataDxfId="41" totalsRowDxfId="40"/>
    <tableColumn id="31" xr3:uid="{06456D23-93D7-4397-815B-7D05CC6463D2}" name="Colonne10" dataDxfId="39" totalsRowDxfId="38"/>
    <tableColumn id="32" xr3:uid="{FB8D074E-F786-450E-8A8C-7D77D212C0ED}" name="Colonne11" dataDxfId="37" totalsRowDxfId="36"/>
    <tableColumn id="33" xr3:uid="{8C68935C-FF3F-4366-B375-B488B353BA68}" name="Colonne12" dataDxfId="35" totalsRowDxfId="34"/>
    <tableColumn id="34" xr3:uid="{78D71331-AEFF-45A6-96F8-D15DAA307F14}" name="Colonne13" dataDxfId="33" totalsRowDxfId="32"/>
    <tableColumn id="35" xr3:uid="{A9FCD645-19CA-4DCD-93DF-19C36E49D180}" name="Colonne14"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custom" dataDxfId="25" totalsRowDxfId="24">
      <totalsRowFormula>SUBTOTAL(109,AB13:AB44)</totalsRowFormula>
    </tableColumn>
    <tableColumn id="21" xr3:uid="{818C68C5-1CC3-4DC9-9BB8-2CB7816ABE9F}" name="HJ Analyse et test" totalsRowFunction="custom" dataDxfId="23" totalsRowDxfId="22">
      <calculatedColumnFormula>Tableau3[[#This Row],[HJ Dev]]*(50%+25%)</calculatedColumnFormula>
      <totalsRowFormula>SUBTOTAL(109,AC13:AC44)</totalsRowFormula>
    </tableColumn>
    <tableColumn id="20" xr3:uid="{81CB5860-4285-4425-ABF9-C91F3323BF25}" name="Total HJ" totalsRowFunction="custom" dataDxfId="21" totalsRowDxfId="20">
      <calculatedColumnFormula>Tableau3[[#This Row],[HJ Dev]]+Tableau3[[#This Row],[HJ Analyse et test]]</calculatedColumnFormula>
      <totalsRowFormula>SUBTOTAL(109,AD13:AD44)</totalsRow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45"/>
  <sheetViews>
    <sheetView tabSelected="1" topLeftCell="A39" zoomScale="70" zoomScaleNormal="70" workbookViewId="0">
      <selection activeCell="I36" sqref="I36"/>
    </sheetView>
  </sheetViews>
  <sheetFormatPr baseColWidth="10" defaultColWidth="11.453125" defaultRowHeight="13" x14ac:dyDescent="0.3"/>
  <cols>
    <col min="1" max="1" width="11.453125" style="1"/>
    <col min="2" max="2" width="6.1796875" style="1" customWidth="1"/>
    <col min="3" max="3" width="30.453125" style="1" customWidth="1"/>
    <col min="4" max="4" width="16.1796875" style="1" hidden="1" customWidth="1"/>
    <col min="5" max="5" width="15.54296875" style="1" hidden="1" customWidth="1"/>
    <col min="6" max="6" width="24.54296875" style="1" hidden="1" customWidth="1"/>
    <col min="7" max="7" width="56.54296875" style="1" customWidth="1"/>
    <col min="8" max="8" width="18.453125" style="1" hidden="1" customWidth="1"/>
    <col min="9" max="9" width="87.1796875" style="1" customWidth="1"/>
    <col min="10" max="10" width="72.54296875" style="1" customWidth="1"/>
    <col min="11" max="25" width="10.54296875" style="1" hidden="1" customWidth="1"/>
    <col min="26" max="26" width="12" style="1" hidden="1" customWidth="1"/>
    <col min="27" max="27" width="12.81640625" style="1" hidden="1" customWidth="1"/>
    <col min="28" max="28" width="9.1796875" style="1" customWidth="1"/>
    <col min="29" max="29" width="14.81640625" style="1" customWidth="1"/>
    <col min="30" max="30" width="10.1796875" style="1" customWidth="1"/>
    <col min="31" max="31" width="33.1796875" style="1" customWidth="1"/>
    <col min="32" max="32" width="15.453125" style="1" customWidth="1"/>
    <col min="33" max="33" width="14.81640625" style="1" customWidth="1"/>
    <col min="34" max="34" width="17.453125" style="1" customWidth="1"/>
    <col min="35" max="35" width="24.1796875" style="1" customWidth="1"/>
    <col min="36" max="36" width="9" style="1" customWidth="1"/>
    <col min="37" max="37" width="5.54296875" style="1" customWidth="1"/>
    <col min="38" max="39" width="11.453125" style="1" customWidth="1"/>
    <col min="40" max="16384" width="11.453125" style="1"/>
  </cols>
  <sheetData>
    <row r="1" spans="2:36" ht="13.5" thickBot="1" x14ac:dyDescent="0.35"/>
    <row r="2" spans="2:36" ht="21.75" customHeight="1" thickBot="1" x14ac:dyDescent="0.5">
      <c r="B2" s="44" t="s">
        <v>0</v>
      </c>
      <c r="C2" s="45"/>
      <c r="D2" s="45"/>
      <c r="E2" s="45"/>
      <c r="F2" s="45"/>
      <c r="G2" s="45"/>
      <c r="H2" s="45"/>
      <c r="I2" s="45"/>
      <c r="J2" s="45"/>
      <c r="K2" s="45"/>
      <c r="L2" s="45"/>
      <c r="M2" s="45"/>
      <c r="N2" s="45"/>
      <c r="O2" s="45"/>
      <c r="P2" s="45"/>
      <c r="Q2" s="45"/>
      <c r="R2" s="45"/>
      <c r="S2" s="45"/>
      <c r="T2" s="45"/>
      <c r="U2" s="45"/>
      <c r="V2" s="45"/>
      <c r="W2" s="45"/>
      <c r="X2" s="45"/>
      <c r="Y2" s="45"/>
      <c r="Z2" s="45"/>
      <c r="AA2" s="46"/>
      <c r="AB2" s="48" t="s">
        <v>1</v>
      </c>
      <c r="AC2" s="49"/>
      <c r="AD2" s="50"/>
      <c r="AE2" s="42" t="s">
        <v>2</v>
      </c>
      <c r="AF2" s="43"/>
      <c r="AG2" s="43"/>
      <c r="AH2" s="43"/>
      <c r="AI2" s="43"/>
      <c r="AJ2" s="43"/>
    </row>
    <row r="3" spans="2:36" ht="21.75" customHeight="1" x14ac:dyDescent="0.3">
      <c r="B3" s="52"/>
      <c r="C3" s="52"/>
      <c r="D3" s="52"/>
      <c r="E3" s="8"/>
      <c r="F3" s="8"/>
      <c r="G3" s="8"/>
      <c r="H3" s="8"/>
      <c r="I3" s="8"/>
    </row>
    <row r="4" spans="2:36" ht="21.75" customHeight="1" x14ac:dyDescent="0.3">
      <c r="B4" s="53"/>
      <c r="C4" s="53"/>
      <c r="D4" s="53"/>
    </row>
    <row r="5" spans="2:36" ht="19.5" customHeight="1" x14ac:dyDescent="0.35">
      <c r="C5" s="3" t="s">
        <v>3</v>
      </c>
      <c r="D5" s="47" t="s">
        <v>4</v>
      </c>
      <c r="E5" s="47"/>
      <c r="F5" s="47"/>
      <c r="G5" s="47"/>
      <c r="H5" s="47"/>
      <c r="I5" s="47"/>
    </row>
    <row r="6" spans="2:36" ht="23.5" customHeight="1" x14ac:dyDescent="0.35">
      <c r="C6" s="3" t="s">
        <v>5</v>
      </c>
      <c r="D6" s="51" t="s">
        <v>6</v>
      </c>
      <c r="E6" s="51"/>
      <c r="F6" s="27"/>
      <c r="G6" s="27"/>
      <c r="H6" s="27"/>
      <c r="I6" s="27"/>
    </row>
    <row r="7" spans="2:36" ht="14.5" x14ac:dyDescent="0.35">
      <c r="C7" s="3" t="s">
        <v>7</v>
      </c>
      <c r="D7" s="27"/>
      <c r="E7" s="27"/>
      <c r="F7" s="27"/>
      <c r="G7" s="27"/>
      <c r="H7" s="27"/>
      <c r="I7" s="27"/>
    </row>
    <row r="8" spans="2:36" ht="14.5" x14ac:dyDescent="0.35">
      <c r="C8" s="3" t="s">
        <v>8</v>
      </c>
      <c r="D8" s="27"/>
      <c r="E8" s="27"/>
      <c r="F8" s="27"/>
      <c r="G8" s="27"/>
      <c r="H8" s="27"/>
      <c r="I8" s="27"/>
    </row>
    <row r="9" spans="2:36" ht="18.5" x14ac:dyDescent="0.45">
      <c r="C9" s="9" t="s">
        <v>9</v>
      </c>
      <c r="D9" s="9" t="s">
        <v>10</v>
      </c>
      <c r="E9" s="9"/>
      <c r="F9" s="9"/>
      <c r="I9" s="22" t="s">
        <v>11</v>
      </c>
    </row>
    <row r="10" spans="2:36" x14ac:dyDescent="0.3">
      <c r="C10" s="9" t="s">
        <v>12</v>
      </c>
      <c r="D10" s="9" t="s">
        <v>13</v>
      </c>
      <c r="E10" s="9"/>
      <c r="F10" s="9"/>
    </row>
    <row r="11" spans="2:36" s="10" customFormat="1" ht="54" customHeight="1" thickBot="1" x14ac:dyDescent="0.3"/>
    <row r="12" spans="2:36" s="10" customFormat="1" ht="61.5" customHeight="1" thickBot="1" x14ac:dyDescent="0.3">
      <c r="B12" s="30" t="s">
        <v>14</v>
      </c>
      <c r="C12" s="31" t="s">
        <v>15</v>
      </c>
      <c r="D12" s="31" t="s">
        <v>16</v>
      </c>
      <c r="E12" s="31" t="s">
        <v>17</v>
      </c>
      <c r="F12" s="31" t="s">
        <v>18</v>
      </c>
      <c r="G12" s="31" t="s">
        <v>19</v>
      </c>
      <c r="H12" s="31" t="s">
        <v>20</v>
      </c>
      <c r="I12" s="31" t="s">
        <v>21</v>
      </c>
      <c r="J12" s="31" t="s">
        <v>22</v>
      </c>
      <c r="K12" s="31" t="s">
        <v>23</v>
      </c>
      <c r="L12" s="31" t="s">
        <v>24</v>
      </c>
      <c r="M12" s="31" t="s">
        <v>25</v>
      </c>
      <c r="N12" s="31" t="s">
        <v>26</v>
      </c>
      <c r="O12" s="31" t="s">
        <v>27</v>
      </c>
      <c r="P12" s="31" t="s">
        <v>28</v>
      </c>
      <c r="Q12" s="31" t="s">
        <v>29</v>
      </c>
      <c r="R12" s="31" t="s">
        <v>30</v>
      </c>
      <c r="S12" s="31" t="s">
        <v>31</v>
      </c>
      <c r="T12" s="31" t="s">
        <v>32</v>
      </c>
      <c r="U12" s="31" t="s">
        <v>33</v>
      </c>
      <c r="V12" s="31" t="s">
        <v>34</v>
      </c>
      <c r="W12" s="31" t="s">
        <v>35</v>
      </c>
      <c r="X12" s="31" t="s">
        <v>36</v>
      </c>
      <c r="Y12" s="31" t="s">
        <v>37</v>
      </c>
      <c r="Z12" s="31" t="s">
        <v>38</v>
      </c>
      <c r="AA12" s="32" t="s">
        <v>39</v>
      </c>
      <c r="AB12" s="16" t="s">
        <v>40</v>
      </c>
      <c r="AC12" s="16" t="s">
        <v>41</v>
      </c>
      <c r="AD12" s="16" t="s">
        <v>42</v>
      </c>
      <c r="AE12" s="17" t="s">
        <v>43</v>
      </c>
      <c r="AF12" s="18" t="s">
        <v>44</v>
      </c>
      <c r="AG12" s="18" t="s">
        <v>45</v>
      </c>
      <c r="AH12" s="18" t="s">
        <v>46</v>
      </c>
      <c r="AI12" s="18" t="s">
        <v>47</v>
      </c>
      <c r="AJ12" s="19" t="s">
        <v>48</v>
      </c>
    </row>
    <row r="13" spans="2:36" s="10" customFormat="1" ht="176.15" customHeight="1" x14ac:dyDescent="0.25">
      <c r="B13" s="24" t="s">
        <v>49</v>
      </c>
      <c r="C13" s="24" t="s">
        <v>50</v>
      </c>
      <c r="D13" s="24" t="s">
        <v>51</v>
      </c>
      <c r="E13" s="24" t="s">
        <v>52</v>
      </c>
      <c r="F13" s="24" t="s">
        <v>53</v>
      </c>
      <c r="G13" s="26" t="s">
        <v>54</v>
      </c>
      <c r="H13" s="24"/>
      <c r="I13" s="26" t="s">
        <v>55</v>
      </c>
      <c r="J13" s="26"/>
      <c r="K13" s="26" t="s">
        <v>56</v>
      </c>
      <c r="L13" s="24"/>
      <c r="M13" s="24"/>
      <c r="N13" s="24"/>
      <c r="O13" s="24"/>
      <c r="P13" s="24"/>
      <c r="Q13" s="24"/>
      <c r="R13" s="24"/>
      <c r="Z13" s="10" t="s">
        <v>57</v>
      </c>
      <c r="AA13" s="10" t="s">
        <v>58</v>
      </c>
      <c r="AB13" s="28">
        <v>0</v>
      </c>
      <c r="AC13" s="10">
        <f>Tableau3[[#This Row],[HJ Dev]]*(50%+25%)</f>
        <v>0</v>
      </c>
      <c r="AD13" s="28">
        <f>Tableau3[[#This Row],[HJ Dev]]+Tableau3[[#This Row],[HJ Analyse et test]]</f>
        <v>0</v>
      </c>
    </row>
    <row r="14" spans="2:36" s="10" customFormat="1" ht="84" customHeight="1" x14ac:dyDescent="0.25">
      <c r="B14" s="24" t="s">
        <v>59</v>
      </c>
      <c r="C14" s="24" t="s">
        <v>60</v>
      </c>
      <c r="D14" s="24" t="s">
        <v>51</v>
      </c>
      <c r="E14" s="24" t="s">
        <v>52</v>
      </c>
      <c r="F14" s="24" t="s">
        <v>53</v>
      </c>
      <c r="G14" s="26" t="s">
        <v>61</v>
      </c>
      <c r="H14" s="24"/>
      <c r="I14" s="26" t="s">
        <v>62</v>
      </c>
      <c r="J14" s="26" t="s">
        <v>63</v>
      </c>
      <c r="K14" s="26" t="s">
        <v>56</v>
      </c>
      <c r="L14" s="24"/>
      <c r="M14" s="24"/>
      <c r="N14" s="24"/>
      <c r="O14" s="24"/>
      <c r="P14" s="24" t="e">
        <f>[1]!Tableau32[[#This Row],[HJ Dev]]*(25%+25%)</f>
        <v>#REF!</v>
      </c>
      <c r="Q14" s="24" t="e">
        <f>[1]!Tableau32[[#This Row],[HJ Analyse et test]]+[1]!Tableau32[[#This Row],[HJ Dev]]</f>
        <v>#REF!</v>
      </c>
      <c r="R14" s="24" t="e">
        <f>[1]!Tableau32[[#This Row],[Total HJ]]*8</f>
        <v>#REF!</v>
      </c>
      <c r="Z14" s="10" t="s">
        <v>57</v>
      </c>
      <c r="AA14" s="10" t="s">
        <v>58</v>
      </c>
      <c r="AB14" s="28">
        <v>2</v>
      </c>
      <c r="AC14" s="10">
        <f>Tableau3[[#This Row],[HJ Dev]]*(50%+25%)</f>
        <v>1.5</v>
      </c>
      <c r="AD14" s="28">
        <f>Tableau3[[#This Row],[HJ Dev]]+Tableau3[[#This Row],[HJ Analyse et test]]</f>
        <v>3.5</v>
      </c>
    </row>
    <row r="15" spans="2:36" s="10" customFormat="1" ht="84" customHeight="1" x14ac:dyDescent="0.25">
      <c r="B15" s="24" t="s">
        <v>64</v>
      </c>
      <c r="C15" s="24" t="s">
        <v>65</v>
      </c>
      <c r="D15" s="24" t="s">
        <v>51</v>
      </c>
      <c r="E15" s="24" t="s">
        <v>52</v>
      </c>
      <c r="F15" s="24" t="s">
        <v>53</v>
      </c>
      <c r="G15" s="26" t="s">
        <v>66</v>
      </c>
      <c r="H15" s="24"/>
      <c r="I15" s="33" t="s">
        <v>67</v>
      </c>
      <c r="J15" s="26"/>
      <c r="K15" s="26" t="s">
        <v>56</v>
      </c>
      <c r="L15" s="24"/>
      <c r="M15" s="24"/>
      <c r="N15" s="24"/>
      <c r="O15" s="24"/>
      <c r="P15" s="24" t="e">
        <f>[1]!Tableau32[[#This Row],[HJ Dev]]*(25%+25%)</f>
        <v>#REF!</v>
      </c>
      <c r="Q15" s="24" t="e">
        <f>[1]!Tableau32[[#This Row],[HJ Analyse et test]]+[1]!Tableau32[[#This Row],[HJ Dev]]</f>
        <v>#REF!</v>
      </c>
      <c r="R15" s="24" t="e">
        <f>[1]!Tableau32[[#This Row],[Total HJ]]*8</f>
        <v>#REF!</v>
      </c>
      <c r="Z15" s="10" t="s">
        <v>57</v>
      </c>
      <c r="AA15" s="10" t="s">
        <v>58</v>
      </c>
      <c r="AB15" s="28">
        <v>1</v>
      </c>
      <c r="AC15" s="10">
        <f>Tableau3[[#This Row],[HJ Dev]]*(50%+25%)</f>
        <v>0.75</v>
      </c>
      <c r="AD15" s="28">
        <f>Tableau3[[#This Row],[HJ Dev]]+Tableau3[[#This Row],[HJ Analyse et test]]</f>
        <v>1.75</v>
      </c>
    </row>
    <row r="16" spans="2:36" s="10" customFormat="1" ht="165" customHeight="1" x14ac:dyDescent="0.25">
      <c r="B16" s="24" t="s">
        <v>68</v>
      </c>
      <c r="C16" s="24" t="s">
        <v>69</v>
      </c>
      <c r="D16" s="24" t="s">
        <v>51</v>
      </c>
      <c r="E16" s="24" t="s">
        <v>52</v>
      </c>
      <c r="F16" s="24" t="s">
        <v>53</v>
      </c>
      <c r="G16" s="26" t="s">
        <v>70</v>
      </c>
      <c r="H16" s="24"/>
      <c r="I16" s="33" t="s">
        <v>71</v>
      </c>
      <c r="J16" s="26" t="s">
        <v>72</v>
      </c>
      <c r="K16" s="26"/>
      <c r="L16" s="24"/>
      <c r="M16" s="24"/>
      <c r="N16" s="24"/>
      <c r="O16" s="24"/>
      <c r="P16" s="10" t="e">
        <f>[1]!Tableau32[[#This Row],[HJ Dev]]*(25%+25%)</f>
        <v>#REF!</v>
      </c>
      <c r="Q16" s="10" t="e">
        <f>[1]!Tableau32[[#This Row],[HJ Analyse et test]]+[1]!Tableau32[[#This Row],[HJ Dev]]</f>
        <v>#REF!</v>
      </c>
      <c r="R16" s="10" t="e">
        <f>[1]!Tableau32[[#This Row],[Total HJ]]*8</f>
        <v>#REF!</v>
      </c>
      <c r="AB16" s="28">
        <v>6</v>
      </c>
      <c r="AC16" s="10">
        <f>Tableau3[[#This Row],[HJ Dev]]*(50%+25%)</f>
        <v>4.5</v>
      </c>
      <c r="AD16" s="28">
        <f>Tableau3[[#This Row],[HJ Dev]]+Tableau3[[#This Row],[HJ Analyse et test]]</f>
        <v>10.5</v>
      </c>
    </row>
    <row r="17" spans="2:30" s="10" customFormat="1" ht="111" customHeight="1" x14ac:dyDescent="0.25">
      <c r="B17" s="24" t="s">
        <v>73</v>
      </c>
      <c r="C17" s="24" t="s">
        <v>74</v>
      </c>
      <c r="D17" s="24" t="s">
        <v>51</v>
      </c>
      <c r="E17" s="24" t="s">
        <v>52</v>
      </c>
      <c r="F17" s="24" t="s">
        <v>53</v>
      </c>
      <c r="G17" s="26" t="s">
        <v>75</v>
      </c>
      <c r="H17" s="24"/>
      <c r="I17" s="26" t="s">
        <v>76</v>
      </c>
      <c r="J17" s="26" t="s">
        <v>72</v>
      </c>
      <c r="K17" s="26" t="s">
        <v>56</v>
      </c>
      <c r="L17" s="24"/>
      <c r="M17" s="24"/>
      <c r="N17" s="24"/>
      <c r="O17" s="24"/>
      <c r="P17" s="24" t="e">
        <f>[1]!Tableau32[[#This Row],[HJ Dev]]*(25%+25%)</f>
        <v>#REF!</v>
      </c>
      <c r="Q17" s="24" t="e">
        <f>[1]!Tableau32[[#This Row],[HJ Analyse et test]]+[1]!Tableau32[[#This Row],[HJ Dev]]</f>
        <v>#REF!</v>
      </c>
      <c r="R17" s="24" t="e">
        <f>[1]!Tableau32[[#This Row],[Total HJ]]*8</f>
        <v>#REF!</v>
      </c>
      <c r="Z17" s="10" t="s">
        <v>57</v>
      </c>
      <c r="AA17" s="10" t="s">
        <v>58</v>
      </c>
      <c r="AB17" s="28">
        <v>5</v>
      </c>
      <c r="AC17" s="10">
        <f>Tableau3[[#This Row],[HJ Dev]]*(50%+25%)</f>
        <v>3.75</v>
      </c>
      <c r="AD17" s="28">
        <f>Tableau3[[#This Row],[HJ Dev]]+Tableau3[[#This Row],[HJ Analyse et test]]</f>
        <v>8.75</v>
      </c>
    </row>
    <row r="18" spans="2:30" s="10" customFormat="1" ht="145" x14ac:dyDescent="0.25">
      <c r="B18" s="24" t="s">
        <v>77</v>
      </c>
      <c r="C18" s="24" t="s">
        <v>78</v>
      </c>
      <c r="D18" s="24" t="s">
        <v>51</v>
      </c>
      <c r="E18" s="24" t="s">
        <v>52</v>
      </c>
      <c r="F18" s="24" t="s">
        <v>53</v>
      </c>
      <c r="G18" s="26" t="s">
        <v>79</v>
      </c>
      <c r="H18" s="24"/>
      <c r="I18" s="33" t="s">
        <v>80</v>
      </c>
      <c r="J18" s="26"/>
      <c r="K18" s="26" t="s">
        <v>56</v>
      </c>
      <c r="L18" s="24"/>
      <c r="M18" s="24"/>
      <c r="N18" s="24"/>
      <c r="O18" s="24"/>
      <c r="P18" s="24" t="e">
        <f>[1]!Tableau32[[#This Row],[HJ Dev]]*(25%+25%)</f>
        <v>#REF!</v>
      </c>
      <c r="Q18" s="24" t="e">
        <f>[1]!Tableau32[[#This Row],[HJ Analyse et test]]+[1]!Tableau32[[#This Row],[HJ Dev]]</f>
        <v>#REF!</v>
      </c>
      <c r="R18" s="24" t="e">
        <f>[1]!Tableau32[[#This Row],[Total HJ]]*8</f>
        <v>#REF!</v>
      </c>
      <c r="Z18" s="10" t="s">
        <v>57</v>
      </c>
      <c r="AA18" s="10" t="s">
        <v>58</v>
      </c>
      <c r="AB18" s="28">
        <v>6</v>
      </c>
      <c r="AC18" s="10">
        <f>Tableau3[[#This Row],[HJ Dev]]*(50%+25%)</f>
        <v>4.5</v>
      </c>
      <c r="AD18" s="28">
        <f>Tableau3[[#This Row],[HJ Dev]]+Tableau3[[#This Row],[HJ Analyse et test]]</f>
        <v>10.5</v>
      </c>
    </row>
    <row r="19" spans="2:30" s="10" customFormat="1" ht="84" customHeight="1" x14ac:dyDescent="0.25">
      <c r="B19" s="24" t="s">
        <v>81</v>
      </c>
      <c r="C19" s="24" t="s">
        <v>82</v>
      </c>
      <c r="D19" s="24" t="s">
        <v>51</v>
      </c>
      <c r="E19" s="24" t="s">
        <v>52</v>
      </c>
      <c r="F19" s="24" t="s">
        <v>53</v>
      </c>
      <c r="G19" s="26" t="s">
        <v>83</v>
      </c>
      <c r="H19" s="24"/>
      <c r="I19" s="26" t="s">
        <v>84</v>
      </c>
      <c r="J19" s="26"/>
      <c r="K19" s="26" t="s">
        <v>56</v>
      </c>
      <c r="L19" s="24"/>
      <c r="M19" s="24"/>
      <c r="N19" s="24"/>
      <c r="O19" s="24"/>
      <c r="P19" s="24" t="e">
        <f>[1]!Tableau32[[#This Row],[HJ Dev]]*(25%+25%)</f>
        <v>#REF!</v>
      </c>
      <c r="Q19" s="24" t="e">
        <f>[1]!Tableau32[[#This Row],[HJ Analyse et test]]+[1]!Tableau32[[#This Row],[HJ Dev]]</f>
        <v>#REF!</v>
      </c>
      <c r="R19" s="24" t="e">
        <f>[1]!Tableau32[[#This Row],[Total HJ]]*8</f>
        <v>#REF!</v>
      </c>
      <c r="Z19" s="10" t="s">
        <v>57</v>
      </c>
      <c r="AA19" s="10" t="s">
        <v>58</v>
      </c>
      <c r="AB19" s="28">
        <v>0</v>
      </c>
      <c r="AC19" s="10">
        <f>Tableau3[[#This Row],[HJ Dev]]*(50%+25%)</f>
        <v>0</v>
      </c>
      <c r="AD19" s="28">
        <f>Tableau3[[#This Row],[HJ Dev]]+Tableau3[[#This Row],[HJ Analyse et test]]</f>
        <v>0</v>
      </c>
    </row>
    <row r="20" spans="2:30" s="40" customFormat="1" ht="187" customHeight="1" x14ac:dyDescent="0.25">
      <c r="B20" s="35" t="s">
        <v>85</v>
      </c>
      <c r="C20" s="35" t="s">
        <v>86</v>
      </c>
      <c r="D20" s="35" t="s">
        <v>51</v>
      </c>
      <c r="E20" s="35" t="s">
        <v>52</v>
      </c>
      <c r="F20" s="35" t="s">
        <v>53</v>
      </c>
      <c r="G20" s="37" t="s">
        <v>87</v>
      </c>
      <c r="H20" s="35"/>
      <c r="I20" s="37" t="s">
        <v>88</v>
      </c>
      <c r="J20" s="37"/>
      <c r="K20" s="37"/>
      <c r="L20" s="35"/>
      <c r="M20" s="35"/>
      <c r="N20" s="35"/>
      <c r="O20" s="35"/>
      <c r="P20" s="40" t="e">
        <f>[1]!Tableau32[[#This Row],[HJ Dev]]*(25%+25%)</f>
        <v>#REF!</v>
      </c>
      <c r="Q20" s="40" t="e">
        <f>[1]!Tableau32[[#This Row],[HJ Analyse et test]]+[1]!Tableau32[[#This Row],[HJ Dev]]</f>
        <v>#REF!</v>
      </c>
      <c r="R20" s="40" t="e">
        <f>[1]!Tableau32[[#This Row],[Total HJ]]*8</f>
        <v>#REF!</v>
      </c>
      <c r="AB20" s="36">
        <v>5</v>
      </c>
      <c r="AC20" s="40">
        <f>Tableau3[[#This Row],[HJ Dev]]*(50%+25%)</f>
        <v>3.75</v>
      </c>
      <c r="AD20" s="36">
        <f>Tableau3[[#This Row],[HJ Dev]]+Tableau3[[#This Row],[HJ Analyse et test]]</f>
        <v>8.75</v>
      </c>
    </row>
    <row r="21" spans="2:30" s="10" customFormat="1" ht="190" customHeight="1" x14ac:dyDescent="0.25">
      <c r="B21" s="24" t="s">
        <v>89</v>
      </c>
      <c r="C21" s="24" t="s">
        <v>90</v>
      </c>
      <c r="D21" s="24" t="s">
        <v>51</v>
      </c>
      <c r="E21" s="24" t="s">
        <v>52</v>
      </c>
      <c r="F21" s="24" t="s">
        <v>53</v>
      </c>
      <c r="G21" s="26" t="s">
        <v>91</v>
      </c>
      <c r="H21" s="24"/>
      <c r="I21" s="26" t="s">
        <v>92</v>
      </c>
      <c r="J21" s="26"/>
      <c r="K21" s="26" t="s">
        <v>56</v>
      </c>
      <c r="L21" s="24"/>
      <c r="M21" s="24"/>
      <c r="N21" s="24"/>
      <c r="O21" s="24"/>
      <c r="P21" s="24" t="e">
        <f>[1]!Tableau32[[#This Row],[HJ Dev]]*(25%+25%)</f>
        <v>#REF!</v>
      </c>
      <c r="Q21" s="24" t="e">
        <f>[1]!Tableau32[[#This Row],[HJ Analyse et test]]+[1]!Tableau32[[#This Row],[HJ Dev]]</f>
        <v>#REF!</v>
      </c>
      <c r="R21" s="24" t="e">
        <f>[1]!Tableau32[[#This Row],[Total HJ]]*8</f>
        <v>#REF!</v>
      </c>
      <c r="Z21" s="10" t="s">
        <v>57</v>
      </c>
      <c r="AA21" s="10" t="s">
        <v>58</v>
      </c>
      <c r="AB21" s="28">
        <v>0</v>
      </c>
      <c r="AC21" s="10">
        <f>Tableau3[[#This Row],[HJ Dev]]*(50%+25%)</f>
        <v>0</v>
      </c>
      <c r="AD21" s="28">
        <f>Tableau3[[#This Row],[HJ Dev]]+Tableau3[[#This Row],[HJ Analyse et test]]</f>
        <v>0</v>
      </c>
    </row>
    <row r="22" spans="2:30" s="10" customFormat="1" ht="170.5" customHeight="1" x14ac:dyDescent="0.25">
      <c r="B22" s="24" t="s">
        <v>93</v>
      </c>
      <c r="C22" s="24" t="s">
        <v>94</v>
      </c>
      <c r="D22" s="24" t="s">
        <v>51</v>
      </c>
      <c r="E22" s="24" t="s">
        <v>52</v>
      </c>
      <c r="F22" s="24" t="s">
        <v>53</v>
      </c>
      <c r="G22" s="26" t="s">
        <v>95</v>
      </c>
      <c r="H22" s="24"/>
      <c r="I22" s="26" t="s">
        <v>96</v>
      </c>
      <c r="J22" s="26"/>
      <c r="K22" s="26" t="s">
        <v>56</v>
      </c>
      <c r="L22" s="24"/>
      <c r="M22" s="24"/>
      <c r="N22" s="24"/>
      <c r="O22" s="24"/>
      <c r="P22" s="24" t="e">
        <f>[1]!Tableau32[[#This Row],[HJ Dev]]*(25%+25%)</f>
        <v>#REF!</v>
      </c>
      <c r="Q22" s="24" t="e">
        <f>[1]!Tableau32[[#This Row],[HJ Analyse et test]]+[1]!Tableau32[[#This Row],[HJ Dev]]</f>
        <v>#REF!</v>
      </c>
      <c r="R22" s="24" t="e">
        <f>[1]!Tableau32[[#This Row],[Total HJ]]*8</f>
        <v>#REF!</v>
      </c>
      <c r="Z22" s="10" t="s">
        <v>57</v>
      </c>
      <c r="AA22" s="10" t="s">
        <v>58</v>
      </c>
      <c r="AB22" s="28">
        <v>0</v>
      </c>
      <c r="AC22" s="10">
        <f>Tableau3[[#This Row],[HJ Dev]]*(50%+25%)</f>
        <v>0</v>
      </c>
      <c r="AD22" s="28">
        <f>Tableau3[[#This Row],[HJ Dev]]+Tableau3[[#This Row],[HJ Analyse et test]]</f>
        <v>0</v>
      </c>
    </row>
    <row r="23" spans="2:30" s="40" customFormat="1" ht="175.5" customHeight="1" x14ac:dyDescent="0.25">
      <c r="B23" s="35" t="s">
        <v>97</v>
      </c>
      <c r="C23" s="35" t="s">
        <v>98</v>
      </c>
      <c r="D23" s="35" t="s">
        <v>51</v>
      </c>
      <c r="E23" s="35" t="s">
        <v>52</v>
      </c>
      <c r="F23" s="35" t="s">
        <v>53</v>
      </c>
      <c r="G23" s="37" t="s">
        <v>99</v>
      </c>
      <c r="H23" s="35"/>
      <c r="I23" s="39" t="s">
        <v>100</v>
      </c>
      <c r="J23" s="37" t="s">
        <v>101</v>
      </c>
      <c r="K23" s="37" t="s">
        <v>56</v>
      </c>
      <c r="L23" s="35"/>
      <c r="M23" s="35"/>
      <c r="N23" s="35"/>
      <c r="O23" s="35"/>
      <c r="P23" s="40" t="e">
        <f>[1]!Tableau32[[#This Row],[HJ Dev]]*(25%+25%)</f>
        <v>#REF!</v>
      </c>
      <c r="Q23" s="40" t="e">
        <f>[1]!Tableau32[[#This Row],[HJ Analyse et test]]+[1]!Tableau32[[#This Row],[HJ Dev]]</f>
        <v>#REF!</v>
      </c>
      <c r="R23" s="40" t="e">
        <f>[1]!Tableau32[[#This Row],[Total HJ]]*8</f>
        <v>#REF!</v>
      </c>
      <c r="Z23" s="40" t="s">
        <v>57</v>
      </c>
      <c r="AA23" s="40" t="s">
        <v>58</v>
      </c>
      <c r="AB23" s="36">
        <v>10</v>
      </c>
      <c r="AC23" s="40">
        <f>Tableau3[[#This Row],[HJ Dev]]*(25%)</f>
        <v>2.5</v>
      </c>
      <c r="AD23" s="36">
        <f>Tableau3[[#This Row],[HJ Dev]]+Tableau3[[#This Row],[HJ Analyse et test]]</f>
        <v>12.5</v>
      </c>
    </row>
    <row r="24" spans="2:30" s="40" customFormat="1" ht="140.5" customHeight="1" x14ac:dyDescent="0.25">
      <c r="B24" s="35" t="s">
        <v>102</v>
      </c>
      <c r="C24" s="35" t="s">
        <v>103</v>
      </c>
      <c r="D24" s="35" t="s">
        <v>51</v>
      </c>
      <c r="E24" s="35" t="s">
        <v>52</v>
      </c>
      <c r="F24" s="35" t="s">
        <v>53</v>
      </c>
      <c r="G24" s="37" t="s">
        <v>104</v>
      </c>
      <c r="H24" s="35"/>
      <c r="I24" s="39" t="s">
        <v>105</v>
      </c>
      <c r="J24" s="37"/>
      <c r="K24" s="37"/>
      <c r="L24" s="35"/>
      <c r="M24" s="35"/>
      <c r="N24" s="35"/>
      <c r="O24" s="35"/>
      <c r="P24" s="40" t="e">
        <f>[1]!Tableau32[[#This Row],[HJ Dev]]*(25%+25%)</f>
        <v>#REF!</v>
      </c>
      <c r="Q24" s="40" t="e">
        <f>[1]!Tableau32[[#This Row],[HJ Analyse et test]]+[1]!Tableau32[[#This Row],[HJ Dev]]</f>
        <v>#REF!</v>
      </c>
      <c r="R24" s="40" t="e">
        <f>[1]!Tableau32[[#This Row],[Total HJ]]*8</f>
        <v>#REF!</v>
      </c>
      <c r="AB24" s="36">
        <v>6</v>
      </c>
      <c r="AC24" s="40">
        <f>Tableau3[[#This Row],[HJ Dev]]*(50%+25%)</f>
        <v>4.5</v>
      </c>
      <c r="AD24" s="36">
        <f>Tableau3[[#This Row],[HJ Dev]]+Tableau3[[#This Row],[HJ Analyse et test]]</f>
        <v>10.5</v>
      </c>
    </row>
    <row r="25" spans="2:30" s="40" customFormat="1" ht="140.5" customHeight="1" x14ac:dyDescent="0.25">
      <c r="B25" s="35" t="s">
        <v>106</v>
      </c>
      <c r="C25" s="35" t="s">
        <v>107</v>
      </c>
      <c r="D25" s="35" t="s">
        <v>51</v>
      </c>
      <c r="E25" s="35" t="s">
        <v>52</v>
      </c>
      <c r="F25" s="35" t="s">
        <v>53</v>
      </c>
      <c r="G25" s="37" t="s">
        <v>107</v>
      </c>
      <c r="H25" s="35"/>
      <c r="I25" s="39" t="s">
        <v>108</v>
      </c>
      <c r="J25" s="37" t="s">
        <v>109</v>
      </c>
      <c r="K25" s="37"/>
      <c r="L25" s="35"/>
      <c r="M25" s="35"/>
      <c r="N25" s="35"/>
      <c r="O25" s="35"/>
      <c r="P25" s="40" t="e">
        <f>[1]!Tableau32[[#This Row],[HJ Dev]]*(25%+25%)</f>
        <v>#REF!</v>
      </c>
      <c r="Q25" s="40" t="e">
        <f>[1]!Tableau32[[#This Row],[HJ Analyse et test]]+[1]!Tableau32[[#This Row],[HJ Dev]]</f>
        <v>#REF!</v>
      </c>
      <c r="R25" s="40" t="e">
        <f>[1]!Tableau32[[#This Row],[Total HJ]]*8</f>
        <v>#REF!</v>
      </c>
      <c r="AB25" s="36">
        <v>3</v>
      </c>
      <c r="AC25" s="40">
        <f>Tableau3[[#This Row],[HJ Dev]]*(50%+25%)</f>
        <v>2.25</v>
      </c>
      <c r="AD25" s="36">
        <f>Tableau3[[#This Row],[HJ Dev]]+Tableau3[[#This Row],[HJ Analyse et test]]</f>
        <v>5.25</v>
      </c>
    </row>
    <row r="26" spans="2:30" s="10" customFormat="1" ht="275.14999999999998" customHeight="1" x14ac:dyDescent="0.25">
      <c r="B26" s="24" t="s">
        <v>110</v>
      </c>
      <c r="C26" s="24" t="s">
        <v>111</v>
      </c>
      <c r="D26" s="24" t="s">
        <v>51</v>
      </c>
      <c r="E26" s="24" t="s">
        <v>52</v>
      </c>
      <c r="F26" s="24" t="s">
        <v>53</v>
      </c>
      <c r="G26" s="26" t="s">
        <v>112</v>
      </c>
      <c r="H26" s="24"/>
      <c r="I26" s="33" t="s">
        <v>113</v>
      </c>
      <c r="J26" s="26"/>
      <c r="K26" s="26" t="s">
        <v>56</v>
      </c>
      <c r="L26" s="24"/>
      <c r="M26" s="24"/>
      <c r="N26" s="24"/>
      <c r="O26" s="24"/>
      <c r="P26" s="10" t="e">
        <f>[1]!Tableau32[[#This Row],[HJ Dev]]*(25%+25%)</f>
        <v>#REF!</v>
      </c>
      <c r="Q26" s="10" t="e">
        <f>[1]!Tableau32[[#This Row],[HJ Analyse et test]]+[1]!Tableau32[[#This Row],[HJ Dev]]</f>
        <v>#REF!</v>
      </c>
      <c r="R26" s="10" t="e">
        <f>[1]!Tableau32[[#This Row],[Total HJ]]*8</f>
        <v>#REF!</v>
      </c>
      <c r="Z26" s="10" t="s">
        <v>57</v>
      </c>
      <c r="AA26" s="10" t="s">
        <v>58</v>
      </c>
      <c r="AB26" s="28">
        <v>20</v>
      </c>
      <c r="AC26" s="10">
        <f>Tableau3[[#This Row],[HJ Dev]]*(50%+25%)</f>
        <v>15</v>
      </c>
      <c r="AD26" s="28">
        <f>Tableau3[[#This Row],[HJ Dev]]+Tableau3[[#This Row],[HJ Analyse et test]]</f>
        <v>35</v>
      </c>
    </row>
    <row r="27" spans="2:30" s="10" customFormat="1" ht="174.65" customHeight="1" x14ac:dyDescent="0.25">
      <c r="B27" s="24" t="s">
        <v>114</v>
      </c>
      <c r="C27" s="24" t="s">
        <v>115</v>
      </c>
      <c r="D27" s="24" t="s">
        <v>51</v>
      </c>
      <c r="E27" s="24" t="s">
        <v>52</v>
      </c>
      <c r="F27" s="24" t="s">
        <v>53</v>
      </c>
      <c r="G27" s="26" t="s">
        <v>116</v>
      </c>
      <c r="H27" s="24"/>
      <c r="I27" s="33" t="s">
        <v>117</v>
      </c>
      <c r="J27" s="26"/>
      <c r="K27" s="26"/>
      <c r="L27" s="24"/>
      <c r="M27" s="24"/>
      <c r="N27" s="24"/>
      <c r="O27" s="24"/>
      <c r="P27" s="10" t="e">
        <f>[1]!Tableau32[[#This Row],[HJ Dev]]*(25%+25%)</f>
        <v>#REF!</v>
      </c>
      <c r="Q27" s="10" t="e">
        <f>[1]!Tableau32[[#This Row],[HJ Analyse et test]]+[1]!Tableau32[[#This Row],[HJ Dev]]</f>
        <v>#REF!</v>
      </c>
      <c r="R27" s="10" t="e">
        <f>[1]!Tableau32[[#This Row],[Total HJ]]*8</f>
        <v>#REF!</v>
      </c>
      <c r="AB27" s="28">
        <v>4</v>
      </c>
      <c r="AC27" s="10">
        <f>Tableau3[[#This Row],[HJ Dev]]*(50%+25%)</f>
        <v>3</v>
      </c>
      <c r="AD27" s="28">
        <f>Tableau3[[#This Row],[HJ Dev]]+Tableau3[[#This Row],[HJ Analyse et test]]</f>
        <v>7</v>
      </c>
    </row>
    <row r="28" spans="2:30" s="10" customFormat="1" ht="84" customHeight="1" x14ac:dyDescent="0.25">
      <c r="B28" s="24" t="s">
        <v>118</v>
      </c>
      <c r="C28" s="24" t="s">
        <v>119</v>
      </c>
      <c r="D28" s="24" t="s">
        <v>51</v>
      </c>
      <c r="E28" s="24" t="s">
        <v>52</v>
      </c>
      <c r="F28" s="24" t="s">
        <v>53</v>
      </c>
      <c r="G28" s="26" t="s">
        <v>120</v>
      </c>
      <c r="H28" s="24"/>
      <c r="I28" s="33" t="s">
        <v>121</v>
      </c>
      <c r="J28" s="26"/>
      <c r="K28" s="26"/>
      <c r="L28" s="24"/>
      <c r="M28" s="24"/>
      <c r="N28" s="24"/>
      <c r="O28" s="24"/>
      <c r="P28" s="10" t="e">
        <f>[1]!Tableau32[[#This Row],[HJ Dev]]*(25%+25%)</f>
        <v>#REF!</v>
      </c>
      <c r="Q28" s="10" t="e">
        <f>[1]!Tableau32[[#This Row],[HJ Analyse et test]]+[1]!Tableau32[[#This Row],[HJ Dev]]</f>
        <v>#REF!</v>
      </c>
      <c r="R28" s="10" t="e">
        <f>[1]!Tableau32[[#This Row],[Total HJ]]*8</f>
        <v>#REF!</v>
      </c>
      <c r="AB28" s="28">
        <v>5</v>
      </c>
      <c r="AC28" s="10">
        <f>Tableau3[[#This Row],[HJ Dev]]*(50%+25%)</f>
        <v>3.75</v>
      </c>
      <c r="AD28" s="28">
        <f>Tableau3[[#This Row],[HJ Dev]]+Tableau3[[#This Row],[HJ Analyse et test]]</f>
        <v>8.75</v>
      </c>
    </row>
    <row r="29" spans="2:30" s="10" customFormat="1" ht="119" customHeight="1" x14ac:dyDescent="0.25">
      <c r="B29" s="24" t="s">
        <v>122</v>
      </c>
      <c r="C29" s="24" t="s">
        <v>123</v>
      </c>
      <c r="D29" s="24" t="s">
        <v>51</v>
      </c>
      <c r="E29" s="24" t="s">
        <v>52</v>
      </c>
      <c r="F29" s="24" t="s">
        <v>53</v>
      </c>
      <c r="G29" s="26" t="s">
        <v>124</v>
      </c>
      <c r="H29" s="24"/>
      <c r="I29" s="33" t="s">
        <v>125</v>
      </c>
      <c r="J29" s="26"/>
      <c r="K29" s="26" t="s">
        <v>56</v>
      </c>
      <c r="L29" s="24"/>
      <c r="M29" s="24"/>
      <c r="N29" s="24"/>
      <c r="O29" s="24"/>
      <c r="P29" s="24" t="e">
        <f>[1]!Tableau32[[#This Row],[HJ Dev]]*(25%+25%)</f>
        <v>#REF!</v>
      </c>
      <c r="Q29" s="24" t="e">
        <f>[1]!Tableau32[[#This Row],[HJ Analyse et test]]+[1]!Tableau32[[#This Row],[HJ Dev]]</f>
        <v>#REF!</v>
      </c>
      <c r="R29" s="24" t="e">
        <f>[1]!Tableau32[[#This Row],[Total HJ]]*8</f>
        <v>#REF!</v>
      </c>
      <c r="Z29" s="10" t="s">
        <v>57</v>
      </c>
      <c r="AA29" s="10" t="s">
        <v>58</v>
      </c>
      <c r="AB29" s="28">
        <v>6</v>
      </c>
      <c r="AC29" s="10">
        <f>Tableau3[[#This Row],[HJ Dev]]*(50%+25%)</f>
        <v>4.5</v>
      </c>
      <c r="AD29" s="28">
        <f>Tableau3[[#This Row],[HJ Dev]]+Tableau3[[#This Row],[HJ Analyse et test]]</f>
        <v>10.5</v>
      </c>
    </row>
    <row r="30" spans="2:30" s="10" customFormat="1" ht="154" customHeight="1" x14ac:dyDescent="0.25">
      <c r="B30" s="24" t="s">
        <v>126</v>
      </c>
      <c r="C30" s="24" t="s">
        <v>127</v>
      </c>
      <c r="D30" s="24" t="s">
        <v>51</v>
      </c>
      <c r="E30" s="24" t="s">
        <v>52</v>
      </c>
      <c r="F30" s="24" t="s">
        <v>53</v>
      </c>
      <c r="G30" s="26" t="s">
        <v>128</v>
      </c>
      <c r="H30" s="24"/>
      <c r="I30" s="33" t="s">
        <v>129</v>
      </c>
      <c r="J30" s="26"/>
      <c r="K30" s="26"/>
      <c r="L30" s="24"/>
      <c r="M30" s="24"/>
      <c r="N30" s="24"/>
      <c r="O30" s="24"/>
      <c r="P30" s="10" t="e">
        <f>[1]!Tableau32[[#This Row],[HJ Dev]]*(25%+25%)</f>
        <v>#REF!</v>
      </c>
      <c r="Q30" s="10" t="e">
        <f>[1]!Tableau32[[#This Row],[HJ Analyse et test]]+[1]!Tableau32[[#This Row],[HJ Dev]]</f>
        <v>#REF!</v>
      </c>
      <c r="R30" s="10" t="e">
        <f>[1]!Tableau32[[#This Row],[Total HJ]]*8</f>
        <v>#REF!</v>
      </c>
      <c r="AB30" s="28">
        <v>6</v>
      </c>
      <c r="AC30" s="10">
        <f>Tableau3[[#This Row],[HJ Dev]]*(50%+25%)</f>
        <v>4.5</v>
      </c>
      <c r="AD30" s="28">
        <f>Tableau3[[#This Row],[HJ Dev]]+Tableau3[[#This Row],[HJ Analyse et test]]</f>
        <v>10.5</v>
      </c>
    </row>
    <row r="31" spans="2:30" s="10" customFormat="1" ht="154" customHeight="1" x14ac:dyDescent="0.25">
      <c r="B31" s="24" t="s">
        <v>130</v>
      </c>
      <c r="C31" s="24" t="s">
        <v>131</v>
      </c>
      <c r="D31" s="24" t="s">
        <v>51</v>
      </c>
      <c r="E31" s="24" t="s">
        <v>52</v>
      </c>
      <c r="F31" s="24" t="s">
        <v>53</v>
      </c>
      <c r="G31" s="26" t="s">
        <v>132</v>
      </c>
      <c r="H31" s="24"/>
      <c r="I31" s="26" t="s">
        <v>133</v>
      </c>
      <c r="J31" s="34" t="s">
        <v>134</v>
      </c>
      <c r="K31" s="26"/>
      <c r="L31" s="24"/>
      <c r="M31" s="24"/>
      <c r="N31" s="24"/>
      <c r="O31" s="24"/>
      <c r="P31" s="10" t="e">
        <f>[1]!Tableau32[[#This Row],[HJ Dev]]*(25%+25%)</f>
        <v>#REF!</v>
      </c>
      <c r="Q31" s="10" t="e">
        <f>[1]!Tableau32[[#This Row],[HJ Analyse et test]]+[1]!Tableau32[[#This Row],[HJ Dev]]</f>
        <v>#REF!</v>
      </c>
      <c r="R31" s="10" t="e">
        <f>[1]!Tableau32[[#This Row],[Total HJ]]*8</f>
        <v>#REF!</v>
      </c>
      <c r="AB31" s="28">
        <v>5</v>
      </c>
      <c r="AC31" s="10">
        <f>Tableau3[[#This Row],[HJ Dev]]*(50%+25%)</f>
        <v>3.75</v>
      </c>
      <c r="AD31" s="28">
        <f>Tableau3[[#This Row],[HJ Dev]]+Tableau3[[#This Row],[HJ Analyse et test]]</f>
        <v>8.75</v>
      </c>
    </row>
    <row r="32" spans="2:30" s="10" customFormat="1" ht="99" customHeight="1" x14ac:dyDescent="0.25">
      <c r="B32" s="24" t="s">
        <v>135</v>
      </c>
      <c r="C32" s="24" t="s">
        <v>136</v>
      </c>
      <c r="D32" s="24" t="s">
        <v>51</v>
      </c>
      <c r="E32" s="24" t="s">
        <v>52</v>
      </c>
      <c r="F32" s="24" t="s">
        <v>53</v>
      </c>
      <c r="G32" s="26" t="s">
        <v>137</v>
      </c>
      <c r="H32" s="24"/>
      <c r="I32" s="33" t="s">
        <v>138</v>
      </c>
      <c r="J32" s="26"/>
      <c r="K32" s="26" t="s">
        <v>56</v>
      </c>
      <c r="L32" s="24"/>
      <c r="M32" s="24"/>
      <c r="N32" s="24"/>
      <c r="O32" s="24"/>
      <c r="P32" s="24" t="e">
        <f>[1]!Tableau32[[#This Row],[HJ Dev]]*(25%+25%)</f>
        <v>#REF!</v>
      </c>
      <c r="Q32" s="24" t="e">
        <f>[1]!Tableau32[[#This Row],[HJ Analyse et test]]+[1]!Tableau32[[#This Row],[HJ Dev]]</f>
        <v>#REF!</v>
      </c>
      <c r="R32" s="24" t="e">
        <f>[1]!Tableau32[[#This Row],[Total HJ]]*8</f>
        <v>#REF!</v>
      </c>
      <c r="Z32" s="10" t="s">
        <v>57</v>
      </c>
      <c r="AA32" s="10" t="s">
        <v>58</v>
      </c>
      <c r="AB32" s="28">
        <v>5</v>
      </c>
      <c r="AC32" s="10">
        <f>Tableau3[[#This Row],[HJ Dev]]*(50%+25%)</f>
        <v>3.75</v>
      </c>
      <c r="AD32" s="28">
        <f>Tableau3[[#This Row],[HJ Dev]]+Tableau3[[#This Row],[HJ Analyse et test]]</f>
        <v>8.75</v>
      </c>
    </row>
    <row r="33" spans="2:36" s="10" customFormat="1" ht="84" customHeight="1" x14ac:dyDescent="0.25">
      <c r="B33" s="24" t="s">
        <v>139</v>
      </c>
      <c r="C33" s="24" t="s">
        <v>140</v>
      </c>
      <c r="D33" s="24" t="s">
        <v>51</v>
      </c>
      <c r="E33" s="24" t="s">
        <v>52</v>
      </c>
      <c r="F33" s="24" t="s">
        <v>53</v>
      </c>
      <c r="G33" s="26" t="s">
        <v>141</v>
      </c>
      <c r="H33" s="24"/>
      <c r="I33" s="33" t="s">
        <v>142</v>
      </c>
      <c r="J33" s="26"/>
      <c r="K33" s="26" t="s">
        <v>56</v>
      </c>
      <c r="L33" s="24"/>
      <c r="M33" s="24"/>
      <c r="N33" s="24"/>
      <c r="O33" s="24"/>
      <c r="P33" s="24" t="e">
        <f>[1]!Tableau32[[#This Row],[HJ Dev]]*(25%+25%)</f>
        <v>#REF!</v>
      </c>
      <c r="Q33" s="24" t="e">
        <f>[1]!Tableau32[[#This Row],[HJ Analyse et test]]+[1]!Tableau32[[#This Row],[HJ Dev]]</f>
        <v>#REF!</v>
      </c>
      <c r="R33" s="24" t="e">
        <f>[1]!Tableau32[[#This Row],[Total HJ]]*8</f>
        <v>#REF!</v>
      </c>
      <c r="Z33" s="10" t="s">
        <v>57</v>
      </c>
      <c r="AA33" s="10" t="s">
        <v>58</v>
      </c>
      <c r="AB33" s="28">
        <v>6</v>
      </c>
      <c r="AC33" s="10">
        <f>Tableau3[[#This Row],[HJ Dev]]*(50%+25%)</f>
        <v>4.5</v>
      </c>
      <c r="AD33" s="28">
        <f>Tableau3[[#This Row],[HJ Dev]]+Tableau3[[#This Row],[HJ Analyse et test]]</f>
        <v>10.5</v>
      </c>
    </row>
    <row r="34" spans="2:36" s="40" customFormat="1" ht="239.15" customHeight="1" x14ac:dyDescent="0.25">
      <c r="B34" s="35" t="s">
        <v>143</v>
      </c>
      <c r="C34" s="35" t="s">
        <v>144</v>
      </c>
      <c r="D34" s="35" t="s">
        <v>51</v>
      </c>
      <c r="E34" s="35" t="s">
        <v>52</v>
      </c>
      <c r="F34" s="35" t="s">
        <v>53</v>
      </c>
      <c r="G34" s="37" t="s">
        <v>145</v>
      </c>
      <c r="H34" s="35"/>
      <c r="I34" s="37" t="s">
        <v>146</v>
      </c>
      <c r="J34" s="37"/>
      <c r="K34" s="37"/>
      <c r="L34" s="35"/>
      <c r="M34" s="35"/>
      <c r="N34" s="35"/>
      <c r="O34" s="35"/>
      <c r="P34" s="40" t="e">
        <f>[1]!Tableau32[[#This Row],[HJ Dev]]*(25%+25%)</f>
        <v>#REF!</v>
      </c>
      <c r="Q34" s="40" t="e">
        <f>[1]!Tableau32[[#This Row],[HJ Analyse et test]]+[1]!Tableau32[[#This Row],[HJ Dev]]</f>
        <v>#REF!</v>
      </c>
      <c r="R34" s="40" t="e">
        <f>[1]!Tableau32[[#This Row],[Total HJ]]*8</f>
        <v>#REF!</v>
      </c>
      <c r="AB34" s="36">
        <v>4</v>
      </c>
      <c r="AC34" s="40">
        <f>Tableau3[[#This Row],[HJ Dev]]*(50%+25%)</f>
        <v>3</v>
      </c>
      <c r="AD34" s="36">
        <f>Tableau3[[#This Row],[HJ Dev]]+Tableau3[[#This Row],[HJ Analyse et test]]</f>
        <v>7</v>
      </c>
    </row>
    <row r="35" spans="2:36" s="10" customFormat="1" ht="146.15" customHeight="1" x14ac:dyDescent="0.25">
      <c r="B35" s="24" t="s">
        <v>147</v>
      </c>
      <c r="C35" s="24" t="s">
        <v>148</v>
      </c>
      <c r="D35" s="24" t="s">
        <v>51</v>
      </c>
      <c r="E35" s="24" t="s">
        <v>52</v>
      </c>
      <c r="F35" s="24" t="s">
        <v>53</v>
      </c>
      <c r="G35" s="26" t="s">
        <v>149</v>
      </c>
      <c r="H35" s="24"/>
      <c r="I35" s="33" t="s">
        <v>150</v>
      </c>
      <c r="J35" s="26"/>
      <c r="K35" s="26"/>
      <c r="L35" s="24"/>
      <c r="M35" s="24"/>
      <c r="N35" s="24"/>
      <c r="O35" s="24"/>
      <c r="P35" s="10" t="e">
        <f>[1]!Tableau32[[#This Row],[HJ Dev]]*(25%+25%)</f>
        <v>#REF!</v>
      </c>
      <c r="Q35" s="10" t="e">
        <f>[1]!Tableau32[[#This Row],[HJ Analyse et test]]+[1]!Tableau32[[#This Row],[HJ Dev]]</f>
        <v>#REF!</v>
      </c>
      <c r="R35" s="10" t="e">
        <f>[1]!Tableau32[[#This Row],[Total HJ]]*8</f>
        <v>#REF!</v>
      </c>
      <c r="AB35" s="28">
        <v>5</v>
      </c>
      <c r="AC35" s="10">
        <f>Tableau3[[#This Row],[HJ Dev]]*(50%+25%)</f>
        <v>3.75</v>
      </c>
      <c r="AD35" s="28">
        <f>Tableau3[[#This Row],[HJ Dev]]+Tableau3[[#This Row],[HJ Analyse et test]]</f>
        <v>8.75</v>
      </c>
    </row>
    <row r="36" spans="2:36" s="10" customFormat="1" ht="97" customHeight="1" x14ac:dyDescent="0.25">
      <c r="B36" s="24" t="s">
        <v>151</v>
      </c>
      <c r="C36" s="24" t="s">
        <v>152</v>
      </c>
      <c r="D36" s="24" t="s">
        <v>51</v>
      </c>
      <c r="E36" s="24" t="s">
        <v>52</v>
      </c>
      <c r="F36" s="24" t="s">
        <v>53</v>
      </c>
      <c r="G36" s="26" t="s">
        <v>153</v>
      </c>
      <c r="H36" s="24"/>
      <c r="I36" s="33" t="s">
        <v>154</v>
      </c>
      <c r="J36" s="26"/>
      <c r="K36" s="26"/>
      <c r="L36" s="24"/>
      <c r="M36" s="24"/>
      <c r="N36" s="24"/>
      <c r="O36" s="24"/>
      <c r="P36" s="10" t="e">
        <f>[1]!Tableau32[[#This Row],[HJ Dev]]*(25%+25%)</f>
        <v>#REF!</v>
      </c>
      <c r="Q36" s="10" t="e">
        <f>[1]!Tableau32[[#This Row],[HJ Analyse et test]]+[1]!Tableau32[[#This Row],[HJ Dev]]</f>
        <v>#REF!</v>
      </c>
      <c r="R36" s="10" t="e">
        <f>[1]!Tableau32[[#This Row],[Total HJ]]*8</f>
        <v>#REF!</v>
      </c>
      <c r="AB36" s="28">
        <v>2</v>
      </c>
      <c r="AC36" s="10">
        <f>Tableau3[[#This Row],[HJ Dev]]*(50%+25%)</f>
        <v>1.5</v>
      </c>
      <c r="AD36" s="28">
        <f>Tableau3[[#This Row],[HJ Dev]]+Tableau3[[#This Row],[HJ Analyse et test]]</f>
        <v>3.5</v>
      </c>
    </row>
    <row r="37" spans="2:36" ht="29" x14ac:dyDescent="0.3">
      <c r="B37" s="24" t="s">
        <v>155</v>
      </c>
      <c r="C37" s="24" t="s">
        <v>156</v>
      </c>
      <c r="D37" s="24" t="s">
        <v>51</v>
      </c>
      <c r="E37" s="24" t="s">
        <v>52</v>
      </c>
      <c r="F37" s="24" t="s">
        <v>53</v>
      </c>
      <c r="G37" s="26" t="s">
        <v>157</v>
      </c>
      <c r="H37" s="24"/>
      <c r="I37" s="33" t="s">
        <v>158</v>
      </c>
      <c r="J37" s="26"/>
      <c r="K37" s="26"/>
      <c r="L37" s="24"/>
      <c r="M37" s="24"/>
      <c r="N37" s="24"/>
      <c r="O37" s="24"/>
      <c r="P37" s="10" t="e">
        <f>[1]!Tableau32[[#This Row],[HJ Dev]]*(25%+25%)</f>
        <v>#REF!</v>
      </c>
      <c r="Q37" s="10" t="e">
        <f>[1]!Tableau32[[#This Row],[HJ Analyse et test]]+[1]!Tableau32[[#This Row],[HJ Dev]]</f>
        <v>#REF!</v>
      </c>
      <c r="R37" s="10" t="e">
        <f>[1]!Tableau32[[#This Row],[Total HJ]]*8</f>
        <v>#REF!</v>
      </c>
      <c r="S37" s="10"/>
      <c r="T37" s="10"/>
      <c r="U37" s="10"/>
      <c r="V37" s="10"/>
      <c r="W37" s="10"/>
      <c r="X37" s="10"/>
      <c r="Y37" s="10"/>
      <c r="Z37" s="10"/>
      <c r="AA37" s="10"/>
      <c r="AB37" s="28">
        <v>2</v>
      </c>
      <c r="AC37" s="10">
        <f>Tableau3[[#This Row],[HJ Dev]]*(50%+25%)</f>
        <v>1.5</v>
      </c>
      <c r="AD37" s="28">
        <f>Tableau3[[#This Row],[HJ Dev]]+Tableau3[[#This Row],[HJ Analyse et test]]</f>
        <v>3.5</v>
      </c>
      <c r="AE37" s="10"/>
      <c r="AF37" s="10"/>
      <c r="AG37" s="10"/>
      <c r="AH37" s="10"/>
      <c r="AI37" s="10"/>
      <c r="AJ37" s="10"/>
    </row>
    <row r="38" spans="2:36" ht="29" x14ac:dyDescent="0.3">
      <c r="B38" s="24" t="s">
        <v>159</v>
      </c>
      <c r="C38" s="24" t="s">
        <v>160</v>
      </c>
      <c r="D38" s="24" t="s">
        <v>51</v>
      </c>
      <c r="E38" s="24" t="s">
        <v>52</v>
      </c>
      <c r="F38" s="24" t="s">
        <v>53</v>
      </c>
      <c r="G38" s="26" t="s">
        <v>161</v>
      </c>
      <c r="H38" s="24"/>
      <c r="I38" s="33" t="s">
        <v>162</v>
      </c>
      <c r="J38" s="26"/>
      <c r="K38" s="26"/>
      <c r="L38" s="24"/>
      <c r="M38" s="24"/>
      <c r="N38" s="24"/>
      <c r="O38" s="24"/>
      <c r="P38" s="10" t="e">
        <f>[1]!Tableau32[[#This Row],[HJ Dev]]*(25%+25%)</f>
        <v>#REF!</v>
      </c>
      <c r="Q38" s="10" t="e">
        <f>[1]!Tableau32[[#This Row],[HJ Analyse et test]]+[1]!Tableau32[[#This Row],[HJ Dev]]</f>
        <v>#REF!</v>
      </c>
      <c r="R38" s="10" t="e">
        <f>[1]!Tableau32[[#This Row],[Total HJ]]*8</f>
        <v>#REF!</v>
      </c>
      <c r="S38" s="10"/>
      <c r="T38" s="10"/>
      <c r="U38" s="10"/>
      <c r="V38" s="10"/>
      <c r="W38" s="10"/>
      <c r="X38" s="10"/>
      <c r="Y38" s="10"/>
      <c r="Z38" s="10"/>
      <c r="AA38" s="10"/>
      <c r="AB38" s="28">
        <v>1</v>
      </c>
      <c r="AC38" s="10">
        <f>Tableau3[[#This Row],[HJ Dev]]*(50%+25%)</f>
        <v>0.75</v>
      </c>
      <c r="AD38" s="28">
        <f>Tableau3[[#This Row],[HJ Dev]]+Tableau3[[#This Row],[HJ Analyse et test]]</f>
        <v>1.75</v>
      </c>
      <c r="AE38" s="10"/>
      <c r="AF38" s="10"/>
      <c r="AG38" s="10"/>
      <c r="AH38" s="10"/>
      <c r="AI38" s="10"/>
      <c r="AJ38" s="10"/>
    </row>
    <row r="39" spans="2:36" s="41" customFormat="1" ht="43.5" x14ac:dyDescent="0.3">
      <c r="B39" s="35" t="s">
        <v>163</v>
      </c>
      <c r="C39" s="35" t="s">
        <v>164</v>
      </c>
      <c r="D39" s="35" t="s">
        <v>51</v>
      </c>
      <c r="E39" s="35" t="s">
        <v>52</v>
      </c>
      <c r="F39" s="35" t="s">
        <v>53</v>
      </c>
      <c r="G39" s="37" t="s">
        <v>165</v>
      </c>
      <c r="H39" s="35"/>
      <c r="I39" s="39" t="s">
        <v>166</v>
      </c>
      <c r="J39" s="37" t="s">
        <v>167</v>
      </c>
      <c r="K39" s="37" t="s">
        <v>56</v>
      </c>
      <c r="L39" s="35"/>
      <c r="M39" s="35"/>
      <c r="N39" s="35"/>
      <c r="O39" s="35"/>
      <c r="P39" s="35" t="e">
        <f>[1]!Tableau32[[#This Row],[HJ Dev]]*(25%+25%)</f>
        <v>#REF!</v>
      </c>
      <c r="Q39" s="35" t="e">
        <f>[1]!Tableau32[[#This Row],[HJ Analyse et test]]+[1]!Tableau32[[#This Row],[HJ Dev]]</f>
        <v>#REF!</v>
      </c>
      <c r="R39" s="35" t="e">
        <f>[1]!Tableau32[[#This Row],[Total HJ]]*8</f>
        <v>#REF!</v>
      </c>
      <c r="S39" s="40"/>
      <c r="T39" s="40"/>
      <c r="U39" s="40"/>
      <c r="V39" s="40"/>
      <c r="W39" s="40"/>
      <c r="X39" s="40"/>
      <c r="Y39" s="40"/>
      <c r="Z39" s="40" t="s">
        <v>57</v>
      </c>
      <c r="AA39" s="40" t="s">
        <v>58</v>
      </c>
      <c r="AB39" s="36">
        <v>2</v>
      </c>
      <c r="AC39" s="40">
        <f>Tableau3[[#This Row],[HJ Dev]]*(50%+25%)</f>
        <v>1.5</v>
      </c>
      <c r="AD39" s="36">
        <f>Tableau3[[#This Row],[HJ Dev]]+Tableau3[[#This Row],[HJ Analyse et test]]</f>
        <v>3.5</v>
      </c>
      <c r="AE39" s="40"/>
      <c r="AF39" s="40"/>
      <c r="AG39" s="40"/>
      <c r="AH39" s="40"/>
      <c r="AI39" s="40"/>
      <c r="AJ39" s="40"/>
    </row>
    <row r="40" spans="2:36" ht="29" x14ac:dyDescent="0.3">
      <c r="B40" s="24" t="s">
        <v>168</v>
      </c>
      <c r="C40" s="24" t="s">
        <v>169</v>
      </c>
      <c r="D40" s="24" t="s">
        <v>51</v>
      </c>
      <c r="E40" s="24" t="s">
        <v>52</v>
      </c>
      <c r="F40" s="24" t="s">
        <v>53</v>
      </c>
      <c r="G40" s="26" t="s">
        <v>170</v>
      </c>
      <c r="H40" s="24"/>
      <c r="I40" s="26" t="s">
        <v>171</v>
      </c>
      <c r="J40" s="26"/>
      <c r="K40" s="26" t="s">
        <v>56</v>
      </c>
      <c r="L40" s="24"/>
      <c r="M40" s="24"/>
      <c r="N40" s="24"/>
      <c r="O40" s="24"/>
      <c r="P40" s="24" t="e">
        <f>[1]!Tableau32[[#This Row],[HJ Dev]]*(25%+25%)</f>
        <v>#REF!</v>
      </c>
      <c r="Q40" s="24" t="e">
        <f>[1]!Tableau32[[#This Row],[HJ Analyse et test]]+[1]!Tableau32[[#This Row],[HJ Dev]]</f>
        <v>#REF!</v>
      </c>
      <c r="R40" s="24" t="e">
        <f>[1]!Tableau32[[#This Row],[Total HJ]]*8</f>
        <v>#REF!</v>
      </c>
      <c r="S40" s="10"/>
      <c r="T40" s="10"/>
      <c r="U40" s="10"/>
      <c r="V40" s="10"/>
      <c r="W40" s="10"/>
      <c r="X40" s="10"/>
      <c r="Y40" s="10"/>
      <c r="Z40" s="10" t="s">
        <v>57</v>
      </c>
      <c r="AA40" s="10" t="s">
        <v>58</v>
      </c>
      <c r="AB40" s="28">
        <v>0</v>
      </c>
      <c r="AC40" s="10">
        <f>Tableau3[[#This Row],[HJ Dev]]*(50%+25%)</f>
        <v>0</v>
      </c>
      <c r="AD40" s="28">
        <f>Tableau3[[#This Row],[HJ Dev]]+Tableau3[[#This Row],[HJ Analyse et test]]</f>
        <v>0</v>
      </c>
      <c r="AE40" s="10"/>
      <c r="AF40" s="10"/>
      <c r="AG40" s="10"/>
      <c r="AH40" s="10"/>
      <c r="AI40" s="10"/>
      <c r="AJ40" s="10"/>
    </row>
    <row r="41" spans="2:36" ht="58" x14ac:dyDescent="0.3">
      <c r="B41" s="24" t="s">
        <v>172</v>
      </c>
      <c r="C41" s="24" t="s">
        <v>173</v>
      </c>
      <c r="D41" s="24" t="s">
        <v>51</v>
      </c>
      <c r="E41" s="24" t="s">
        <v>52</v>
      </c>
      <c r="F41" s="24" t="s">
        <v>53</v>
      </c>
      <c r="G41" s="26" t="s">
        <v>174</v>
      </c>
      <c r="H41" s="24"/>
      <c r="I41" s="26" t="s">
        <v>175</v>
      </c>
      <c r="J41" s="26"/>
      <c r="K41" s="26"/>
      <c r="L41" s="24"/>
      <c r="M41" s="24"/>
      <c r="N41" s="24"/>
      <c r="O41" s="24"/>
      <c r="P41" s="10" t="e">
        <f>[1]!Tableau32[[#This Row],[HJ Dev]]*(25%+25%)</f>
        <v>#REF!</v>
      </c>
      <c r="Q41" s="10" t="e">
        <f>[1]!Tableau32[[#This Row],[HJ Analyse et test]]+[1]!Tableau32[[#This Row],[HJ Dev]]</f>
        <v>#REF!</v>
      </c>
      <c r="R41" s="10" t="e">
        <f>[1]!Tableau32[[#This Row],[Total HJ]]*8</f>
        <v>#REF!</v>
      </c>
      <c r="S41" s="10"/>
      <c r="T41" s="10"/>
      <c r="U41" s="10"/>
      <c r="V41" s="10"/>
      <c r="W41" s="10"/>
      <c r="X41" s="10"/>
      <c r="Y41" s="10"/>
      <c r="Z41" s="10"/>
      <c r="AA41" s="10"/>
      <c r="AB41" s="28">
        <v>2</v>
      </c>
      <c r="AC41" s="10">
        <f>Tableau3[[#This Row],[HJ Dev]]*(50%+25%)</f>
        <v>1.5</v>
      </c>
      <c r="AD41" s="28">
        <f>Tableau3[[#This Row],[HJ Dev]]+Tableau3[[#This Row],[HJ Analyse et test]]</f>
        <v>3.5</v>
      </c>
      <c r="AE41" s="10"/>
      <c r="AF41" s="10"/>
      <c r="AG41" s="10"/>
      <c r="AH41" s="10"/>
      <c r="AI41" s="10"/>
      <c r="AJ41" s="10"/>
    </row>
    <row r="42" spans="2:36" ht="227.5" customHeight="1" x14ac:dyDescent="0.3">
      <c r="B42" s="24" t="s">
        <v>176</v>
      </c>
      <c r="C42" s="29" t="s">
        <v>177</v>
      </c>
      <c r="D42" s="24" t="s">
        <v>51</v>
      </c>
      <c r="E42" s="24" t="s">
        <v>52</v>
      </c>
      <c r="F42" s="24" t="s">
        <v>53</v>
      </c>
      <c r="G42" s="29" t="s">
        <v>178</v>
      </c>
      <c r="H42" s="29" t="s">
        <v>179</v>
      </c>
      <c r="I42" s="33" t="s">
        <v>247</v>
      </c>
      <c r="J42" s="26"/>
      <c r="K42" s="26" t="s">
        <v>56</v>
      </c>
      <c r="L42" s="24"/>
      <c r="M42" s="24"/>
      <c r="N42" s="24"/>
      <c r="O42" s="24"/>
      <c r="P42" s="10" t="e">
        <f>[1]!Tableau32[[#This Row],[HJ Dev]]*(25%+25%)</f>
        <v>#REF!</v>
      </c>
      <c r="Q42" s="10" t="e">
        <f>[1]!Tableau32[[#This Row],[HJ Analyse et test]]+[1]!Tableau32[[#This Row],[HJ Dev]]</f>
        <v>#REF!</v>
      </c>
      <c r="R42" s="10" t="e">
        <f>[1]!Tableau32[[#This Row],[Total HJ]]*8</f>
        <v>#REF!</v>
      </c>
      <c r="S42" s="10"/>
      <c r="T42" s="10"/>
      <c r="U42" s="10"/>
      <c r="V42" s="10"/>
      <c r="W42" s="10"/>
      <c r="X42" s="10"/>
      <c r="Y42" s="10"/>
      <c r="Z42" s="10" t="s">
        <v>57</v>
      </c>
      <c r="AA42" s="10" t="s">
        <v>58</v>
      </c>
      <c r="AB42" s="28">
        <v>4</v>
      </c>
      <c r="AC42" s="10">
        <f>Tableau3[[#This Row],[HJ Dev]]*(50%+25%)</f>
        <v>3</v>
      </c>
      <c r="AD42" s="28">
        <f>Tableau3[[#This Row],[HJ Dev]]+Tableau3[[#This Row],[HJ Analyse et test]]</f>
        <v>7</v>
      </c>
      <c r="AE42" s="10"/>
      <c r="AF42" s="10"/>
      <c r="AG42" s="10"/>
      <c r="AH42" s="10"/>
      <c r="AI42" s="10"/>
      <c r="AJ42" s="10"/>
    </row>
    <row r="43" spans="2:36" s="41" customFormat="1" ht="114" customHeight="1" x14ac:dyDescent="0.3">
      <c r="B43" s="35" t="s">
        <v>180</v>
      </c>
      <c r="C43" s="38" t="s">
        <v>181</v>
      </c>
      <c r="D43" s="35" t="s">
        <v>51</v>
      </c>
      <c r="E43" s="35" t="s">
        <v>52</v>
      </c>
      <c r="F43" s="35" t="s">
        <v>53</v>
      </c>
      <c r="G43" s="38" t="s">
        <v>182</v>
      </c>
      <c r="H43" s="38"/>
      <c r="I43" s="38" t="s">
        <v>183</v>
      </c>
      <c r="J43" s="37"/>
      <c r="K43" s="37" t="s">
        <v>56</v>
      </c>
      <c r="L43" s="35"/>
      <c r="M43" s="35"/>
      <c r="N43" s="35"/>
      <c r="O43" s="35"/>
      <c r="P43" s="40" t="e">
        <f>[1]!Tableau32[[#This Row],[HJ Dev]]*(25%+25%)</f>
        <v>#REF!</v>
      </c>
      <c r="Q43" s="40" t="e">
        <f>[1]!Tableau32[[#This Row],[HJ Analyse et test]]+[1]!Tableau32[[#This Row],[HJ Dev]]</f>
        <v>#REF!</v>
      </c>
      <c r="R43" s="40" t="e">
        <f>[1]!Tableau32[[#This Row],[Total HJ]]*8</f>
        <v>#REF!</v>
      </c>
      <c r="S43" s="40"/>
      <c r="T43" s="40"/>
      <c r="U43" s="40"/>
      <c r="V43" s="40"/>
      <c r="W43" s="40"/>
      <c r="X43" s="40"/>
      <c r="Y43" s="40"/>
      <c r="Z43" s="40" t="s">
        <v>57</v>
      </c>
      <c r="AA43" s="40" t="s">
        <v>58</v>
      </c>
      <c r="AB43" s="36">
        <v>3</v>
      </c>
      <c r="AC43" s="40">
        <f>Tableau3[[#This Row],[HJ Dev]]*(50%+25%)</f>
        <v>2.25</v>
      </c>
      <c r="AD43" s="36">
        <f>Tableau3[[#This Row],[HJ Dev]]+Tableau3[[#This Row],[HJ Analyse et test]]</f>
        <v>5.25</v>
      </c>
      <c r="AE43" s="40"/>
      <c r="AF43" s="40"/>
      <c r="AG43" s="40"/>
      <c r="AH43" s="40"/>
      <c r="AI43" s="40"/>
      <c r="AJ43" s="40"/>
    </row>
    <row r="44" spans="2:36" s="41" customFormat="1" ht="121.5" customHeight="1" x14ac:dyDescent="0.3">
      <c r="B44" s="35" t="s">
        <v>184</v>
      </c>
      <c r="C44" s="38" t="s">
        <v>248</v>
      </c>
      <c r="D44" s="35" t="s">
        <v>51</v>
      </c>
      <c r="E44" s="35" t="s">
        <v>52</v>
      </c>
      <c r="F44" s="35" t="s">
        <v>53</v>
      </c>
      <c r="G44" s="38" t="s">
        <v>185</v>
      </c>
      <c r="H44" s="38"/>
      <c r="I44" s="37" t="s">
        <v>249</v>
      </c>
      <c r="J44" s="37"/>
      <c r="K44" s="37" t="s">
        <v>56</v>
      </c>
      <c r="L44" s="35"/>
      <c r="M44" s="35"/>
      <c r="N44" s="35"/>
      <c r="O44" s="35"/>
      <c r="P44" s="35" t="e">
        <f>[1]!Tableau32[[#This Row],[HJ Dev]]*(25%+25%)</f>
        <v>#REF!</v>
      </c>
      <c r="Q44" s="35" t="e">
        <f>[1]!Tableau32[[#This Row],[HJ Analyse et test]]+[1]!Tableau32[[#This Row],[HJ Dev]]</f>
        <v>#REF!</v>
      </c>
      <c r="R44" s="35" t="e">
        <f>[1]!Tableau32[[#This Row],[Total HJ]]*8</f>
        <v>#REF!</v>
      </c>
      <c r="S44" s="40"/>
      <c r="T44" s="40"/>
      <c r="U44" s="40"/>
      <c r="V44" s="40"/>
      <c r="W44" s="40"/>
      <c r="X44" s="40"/>
      <c r="Y44" s="40"/>
      <c r="Z44" s="40" t="s">
        <v>57</v>
      </c>
      <c r="AA44" s="40" t="s">
        <v>58</v>
      </c>
      <c r="AB44" s="36">
        <v>5</v>
      </c>
      <c r="AC44" s="40">
        <f>Tableau3[[#This Row],[HJ Dev]]*(50%+25%)</f>
        <v>3.75</v>
      </c>
      <c r="AD44" s="36">
        <f>Tableau3[[#This Row],[HJ Dev]]+Tableau3[[#This Row],[HJ Analyse et test]]</f>
        <v>8.75</v>
      </c>
      <c r="AE44" s="40"/>
      <c r="AF44" s="40"/>
      <c r="AG44" s="40"/>
      <c r="AH44" s="40"/>
      <c r="AI44" s="40"/>
      <c r="AJ44" s="40"/>
    </row>
    <row r="45" spans="2:36" x14ac:dyDescent="0.3">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f>SUBTOTAL(109,AB13:AB44)</f>
        <v>131</v>
      </c>
      <c r="AC45" s="10">
        <f>SUBTOTAL(109,AC13:AC44)</f>
        <v>93.25</v>
      </c>
      <c r="AD45" s="25">
        <f>SUBTOTAL(109,AD13:AD44)</f>
        <v>224.25</v>
      </c>
      <c r="AE45" s="10"/>
      <c r="AF45" s="10"/>
      <c r="AG45" s="10"/>
      <c r="AH45" s="10"/>
      <c r="AI45" s="10"/>
      <c r="AJ45" s="10"/>
    </row>
  </sheetData>
  <mergeCells count="6">
    <mergeCell ref="AE2:AJ2"/>
    <mergeCell ref="B2:AA2"/>
    <mergeCell ref="D5:I5"/>
    <mergeCell ref="AB2:AD2"/>
    <mergeCell ref="D6:E6"/>
    <mergeCell ref="B3:D4"/>
  </mergeCells>
  <phoneticPr fontId="2" type="noConversion"/>
  <dataValidations count="2">
    <dataValidation type="decimal" operator="greaterThanOrEqual" allowBlank="1" showInputMessage="1" showErrorMessage="1" sqref="AC13:AD13 AB13:AB44" xr:uid="{AE768ACE-E087-44E4-A709-BFAF8B9446F7}">
      <formula1>0</formula1>
    </dataValidation>
    <dataValidation type="whole" operator="greaterThanOrEqual" allowBlank="1" showInputMessage="1" showErrorMessage="1" sqref="AD14:AD44 O13:R44"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D13:D44</xm:sqref>
        </x14:dataValidation>
        <x14:dataValidation type="list" allowBlank="1" showInputMessage="1" showErrorMessage="1" xr:uid="{9D4ED8CA-0432-41F4-A501-C44532B178DB}">
          <x14:formula1>
            <xm:f>Params!$H$14:$H$19</xm:f>
          </x14:formula1>
          <xm:sqref>E13:E44</xm:sqref>
        </x14:dataValidation>
        <x14:dataValidation type="list" allowBlank="1" showInputMessage="1" showErrorMessage="1" xr:uid="{FA978F80-7E5C-424E-9777-F280C57E27CC}">
          <x14:formula1>
            <xm:f>Params!$C$3:$C$7</xm:f>
          </x14:formula1>
          <xm:sqref>F13:F44</xm:sqref>
        </x14:dataValidation>
        <x14:dataValidation type="list" allowBlank="1" showInputMessage="1" showErrorMessage="1" xr:uid="{EEAE817C-A869-4F83-BC36-7B714A6F7B15}">
          <x14:formula1>
            <xm:f>Params!$G$3:$G$4</xm:f>
          </x14:formula1>
          <xm:sqref>K13:K44</xm:sqref>
        </x14:dataValidation>
        <x14:dataValidation type="list" allowBlank="1" showInputMessage="1" showErrorMessage="1" xr:uid="{79A4A5D3-E1BF-45F6-A99A-067585AB9CB9}">
          <x14:formula1>
            <xm:f>Params!$F$3:$F$4</xm:f>
          </x14:formula1>
          <xm:sqref>AA13:AA44</xm:sqref>
        </x14:dataValidation>
        <x14:dataValidation type="list" allowBlank="1" showInputMessage="1" showErrorMessage="1" xr:uid="{1F2CF1C1-BE35-4DC9-A975-F49F788F3D6A}">
          <x14:formula1>
            <xm:f>Params!$G$3:$G$6</xm:f>
          </x14:formula1>
          <xm:sqref>S13:Y44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E14" sqref="E14"/>
    </sheetView>
  </sheetViews>
  <sheetFormatPr baseColWidth="10" defaultColWidth="11.453125" defaultRowHeight="14.5" x14ac:dyDescent="0.35"/>
  <cols>
    <col min="1" max="1" width="16.54296875" style="2" customWidth="1"/>
    <col min="2" max="2" width="19.54296875" style="2" customWidth="1"/>
    <col min="3" max="3" width="11.453125" style="2"/>
    <col min="4" max="4" width="67.81640625" style="2" customWidth="1"/>
    <col min="5" max="5" width="15.81640625" style="2" customWidth="1"/>
    <col min="6" max="6" width="21.1796875" style="2" customWidth="1"/>
    <col min="7" max="7" width="16.54296875" style="2" customWidth="1"/>
    <col min="8" max="16384" width="11.453125" style="2"/>
  </cols>
  <sheetData>
    <row r="2" spans="1:7" ht="15" thickBot="1" x14ac:dyDescent="0.4"/>
    <row r="3" spans="1:7" ht="24" customHeight="1" thickBot="1" x14ac:dyDescent="0.4">
      <c r="A3" s="2" t="s">
        <v>186</v>
      </c>
      <c r="B3" s="54" t="s">
        <v>0</v>
      </c>
      <c r="C3" s="55"/>
      <c r="D3" s="55"/>
      <c r="E3" s="55"/>
      <c r="F3" s="55"/>
      <c r="G3" s="56"/>
    </row>
    <row r="4" spans="1:7" x14ac:dyDescent="0.35">
      <c r="B4" s="4"/>
      <c r="C4" s="5"/>
      <c r="D4" s="5"/>
      <c r="E4" s="5"/>
      <c r="F4" s="5"/>
      <c r="G4" s="5"/>
    </row>
    <row r="5" spans="1:7" x14ac:dyDescent="0.35">
      <c r="B5" s="4" t="str">
        <f>'Gestion Exigences'!C5</f>
        <v>Client</v>
      </c>
      <c r="C5" s="13" t="str">
        <f>'Gestion Exigences'!D5</f>
        <v>COGITEL</v>
      </c>
      <c r="D5" s="5"/>
      <c r="E5" s="5"/>
      <c r="F5" s="5"/>
      <c r="G5" s="5"/>
    </row>
    <row r="6" spans="1:7" x14ac:dyDescent="0.35">
      <c r="B6" s="4" t="str">
        <f>'Gestion Exigences'!C6</f>
        <v>Projet</v>
      </c>
      <c r="C6" s="13" t="str">
        <f>'Gestion Exigences'!D6</f>
        <v>Digitalisation Atelier Découpe</v>
      </c>
      <c r="D6" s="5"/>
      <c r="E6" s="5"/>
      <c r="F6" s="5"/>
      <c r="G6" s="5"/>
    </row>
    <row r="7" spans="1:7" x14ac:dyDescent="0.35">
      <c r="B7" s="4" t="str">
        <f>'Gestion Exigences'!C7</f>
        <v>Réf BPA du Devis</v>
      </c>
      <c r="C7" s="13">
        <f>'Gestion Exigences'!D7</f>
        <v>0</v>
      </c>
      <c r="D7" s="5"/>
      <c r="E7" s="5"/>
      <c r="F7" s="5"/>
      <c r="G7" s="5"/>
    </row>
    <row r="8" spans="1:7" x14ac:dyDescent="0.35">
      <c r="B8" s="4" t="str">
        <f>'Gestion Exigences'!C8</f>
        <v>Réf BPA du Projet</v>
      </c>
      <c r="C8" s="13">
        <f>'Gestion Exigences'!D8</f>
        <v>0</v>
      </c>
      <c r="D8" s="5"/>
      <c r="E8" s="5"/>
      <c r="F8" s="5"/>
      <c r="G8" s="5"/>
    </row>
    <row r="9" spans="1:7" x14ac:dyDescent="0.35">
      <c r="B9" s="12" t="str">
        <f>'Gestion Exigences'!C9</f>
        <v>Réf Modèle Document</v>
      </c>
      <c r="C9" s="14" t="str">
        <f>'Gestion Exigences'!D9</f>
        <v>MD203</v>
      </c>
      <c r="D9" s="5"/>
      <c r="E9" s="5"/>
      <c r="F9" s="5"/>
      <c r="G9" s="5"/>
    </row>
    <row r="10" spans="1:7" x14ac:dyDescent="0.35">
      <c r="B10" s="12" t="str">
        <f>'Gestion Exigences'!C10</f>
        <v>Version Modèle Document</v>
      </c>
      <c r="C10" s="14" t="str">
        <f>'Gestion Exigences'!D10</f>
        <v>V1.5</v>
      </c>
      <c r="D10" s="5"/>
      <c r="E10" s="5"/>
      <c r="F10" s="5"/>
      <c r="G10" s="5"/>
    </row>
    <row r="11" spans="1:7" x14ac:dyDescent="0.35">
      <c r="B11" s="4"/>
      <c r="C11" s="5"/>
      <c r="D11" s="5"/>
      <c r="E11" s="5"/>
      <c r="F11" s="5"/>
      <c r="G11" s="5"/>
    </row>
    <row r="12" spans="1:7" x14ac:dyDescent="0.35">
      <c r="B12" s="4"/>
      <c r="C12" s="5"/>
      <c r="D12" s="5"/>
      <c r="E12" s="5"/>
      <c r="F12" s="5"/>
      <c r="G12" s="5"/>
    </row>
    <row r="13" spans="1:7" x14ac:dyDescent="0.35">
      <c r="B13" s="15" t="s">
        <v>187</v>
      </c>
      <c r="C13" s="15" t="s">
        <v>188</v>
      </c>
      <c r="D13" s="15" t="s">
        <v>189</v>
      </c>
      <c r="E13" s="15" t="s">
        <v>190</v>
      </c>
      <c r="F13" s="15" t="s">
        <v>191</v>
      </c>
      <c r="G13" s="15" t="s">
        <v>192</v>
      </c>
    </row>
    <row r="14" spans="1:7" x14ac:dyDescent="0.35">
      <c r="B14" s="6" t="s">
        <v>193</v>
      </c>
      <c r="C14" s="7">
        <v>44741</v>
      </c>
      <c r="D14" s="21" t="s">
        <v>194</v>
      </c>
      <c r="E14" s="6" t="s">
        <v>195</v>
      </c>
      <c r="F14" s="20" t="s">
        <v>196</v>
      </c>
      <c r="G14" s="6" t="s">
        <v>197</v>
      </c>
    </row>
    <row r="15" spans="1:7" x14ac:dyDescent="0.35">
      <c r="B15" s="2" t="s">
        <v>198</v>
      </c>
      <c r="C15" s="23">
        <v>44978</v>
      </c>
      <c r="D15" s="2" t="s">
        <v>199</v>
      </c>
      <c r="E15" s="6" t="s">
        <v>195</v>
      </c>
      <c r="F15" s="2" t="s">
        <v>57</v>
      </c>
      <c r="G15" s="2" t="s">
        <v>197</v>
      </c>
    </row>
    <row r="16" spans="1:7" ht="58" x14ac:dyDescent="0.35">
      <c r="B16" s="2" t="s">
        <v>200</v>
      </c>
      <c r="C16" s="23">
        <v>45021</v>
      </c>
      <c r="D16" s="24" t="s">
        <v>201</v>
      </c>
      <c r="E16" s="6" t="s">
        <v>195</v>
      </c>
      <c r="F16" s="24" t="s">
        <v>202</v>
      </c>
      <c r="G16" s="24" t="s">
        <v>197</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I4" sqref="I4"/>
    </sheetView>
  </sheetViews>
  <sheetFormatPr baseColWidth="10" defaultColWidth="11.453125" defaultRowHeight="13" x14ac:dyDescent="0.25"/>
  <cols>
    <col min="1" max="1" width="11.453125" style="10"/>
    <col min="2" max="3" width="19.81640625" style="10" customWidth="1"/>
    <col min="4" max="4" width="21.54296875" style="10" customWidth="1"/>
    <col min="5" max="5" width="11.453125" style="10"/>
    <col min="6" max="6" width="16.1796875" style="10" customWidth="1"/>
    <col min="7" max="16384" width="11.453125" style="10"/>
  </cols>
  <sheetData>
    <row r="2" spans="2:9" ht="26" x14ac:dyDescent="0.25">
      <c r="B2" s="11" t="s">
        <v>16</v>
      </c>
      <c r="C2" s="11" t="s">
        <v>203</v>
      </c>
      <c r="D2" s="11" t="s">
        <v>20</v>
      </c>
      <c r="E2" s="11" t="s">
        <v>204</v>
      </c>
      <c r="F2" s="11" t="s">
        <v>39</v>
      </c>
      <c r="G2" s="11" t="s">
        <v>205</v>
      </c>
      <c r="H2" s="11" t="s">
        <v>17</v>
      </c>
      <c r="I2" s="10" t="s">
        <v>206</v>
      </c>
    </row>
    <row r="3" spans="2:9" x14ac:dyDescent="0.25">
      <c r="B3" s="10" t="s">
        <v>51</v>
      </c>
      <c r="C3" s="10" t="s">
        <v>53</v>
      </c>
      <c r="D3" s="10" t="s">
        <v>207</v>
      </c>
      <c r="E3" s="10" t="s">
        <v>208</v>
      </c>
      <c r="F3" s="10" t="s">
        <v>209</v>
      </c>
      <c r="G3" s="10" t="s">
        <v>56</v>
      </c>
      <c r="H3" s="10" t="s">
        <v>210</v>
      </c>
      <c r="I3" s="10" t="s">
        <v>211</v>
      </c>
    </row>
    <row r="4" spans="2:9" ht="26" x14ac:dyDescent="0.25">
      <c r="B4" s="10" t="s">
        <v>212</v>
      </c>
      <c r="C4" s="10" t="s">
        <v>213</v>
      </c>
      <c r="D4" s="10" t="s">
        <v>214</v>
      </c>
      <c r="E4" s="10" t="s">
        <v>215</v>
      </c>
      <c r="F4" s="10" t="s">
        <v>58</v>
      </c>
      <c r="G4" s="10" t="s">
        <v>216</v>
      </c>
      <c r="H4" s="10" t="s">
        <v>217</v>
      </c>
      <c r="I4" s="10" t="s">
        <v>218</v>
      </c>
    </row>
    <row r="5" spans="2:9" x14ac:dyDescent="0.25">
      <c r="B5" s="10" t="s">
        <v>219</v>
      </c>
      <c r="C5" s="10" t="s">
        <v>220</v>
      </c>
      <c r="D5" s="10" t="s">
        <v>221</v>
      </c>
      <c r="E5" s="10" t="s">
        <v>222</v>
      </c>
      <c r="H5" s="10" t="s">
        <v>223</v>
      </c>
    </row>
    <row r="6" spans="2:9" x14ac:dyDescent="0.25">
      <c r="B6" s="10" t="s">
        <v>224</v>
      </c>
      <c r="C6" s="10" t="s">
        <v>225</v>
      </c>
      <c r="D6" s="10" t="s">
        <v>226</v>
      </c>
      <c r="H6" s="10" t="s">
        <v>227</v>
      </c>
    </row>
    <row r="7" spans="2:9" x14ac:dyDescent="0.25">
      <c r="B7" s="10" t="s">
        <v>228</v>
      </c>
      <c r="C7" s="10" t="s">
        <v>229</v>
      </c>
      <c r="D7" s="10" t="s">
        <v>230</v>
      </c>
      <c r="H7" s="10" t="s">
        <v>231</v>
      </c>
    </row>
    <row r="8" spans="2:9" x14ac:dyDescent="0.25">
      <c r="B8" s="10" t="s">
        <v>232</v>
      </c>
      <c r="D8" s="10" t="s">
        <v>233</v>
      </c>
      <c r="H8" s="10" t="s">
        <v>234</v>
      </c>
    </row>
    <row r="9" spans="2:9" x14ac:dyDescent="0.25">
      <c r="D9" s="10" t="s">
        <v>235</v>
      </c>
      <c r="H9" s="10" t="s">
        <v>236</v>
      </c>
    </row>
    <row r="10" spans="2:9" x14ac:dyDescent="0.25">
      <c r="H10" s="10" t="s">
        <v>237</v>
      </c>
    </row>
    <row r="11" spans="2:9" x14ac:dyDescent="0.25">
      <c r="H11" s="10" t="s">
        <v>238</v>
      </c>
    </row>
    <row r="13" spans="2:9" x14ac:dyDescent="0.25">
      <c r="H13" s="10" t="s">
        <v>239</v>
      </c>
    </row>
    <row r="14" spans="2:9" x14ac:dyDescent="0.25">
      <c r="H14" s="10" t="s">
        <v>240</v>
      </c>
    </row>
    <row r="15" spans="2:9" ht="26" x14ac:dyDescent="0.25">
      <c r="H15" s="10" t="s">
        <v>52</v>
      </c>
    </row>
    <row r="16" spans="2:9" ht="39" x14ac:dyDescent="0.25">
      <c r="H16" s="10" t="s">
        <v>241</v>
      </c>
    </row>
    <row r="17" spans="8:8" ht="26" x14ac:dyDescent="0.25">
      <c r="H17" s="10" t="s">
        <v>242</v>
      </c>
    </row>
    <row r="18" spans="8:8" x14ac:dyDescent="0.25">
      <c r="H18" s="10" t="s">
        <v>243</v>
      </c>
    </row>
    <row r="19" spans="8:8" x14ac:dyDescent="0.25">
      <c r="H19" s="10" t="s">
        <v>244</v>
      </c>
    </row>
    <row r="21" spans="8:8" x14ac:dyDescent="0.25">
      <c r="H21" s="10" t="s">
        <v>245</v>
      </c>
    </row>
    <row r="22" spans="8:8" ht="26" x14ac:dyDescent="0.25">
      <c r="H22" s="10" t="s">
        <v>246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43b908ec-9e92-424c-a4ad-3174bac6e888"/>
    <ds:schemaRef ds:uri="5f2f9e80-f74a-40c7-b145-b94d8e4966f0"/>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DE448B58-06FE-463A-BBF2-903B78F3AC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2024-12-13T12:16:31Z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