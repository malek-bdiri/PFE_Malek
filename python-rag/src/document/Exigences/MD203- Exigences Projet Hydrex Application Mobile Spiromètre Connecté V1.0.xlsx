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omsoftware.sharepoint.com/sites/Commercial/Documents partages/04 Clients/007 PEC/16 Application Mobile Spiromètre Connecté/2 Préparation Offre/"/>
    </mc:Choice>
  </mc:AlternateContent>
  <xr:revisionPtr revIDLastSave="1" documentId="8_{D9E69391-C82E-4729-B338-5FA47F01CBE1}" xr6:coauthVersionLast="47" xr6:coauthVersionMax="47" xr10:uidLastSave="{6E7E1D7A-D0A9-44EA-9191-BADD57C3D2FE}"/>
  <bookViews>
    <workbookView xWindow="-108" yWindow="-108" windowWidth="23256" windowHeight="12456" tabRatio="620" xr2:uid="{00000000-000D-0000-FFFF-FFFF00000000}"/>
  </bookViews>
  <sheets>
    <sheet name="Gestion Exigences Détaillée" sheetId="31" r:id="rId1"/>
    <sheet name="Gestion Exigences" sheetId="27" r:id="rId2"/>
    <sheet name="Params" sheetId="30" r:id="rId3"/>
    <sheet name="Modifs Doc" sheetId="29" r:id="rId4"/>
  </sheets>
  <definedNames>
    <definedName name="_xlnm.Print_Area" localSheetId="1">'Gestion Exigences'!$D$2:$J$21</definedName>
    <definedName name="_xlnm.Print_Area" localSheetId="0">'Gestion Exigences'!$D$2:$J$21</definedName>
    <definedName name="_xlnm.Print_Area" localSheetId="3">'Modifs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31" l="1"/>
  <c r="J14" i="31" s="1"/>
  <c r="I15" i="31"/>
  <c r="J15" i="31" s="1"/>
  <c r="I16" i="31"/>
  <c r="J16" i="31" s="1"/>
  <c r="I17" i="31"/>
  <c r="J17" i="31" s="1"/>
  <c r="I18" i="31"/>
  <c r="J18" i="31" s="1"/>
  <c r="I19" i="31"/>
  <c r="J19" i="31" s="1"/>
  <c r="I20" i="31"/>
  <c r="J20" i="31" s="1"/>
  <c r="I21" i="31"/>
  <c r="J21" i="31" s="1"/>
  <c r="I22" i="31"/>
  <c r="J22" i="31" s="1"/>
  <c r="I23" i="31"/>
  <c r="J23" i="31" s="1"/>
  <c r="I24" i="31"/>
  <c r="J24" i="31" s="1"/>
  <c r="I25" i="31"/>
  <c r="J25" i="31" s="1"/>
  <c r="I26" i="31"/>
  <c r="J26" i="31" s="1"/>
  <c r="I27" i="31"/>
  <c r="J27" i="31" s="1"/>
  <c r="I28" i="31"/>
  <c r="J28" i="31" s="1"/>
  <c r="I29" i="31"/>
  <c r="I30" i="31"/>
  <c r="J30" i="31" s="1"/>
  <c r="I31" i="31"/>
  <c r="J31" i="31" s="1"/>
  <c r="I32" i="31"/>
  <c r="J32" i="31" s="1"/>
  <c r="I33" i="31"/>
  <c r="J33" i="31" s="1"/>
  <c r="I34" i="31"/>
  <c r="J34" i="31" s="1"/>
  <c r="I35" i="31"/>
  <c r="J35" i="31" s="1"/>
  <c r="I36" i="31"/>
  <c r="J36" i="31" s="1"/>
  <c r="I37" i="31"/>
  <c r="J37" i="31" s="1"/>
  <c r="I38" i="31"/>
  <c r="J38" i="31" s="1"/>
  <c r="I39" i="31"/>
  <c r="J39" i="31" s="1"/>
  <c r="I40" i="31"/>
  <c r="J40" i="31" s="1"/>
  <c r="J29" i="31"/>
  <c r="H42" i="31"/>
  <c r="H43" i="31" s="1"/>
  <c r="D5" i="29"/>
  <c r="D6" i="29"/>
  <c r="D7" i="29"/>
  <c r="D8" i="29"/>
  <c r="C10" i="29"/>
  <c r="C11" i="29"/>
  <c r="B6" i="29"/>
  <c r="B7" i="29"/>
  <c r="B8" i="29"/>
  <c r="B10" i="29"/>
  <c r="B11" i="29"/>
  <c r="B5" i="29"/>
  <c r="J41" i="31" l="1"/>
  <c r="R27" i="27"/>
</calcChain>
</file>

<file path=xl/sharedStrings.xml><?xml version="1.0" encoding="utf-8"?>
<sst xmlns="http://schemas.openxmlformats.org/spreadsheetml/2006/main" count="401" uniqueCount="228">
  <si>
    <t>Gestion Exigences Projet</t>
  </si>
  <si>
    <t>Chiffrage Réalisation (SF only)</t>
  </si>
  <si>
    <t>BU</t>
  </si>
  <si>
    <t>SF</t>
  </si>
  <si>
    <t>Client</t>
  </si>
  <si>
    <t xml:space="preserve">Hydrex International </t>
  </si>
  <si>
    <t>Projet</t>
  </si>
  <si>
    <t>Application Mobile Spiromètre Connecté</t>
  </si>
  <si>
    <t>Réf BPA du Devis</t>
  </si>
  <si>
    <t>Zone de saisie</t>
  </si>
  <si>
    <t>Réf BPA du Projet</t>
  </si>
  <si>
    <t>Réf Modèle Document</t>
  </si>
  <si>
    <t>Confidentiel | Usage Client Limité</t>
  </si>
  <si>
    <t>Version Modèle Document</t>
  </si>
  <si>
    <t>ID</t>
  </si>
  <si>
    <t>Intitulé Exigence</t>
  </si>
  <si>
    <t>Description de l'exigence</t>
  </si>
  <si>
    <t>Description de la solution MOMsoft</t>
  </si>
  <si>
    <t>Ecart entre exigence client et la solution proposée - préciser aussi les limites et hypothèses si applicable</t>
  </si>
  <si>
    <t>MVP</t>
  </si>
  <si>
    <t>HJ Dev</t>
  </si>
  <si>
    <t>Notes</t>
  </si>
  <si>
    <t>E001</t>
  </si>
  <si>
    <t>Accés Admin</t>
  </si>
  <si>
    <t>Gérer les utilisateurs</t>
  </si>
  <si>
    <t xml:space="preserve">-Créer, modifier et supprimer des utilisateurs,
</t>
  </si>
  <si>
    <t>Oui</t>
  </si>
  <si>
    <t>E002</t>
  </si>
  <si>
    <t>Consulter Historique utilisation</t>
  </si>
  <si>
    <t>-Consulter l’historique d’utilisation : savoir l’application a été utilisée, par quel utilisateur, sur quel type de spiromètre et à quel endroit,</t>
  </si>
  <si>
    <t>Non</t>
  </si>
  <si>
    <t>E003</t>
  </si>
  <si>
    <t>Connexion et identification</t>
  </si>
  <si>
    <t xml:space="preserve">Création de compte patient (Nom, Prénom, Date de naissance, Email, mot de passe).
</t>
  </si>
  <si>
    <t xml:space="preserve">- La solution propose la création d’un compte patient via un formulaire d’inscription comprenant les champs obligatoires : Nom, Prénom, Date de naissance, Email et mot de passe. Une validation de l’adresse email est effectuée afin de sécuriser l’activation du compte. Les mots de passe sont stockés de manière chiffrée (hash + salt).
</t>
  </si>
  <si>
    <t xml:space="preserve">
- Le patient fournit un email valide et accepte les CGU et consentements RGPD.
</t>
  </si>
  <si>
    <t>E004</t>
  </si>
  <si>
    <t>Paramètrage de l'authentification biomètrique.</t>
  </si>
  <si>
    <t>- La solution permet d’activer une authentification biométrique (empreinte digitale ou reconnaissance faciale) après la première connexion, en s’appuyant sur les mécanismes natifs du smartphone.</t>
  </si>
  <si>
    <t>E005</t>
  </si>
  <si>
    <t>Questionnaire de configuration médicale (taille, poids, pathologie).</t>
  </si>
  <si>
    <t>- La solution propose un questionnaire médical de configuration lors de la première utilisation, afin de recueillir les informations de base (taille, poids, pathologie). Ces données sont stockées de façon sécurisée et peuvent être mises à jour ultérieurement.</t>
  </si>
  <si>
    <t>E006</t>
  </si>
  <si>
    <t>Ajout des coordonnées du médecin (email, téléphone, établissement).</t>
  </si>
  <si>
    <t>-La solution permet d’ajouter les coordonnées du médecin référent (nom, email, téléphone, établissement) afin de faciliter le partage des rapports.</t>
  </si>
  <si>
    <t>E007</t>
  </si>
  <si>
    <t>Accès sécurisé (conformes RGPD et norme santé : chiffrement des données locales et transmises).</t>
  </si>
  <si>
    <t>- La solution garantit un accès sécurisé : chiffrement des données en local (base sécurisée sur le smartphone) et lors des transmissions (TLS/SSL). Elle respecte le RGPD et prévoit l’utilisation d’un hébergeur certifié HDS pour les données de santé stockées dans le cloud.</t>
  </si>
  <si>
    <t>E008</t>
  </si>
  <si>
    <t>Connexion au spiromètre</t>
  </si>
  <si>
    <t>Option 1 : Scan QR Code → associe un dispositif identifié au compte patient.</t>
  </si>
  <si>
    <t>- Scan un ou plusieurs QR Code : le patient scanne le QR code du spiromètre pour l’associer automatiquement le ou les appareils de à son compte.</t>
  </si>
  <si>
    <t>E009</t>
  </si>
  <si>
    <t>Option 2 : NFC → simple appairage du spiromètre compatible NFC en approchant le téléphone.</t>
  </si>
  <si>
    <t>- NFC : l’application permet un appairage rapide du spiromètre compatible NFC simplement en approchant le téléphone.</t>
  </si>
  <si>
    <t>La connexion NFC nécessite que le smartphone du patient soit compatible NFC.</t>
  </si>
  <si>
    <t>E010</t>
  </si>
  <si>
    <t>Option 3 : Bluetooth LE (fallback) en cas d'échec des autres méthodes.</t>
  </si>
  <si>
    <t>- Bluetooth LE : utilisé comme solution de secours si le QR code ou NFC échouent, l’application permet l’appairage manuel via Bluetooth Low Energy.</t>
  </si>
  <si>
    <t>Le Bluetooth LE peut nécessiter une étape supplémentaire de validation ou d’autorisation selon les versions d’OS.</t>
  </si>
  <si>
    <t>E011</t>
  </si>
  <si>
    <t>Enregistrement des données respiratoires</t>
  </si>
  <si>
    <t>Synchronisation automatique à chaque utilisation.
Historisation des données : date, heure, type d'exercice, valeurs mesurées (VEMS, CVF, DEP selon dispositif).
Validation automatique de la qualité des mesures.
Stockage local + synchronisation cloud sécurisé.</t>
  </si>
  <si>
    <t>L’application permet de :
- Synchronisation automatique : les données sont synchronisées à chaque utilisation du spiromètre.
- Historisation des données : chaque enregistrement inclut la date, l’heure, le type d’exercice et les valeurs mesurées (VEMS, CVF, DEP selon le dispositif utilisé).
- Validation automatique : l’application contrôle automatiquement la qualité des mesures pour garantir la fiabilité des données.
- Stockage sécurisé : les données sont stockées localement sur le téléphone et synchronisées sur le cloud via un protocole sécurisé, garantissant confidentialité et accessibilité.</t>
  </si>
  <si>
    <t>E012</t>
  </si>
  <si>
    <t>Visualisation et suivi</t>
  </si>
  <si>
    <t xml:space="preserve">Tableaux de bord interactifs.
Graphiques montrant l'évolution journalière, hebdomadaire, mensuelle.
</t>
  </si>
  <si>
    <t>L’application offre des tableaux de bord interactifs permettant :
- Visualisation centralisée des mesures : accès rapide à toutes les données respiratoires.
- Graphiques d’évolution : affichage de l’évolution des valeurs respiratoires à l’échelle journalière, hebdomadaire et mensuelle.</t>
  </si>
  <si>
    <t>E013</t>
  </si>
  <si>
    <t>Comparaison par rapport aux valeurs de référence du patient.</t>
  </si>
  <si>
    <t>Comparaison avec les valeurs de référence : chaque mesure peut être comparée aux valeurs de référence personnalisées pour LE patient.</t>
  </si>
  <si>
    <t>E014</t>
  </si>
  <si>
    <t>Export PDF ou format médical standard (HL7, FHIR).</t>
  </si>
  <si>
    <t>Export des données : possibilité d’exporter les résultats au format PDF ou dans des formats médicaux standards (HL7, FHIR) pour intégration dans les dossiers patients ou partage avec les professionnels de santé.</t>
  </si>
  <si>
    <t>E015</t>
  </si>
  <si>
    <t>Partage et communication</t>
  </si>
  <si>
    <t>Génération d'un rapport complet (tableaux + graphiques + commentaires du patient).</t>
  </si>
  <si>
    <t>- La génération de rapports complets : chaque rapport inclut tableaux, graphiques et commentaires éventuels du patient.</t>
  </si>
  <si>
    <t>E016</t>
  </si>
  <si>
    <t>Envoi sécurisé par email au médecin référent.</t>
  </si>
  <si>
    <t>- L'envoi sécurisé : les rapports peuvent être envoyés directement par email au médecin référent via un canal sécurisé.</t>
  </si>
  <si>
    <t>E017</t>
  </si>
  <si>
    <t>Ergonomie différenciée</t>
  </si>
  <si>
    <t>Mode adulte : interface sobre, dashboards clairs, graphiques précis.</t>
  </si>
  <si>
    <r>
      <rPr>
        <sz val="10"/>
        <color rgb="FF000000"/>
        <rFont val="Calibri Light"/>
        <scheme val="major"/>
      </rPr>
      <t xml:space="preserve">L’application offre deux modes d’interface :
- Mode adulte : interface sobre et structurée, tableaux de bord clairs et graphiques précis pour un suivi efficace des mesures respiratoires.
</t>
    </r>
    <r>
      <rPr>
        <sz val="10"/>
        <color rgb="FF000000"/>
        <rFont val="Calibri Light"/>
        <scheme val="major"/>
      </rPr>
      <t xml:space="preserve">
</t>
    </r>
  </si>
  <si>
    <t>E018</t>
  </si>
  <si>
    <t>Mode enfant : interface visuelle, couleurs vives, avatars, gamification (badges, encouragements).</t>
  </si>
  <si>
    <t>- Mode enfant : interface ludique avec couleurs vives, avatars et éléments de gamification (badges, encouragements) pour motiver l’enfant à réaliser correctement les exercices.
Basculement entre modes :
   - Automatique : par défaut, l’application affiche le mode correspondant      au profil enregistré du patient en fonction de l'âge.
    - Manuel via toggle .</t>
  </si>
  <si>
    <t>E019</t>
  </si>
  <si>
    <t xml:space="preserve">
Accessibilité : taille des caractères adaptable, compatibilité Voice Over / TalkBack.
Design adaptatif pour les différentes tailles d'écran.</t>
  </si>
  <si>
    <t>Accessibilité et adaptabilité :
 -Taille des caractères adaptable selon les besoins de l’utilisateur.
 -Compatibilité avec Voice Over / TalkBack pour les malvoyants.
 -Design adaptatif sur différentes tailles d’écran.</t>
  </si>
  <si>
    <t>E020</t>
  </si>
  <si>
    <t>Compatibilité</t>
  </si>
  <si>
    <t>iOS (≥15), Android (≥11)</t>
  </si>
  <si>
    <t>L’application mobile sera développée en technologies hybrides natives pour permettre une exécution sur iOS ≥ 15 et Android ≥ 11. Les versions minimales sont définies pour garantir la stabilité, la sécurité et la compatibilité avec les API Bluetooth/NFC.</t>
  </si>
  <si>
    <t>E021</t>
  </si>
  <si>
    <t>Sécurité</t>
  </si>
  <si>
    <t>Données de santé cryptées AES-256
Transmission via HTTPS/TLS</t>
  </si>
  <si>
    <t>Toutes les données de santé générées par le spiromètre seront chiffrées en AES-256 avant stockage. Les échanges entre l’application et le cloud seront protégés par des connexions sécurisées HTTPS/TLS 1.2+. Les clés de chiffrement sont gérées dans un coffre-fort applicatif sécurisé.</t>
  </si>
  <si>
    <t>E022</t>
  </si>
  <si>
    <t>Hébergement</t>
  </si>
  <si>
    <t>Stockage cloud hébergé sur serveurs HDS agréés (Hébergement Données de Santé – France)</t>
  </si>
  <si>
    <t xml:space="preserve">Les données seront stockées dans un cloud certifié HDS (Hébergement Données de Santé – France). </t>
  </si>
  <si>
    <t>E023</t>
  </si>
  <si>
    <t>Normes réglementaires</t>
  </si>
  <si>
    <t xml:space="preserve">RGPD (UE) pour gestion des données personnelles
</t>
  </si>
  <si>
    <t>La gestion des données personnelle sera réalisée conformément au RGPD (droits d’accès, anonymisation, consentement).</t>
  </si>
  <si>
    <t>Registre des traitements
Analyse d'impact (PIA)
Politiques de confidentialité
Procédures de gestion des droits
Accords de sous-traitance</t>
  </si>
  <si>
    <t>E024</t>
  </si>
  <si>
    <t xml:space="preserve">Interopérabilité via standards médicaux (FHIR/HL7)
</t>
  </si>
  <si>
    <t>L’interopérabilité avec les systèmes de santé sera assurée via l’implémentation des standards FHIR et HL7 pour l’échange de données médicales.</t>
  </si>
  <si>
    <t>Guide d'implémentation
Profils FHIR utilisés
Mapping des données
Spécifications API</t>
  </si>
  <si>
    <t>E025</t>
  </si>
  <si>
    <t>Statut Réglementaire</t>
  </si>
  <si>
    <t>Application classée comme Dispositif Médical (Classe IIa)
Conformité au Règlement Européen 2017/745 (MDR)</t>
  </si>
  <si>
    <t>L’application sera destinée à être classée en tant que Dispositif Médical de Classe IIa conformément au règlement européen 2017/745 (MDR). Une documentation technique, un marquage CE et un plan de gestion des risques sont produits pour assurer la conformité réglementaire et permettre la mise sur le marché.</t>
  </si>
  <si>
    <t>Documentation technique complète
Rapports de validation clinique
Certificats de conformité
Manuel d'utilisation
Plan de vigilance</t>
  </si>
  <si>
    <t>Revue et Vérification Pendant la Conception</t>
  </si>
  <si>
    <t>S0-00xyz</t>
  </si>
  <si>
    <t>PR-22-0xyz</t>
  </si>
  <si>
    <t>MD203</t>
  </si>
  <si>
    <t>V1.5</t>
  </si>
  <si>
    <t>Objectifs</t>
  </si>
  <si>
    <t>Nature</t>
  </si>
  <si>
    <t>Catégorie</t>
  </si>
  <si>
    <t>Exigence identifiée pendant la phase</t>
  </si>
  <si>
    <t>Source</t>
  </si>
  <si>
    <t>Validation Interne</t>
  </si>
  <si>
    <t>Validation Interne par:</t>
  </si>
  <si>
    <t>Statut Client</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</si>
  <si>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</si>
  <si>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</si>
  <si>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</si>
  <si>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</si>
  <si>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</si>
  <si>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</si>
  <si>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</si>
  <si>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Suivre l'historique d'utilisation</t>
  </si>
  <si>
    <t>Fonctionnelle</t>
  </si>
  <si>
    <t>Commerciale</t>
  </si>
  <si>
    <t xml:space="preserve">Accés Admin </t>
  </si>
  <si>
    <t>CdC client</t>
  </si>
  <si>
    <t>la solution propose un module de gestion des utilisateurs et des rôles, permettant à l’administrateur de : 
-Créer, modifier et supprimer des utilisateurs,
-Attribuer ou modifier des rôles et permissions pour chaque utilisateur,
-Consulter l’historique d’utilisation : savoir l’application a été utilisée, par quel utilisateur, sur quel type de spiromètre et à quel endroit,</t>
  </si>
  <si>
    <t>Connecter leur spiromètre personnel à l'application via QR Code ou NFC.</t>
  </si>
  <si>
    <t>Création de compte patient (Nom, Prénom, Date de naissance, Email, mot de passe).
Authentification biométrique sur smartphone.
Questionnaire de configuration médicale (taille, poids, pathologie).
Ajout des coordonnées du médecin (email, téléphone, établissement).
Accès sécurisé (conformes RGPD et norme santé : chiffrement des données locales et transmises).</t>
  </si>
  <si>
    <t>- La solution propose la création d’un compte patient via un formulaire d’inscription comprenant les champs obligatoires : Nom, Prénom, Date de naissance, Email et mot de passe. Une validation de l’adresse email est effectuée afin de sécuriser l’activation du compte. Les mots de passe sont stockés de manière chiffrée (hash + salt).
- La solution permet d’activer une authentification biométrique (empreinte digitale ou reconnaissance faciale) après la première connexion, en s’appuyant sur les mécanismes natifs du smartphone.
- La solution propose un questionnaire médical de configuration lors de la première utilisation, afin de recueillir les informations de base (taille, poids, pathologie). Ces données sont stockées de façon sécurisée et peuvent être mises à jour ultérieurement.
-La solution permet d’ajouter les coordonnées du médecin référent (nom, email, téléphone, établissement) afin de faciliter le partage des rapports.
- La solution garantit un accès sécurisé : chiffrement des données en local (base sécurisée sur le smartphone) et lors des transmissions (TLS/SSL). Elle respecte le RGPD et prévoit l’utilisation d’un hébergeur certifié HDS pour les données de santé stockées dans le cloud.</t>
  </si>
  <si>
    <t>Authentification simple et sécurisé</t>
  </si>
  <si>
    <t>N/A</t>
  </si>
  <si>
    <t>Option 1 : Scan QR Code → associe un dispositif identifié au compte patient.
Option 2 : NFC → simple appairage du spiromètre compatible NFC en approchant le téléphone.
Option 3 : Bluetooth LE (fallback) en cas d'échec des autres méthodes.</t>
  </si>
  <si>
    <t>L’application permet de connecter le patient à son spiromètre via trois méthodes :
- Scan un ou plusieurs QR Code : le patient scanne le QR code du spiromètre pour l’associer automatiquement le ou les appareils de à son compte.
- NFC : l’application permet un appairage rapide du spiromètre compatible NFC simplement en approchant le téléphone.
- Bluetooth LE : utilisé comme solution de secours si le QR code ou NFC échouent, l’application permet l’appairage manuel via Bluetooth Low Energy.</t>
  </si>
  <si>
    <t>La connexion NFC nécessite que le smartphone du patient soit compatible NFC.
Le Bluetooth LE peut nécessiter une étape supplémentaire de validation ou d’autorisation selon les versions d’OS.</t>
  </si>
  <si>
    <t xml:space="preserve">Scan QR code pour lié l'application au modèle de spiromètre utilisé </t>
  </si>
  <si>
    <t>Collecter, stocker et visualiser leurs données respiratoires de manière sécurisée.</t>
  </si>
  <si>
    <t xml:space="preserve">Enregistrement simple et intuivtive de mesure donnée par le spiromètre </t>
  </si>
  <si>
    <t>Tableaux de bord interactifs.
Graphiques montrant l'évolution journalière, hebdomadaire, mensuelle.
Comparaison par rapport aux valeurs de référence du patient.
Export PDF ou format médical standard (HL7, FHIR).</t>
  </si>
  <si>
    <t>L’application offre des tableaux de bord interactifs permettant :
- Visualisation centralisée des mesures : accès rapide à toutes les données respiratoires.
- Graphiques d’évolution : affichage de l’évolution des valeurs respiratoires à l’échelle journalière, hebdomadaire et mensuelle.
- Comparaison avec les valeurs de référence : chaque mesure peut être comparée aux valeurs de référence personnalisées pour le patient.
- Export des données : possibilité d’exporter les résultats au format PDF ou dans des formats médicaux standards (HL7, FHIR) pour intégration dans les dossiers patients ou partage avec les professionnels de santé.</t>
  </si>
  <si>
    <t xml:space="preserve">Afficher un graphique présentant l'évolution des mesures au cours de temps </t>
  </si>
  <si>
    <t>Partager ces rapports directement avec le professionnel de santé (médecin traitant, pneumologue).</t>
  </si>
  <si>
    <t>Génération d'un rapport complet (tableaux + graphiques + commentaires du patient).
Envoi sécurisé par email au médecin référent.
Portail web dédié pour les professionnels de santé.
Notification au médecin (si système connecté).</t>
  </si>
  <si>
    <t>L’application permet  :
- La génération de rapports complets : chaque rapport inclut tableaux, graphiques et commentaires éventuels du patient.
- L'envoi sécurisé : les rapports peuvent être envoyés directement par email au médecin référent via un canal sécurisé.
- L'accés à un portail web pour professionnels de santé : les médecins peuvent consulter les données du patient via un portail web dédié et sécurisé.
- L'envoi des notifications : si le système est connecté, le professionnel reçoit une alerte lorsqu’un nouveau rapport est disponible.</t>
  </si>
  <si>
    <t>S'adapter à l'âge et au profil du patient grâce à une ergonomie différenciée.</t>
  </si>
  <si>
    <t>Mode adulte : interface sobre, dashboards clairs, graphiques précis.
Mode enfant : interface visuelle, couleurs vives, avatars, gamification (badges, encouragements).
Accessibilité : taille des caractères adaptable, compatibilité Voice Over / TalkBack.
Design adaptatif pour les différentes tailles d'écran.</t>
  </si>
  <si>
    <t>L’application offre deux modes d’interface :
- Mode adulte : interface sobre et structurée, tableaux de bord clairs et graphiques précis pour un suivi efficace des mesures respiratoires.
- Mode enfant : interface ludique avec couleurs vives, avatars et éléments de gamification (badges, encouragements) pour motiver l’enfant à réaliser correctement les exercices.
Basculement entre modes :
   - Automatique : par défaut, l’application affiche le mode correspondant      au profil enregistré du patient en fonction de l'âge.
    - Manuel via toggle .
Accessibilité et adaptabilité :
 -Taille des caractères adaptable selon les besoins de l’utilisateur.
 -Compatibilité avec Voice Over / TalkBack pour les malvoyants.
 -Design adaptatif sur différentes tailles d’écran.</t>
  </si>
  <si>
    <t>Standard Client</t>
  </si>
  <si>
    <t>Réglementaire</t>
  </si>
  <si>
    <t>Normes réglementaires pour la gestion des données personnelles</t>
  </si>
  <si>
    <t xml:space="preserve">Normes réglementaires pour Interopérabilité via standards médicaux </t>
  </si>
  <si>
    <t>Reglementaire</t>
  </si>
  <si>
    <t>Oui/Non</t>
  </si>
  <si>
    <t>Statut Interne</t>
  </si>
  <si>
    <t>SE</t>
  </si>
  <si>
    <t>Validée par le client</t>
  </si>
  <si>
    <t>Validée</t>
  </si>
  <si>
    <t>*** SE</t>
  </si>
  <si>
    <t>SE-TN</t>
  </si>
  <si>
    <t>Performance</t>
  </si>
  <si>
    <t>Conception</t>
  </si>
  <si>
    <t>Workshop/réunion client</t>
  </si>
  <si>
    <t>Non validée par client</t>
  </si>
  <si>
    <t>Non validée</t>
  </si>
  <si>
    <t>SE-Processus</t>
  </si>
  <si>
    <t>SE-MA</t>
  </si>
  <si>
    <t>Réalisation</t>
  </si>
  <si>
    <t>Workshop/réunion Interne</t>
  </si>
  <si>
    <t>SE-Mécanique</t>
  </si>
  <si>
    <t>Mise en œuvre</t>
  </si>
  <si>
    <t>Standards client</t>
  </si>
  <si>
    <t>SE-Electrique</t>
  </si>
  <si>
    <t>R&amp;D</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</si>
  <si>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</si>
  <si>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</si>
  <si>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</si>
  <si>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</si>
  <si>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</si>
  <si>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</si>
  <si>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</si>
  <si>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</si>
  <si>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</si>
  <si>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</si>
  <si>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</si>
  <si>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</si>
  <si>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</si>
  <si>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</si>
  <si>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SF-Fonctionnelle</t>
  </si>
  <si>
    <t>SF-Connectivité Machine</t>
  </si>
  <si>
    <t>SF-Intégration SI</t>
  </si>
  <si>
    <t>SF-Software</t>
  </si>
  <si>
    <t>SF-Infra IT</t>
  </si>
  <si>
    <t>*** TC</t>
  </si>
  <si>
    <t>TC-Prestations sur site client</t>
  </si>
  <si>
    <t xml:space="preserve"> </t>
  </si>
  <si>
    <t>Version</t>
  </si>
  <si>
    <t>Date</t>
  </si>
  <si>
    <t>Modifications</t>
  </si>
  <si>
    <t>Auteur(s)</t>
  </si>
  <si>
    <t>Vérificateur(s)</t>
  </si>
  <si>
    <t>Approbateur</t>
  </si>
  <si>
    <t>V1.0</t>
  </si>
  <si>
    <t xml:space="preserve">Version initiale </t>
  </si>
  <si>
    <t>Nihel K.</t>
  </si>
  <si>
    <t xml:space="preserve">Mahdi B. + Ferjania BA </t>
  </si>
  <si>
    <t>Imed A.</t>
  </si>
  <si>
    <t>Charge de projet en DT</t>
  </si>
  <si>
    <t>Total jours Dev/Test</t>
  </si>
  <si>
    <t>HJ Fonc</t>
  </si>
  <si>
    <t>HJ Total</t>
  </si>
  <si>
    <t>Connexion et identification MVP</t>
  </si>
  <si>
    <t>Connexion et identification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</si>
</sst>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charset val="1"/>
    </font>
    <font>
      <sz val="10"/>
      <color rgb="FF000000"/>
      <name val="Calibri Light"/>
      <scheme val="major"/>
    </font>
  </fonts>
  <fills count="10">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theme="8"/>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6" borderId="1" xfId="0" applyFont="1" applyFill="1" applyBorder="1" applyAlignment="1">
      <alignment vertical="center" wrapText="1"/>
    </xf>
    <xf numFmtId="0" fontId="10" fillId="6" borderId="2" xfId="0" applyFont="1" applyFill="1" applyBorder="1" applyAlignment="1">
      <alignment vertical="center" wrapText="1"/>
    </xf>
    <xf numFmtId="0" fontId="10" fillId="6" borderId="3" xfId="0" applyFont="1" applyFill="1" applyBorder="1" applyAlignment="1">
      <alignment vertical="center" wrapText="1"/>
    </xf>
    <xf numFmtId="0" fontId="18" fillId="0" borderId="0" xfId="0" applyFont="1" applyAlignment="1">
      <alignment vertical="center"/>
    </xf>
    <xf numFmtId="0" fontId="11" fillId="0" borderId="0" xfId="0" applyFont="1"/>
    <xf numFmtId="0" fontId="1" fillId="7" borderId="0" xfId="0" applyFont="1" applyFill="1" applyAlignment="1">
      <alignment vertical="center" wrapText="1"/>
    </xf>
    <xf numFmtId="0" fontId="12" fillId="2" borderId="3" xfId="0" applyFont="1" applyFill="1" applyBorder="1" applyAlignment="1">
      <alignment horizontal="center" wrapText="1"/>
    </xf>
    <xf numFmtId="0" fontId="4" fillId="4" borderId="1" xfId="0" applyFont="1" applyFill="1" applyBorder="1" applyAlignment="1">
      <alignment horizontal="center" wrapText="1"/>
    </xf>
    <xf numFmtId="0" fontId="18" fillId="8" borderId="0" xfId="0" applyFont="1" applyFill="1"/>
    <xf numFmtId="0" fontId="18" fillId="8" borderId="0" xfId="0" applyFont="1" applyFill="1" applyAlignment="1">
      <alignment wrapText="1"/>
    </xf>
    <xf numFmtId="0" fontId="18" fillId="0" borderId="0" xfId="0" applyFont="1"/>
    <xf numFmtId="0" fontId="19" fillId="0" borderId="0" xfId="0" applyFont="1" applyAlignment="1">
      <alignment vertical="center" wrapText="1"/>
    </xf>
    <xf numFmtId="0" fontId="4" fillId="4" borderId="2" xfId="0" applyFont="1" applyFill="1" applyBorder="1" applyAlignment="1">
      <alignment horizontal="center" wrapText="1"/>
    </xf>
    <xf numFmtId="0" fontId="11" fillId="9" borderId="5" xfId="0" applyFont="1" applyFill="1" applyBorder="1" applyAlignment="1">
      <alignment horizontal="center" vertical="center" wrapText="1"/>
    </xf>
    <xf numFmtId="0" fontId="11" fillId="9" borderId="0" xfId="0" applyFont="1" applyFill="1" applyAlignment="1">
      <alignment horizontal="center" vertical="center" wrapText="1"/>
    </xf>
    <xf numFmtId="0" fontId="11" fillId="2" borderId="0" xfId="0" applyFont="1" applyFill="1" applyAlignment="1">
      <alignment horizontal="center" vertical="center" wrapText="1"/>
    </xf>
    <xf numFmtId="0" fontId="4" fillId="6" borderId="1" xfId="0" applyFont="1" applyFill="1" applyBorder="1" applyAlignment="1">
      <alignment horizontal="center" wrapText="1"/>
    </xf>
    <xf numFmtId="0" fontId="4" fillId="6" borderId="2" xfId="0" applyFont="1" applyFill="1" applyBorder="1" applyAlignment="1">
      <alignment horizontal="center" wrapText="1"/>
    </xf>
    <xf numFmtId="0" fontId="11" fillId="2" borderId="5" xfId="0" applyFont="1" applyFill="1" applyBorder="1" applyAlignment="1">
      <alignment horizontal="center"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6"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78">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179294</xdr:colOff>
      <xdr:row>2</xdr:row>
      <xdr:rowOff>152400</xdr:rowOff>
    </xdr:from>
    <xdr:to>
      <xdr:col>2</xdr:col>
      <xdr:colOff>900810</xdr:colOff>
      <xdr:row>2</xdr:row>
      <xdr:rowOff>800019</xdr:rowOff>
    </xdr:to>
    <xdr:pic>
      <xdr:nvPicPr>
        <xdr:cNvPr id="2" name="Image 1">
          <a:extLst>
            <a:ext uri="{FF2B5EF4-FFF2-40B4-BE49-F238E27FC236}">
              <a16:creationId xmlns:a16="http://schemas.microsoft.com/office/drawing/2014/main" id="{41C7B36F-6F06-44EB-B67C-CE0A996852F9}"/>
            </a:ext>
          </a:extLst>
        </xdr:cNvPr>
        <xdr:cNvPicPr>
          <a:picLocks noChangeAspect="1"/>
        </xdr:cNvPicPr>
      </xdr:nvPicPr>
      <xdr:blipFill>
        <a:blip xmlns:r="http://schemas.openxmlformats.org/officeDocument/2006/relationships" r:embed="rId1"/>
        <a:stretch>
          <a:fillRect/>
        </a:stretch>
      </xdr:blipFill>
      <xdr:spPr>
        <a:xfrm>
          <a:off x="941294" y="590550"/>
          <a:ext cx="1131091" cy="6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179294</xdr:colOff>
      <xdr:row>2</xdr:row>
      <xdr:rowOff>152400</xdr:rowOff>
    </xdr:from>
    <xdr:to>
      <xdr:col>2</xdr:col>
      <xdr:colOff>900810</xdr:colOff>
      <xdr:row>2</xdr:row>
      <xdr:rowOff>800019</xdr:rowOff>
    </xdr:to>
    <xdr:pic>
      <xdr:nvPicPr>
        <xdr:cNvPr id="2" name="Image 1">
          <a:extLst>
            <a:ext uri="{FF2B5EF4-FFF2-40B4-BE49-F238E27FC236}">
              <a16:creationId xmlns:a16="http://schemas.microsoft.com/office/drawing/2014/main" id="{BF22D523-E68E-4358-0988-CFAF4E013C5D}"/>
            </a:ext>
          </a:extLst>
        </xdr:cNvPr>
        <xdr:cNvPicPr>
          <a:picLocks noChangeAspect="1"/>
        </xdr:cNvPicPr>
      </xdr:nvPicPr>
      <xdr:blipFill>
        <a:blip xmlns:r="http://schemas.openxmlformats.org/officeDocument/2006/relationships" r:embed="rId1"/>
        <a:stretch>
          <a:fillRect/>
        </a:stretch>
      </xdr:blipFill>
      <xdr:spPr>
        <a:xfrm>
          <a:off x="968188" y="609600"/>
          <a:ext cx="1142857" cy="64761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03691-522A-4AA8-908E-67BD95E93E05}" name="Tableau32" displayName="Tableau32" ref="B13:K41" totalsRowCount="1" headerRowDxfId="77" dataDxfId="76">
  <autoFilter ref="B13:K40" xr:uid="{DDEA2C8B-EE0D-4C55-9256-CCC64E002CE6}">
    <filterColumn colId="5">
      <filters>
        <filter val="Oui"/>
      </filters>
    </filterColumn>
  </autoFilter>
  <tableColumns count="10">
    <tableColumn id="1" xr3:uid="{495ED864-88E9-4336-8CD1-250EDDCB784B}" name="ID" dataDxfId="75" totalsRowDxfId="9"/>
    <tableColumn id="2" xr3:uid="{B59D1E49-D7B8-47A2-B45A-41EF912EF2E1}" name="Intitulé Exigence" dataDxfId="74" totalsRowDxfId="8"/>
    <tableColumn id="3" xr3:uid="{86EDC13B-2470-41ED-AA63-ACAE616F24D8}" name="Description de l'exigence" dataDxfId="73" totalsRowDxfId="7"/>
    <tableColumn id="16" xr3:uid="{94E8BDE3-8E8A-4D8C-BA2B-12CEB55FDA9C}" name="Description de la solution MOMsoft" dataDxfId="72" totalsRowDxfId="6"/>
    <tableColumn id="17" xr3:uid="{1E7435A5-C1C1-4E34-845D-17A5BFDEB2A3}" name="Ecart entre exigence client et la solution proposée - préciser aussi les limites et hypothèses si applicable" dataDxfId="71" totalsRowDxfId="5"/>
    <tableColumn id="24" xr3:uid="{B54CACE5-3651-498E-89C9-E8BDB7006E29}" name="MVP" dataDxfId="70" totalsRowDxfId="4"/>
    <tableColumn id="22" xr3:uid="{8A58352F-36C8-4331-A9BF-72855B58020F}" name="HJ Dev" dataDxfId="69" totalsRowDxfId="3"/>
    <tableColumn id="5" xr3:uid="{6501402E-26FB-49E4-A8A2-5D2DD1B70C07}" name="HJ Fonc" dataDxfId="68" totalsRowDxfId="2">
      <calculatedColumnFormula>Tableau32[[#This Row],[HJ Dev]]*0.5</calculatedColumnFormula>
    </tableColumn>
    <tableColumn id="6" xr3:uid="{502A7B41-7513-4FB6-82F3-A135811E6E8D}" name="HJ Total" totalsRowFunction="sum" dataDxfId="67" totalsRowDxfId="1">
      <calculatedColumnFormula>Tableau32[[#This Row],[HJ Dev]]+Tableau32[[#This Row],[HJ Fonc]]</calculatedColumnFormula>
    </tableColumn>
    <tableColumn id="4" xr3:uid="{DF727037-5AF9-4FE9-8F4F-69F47261AB58}" name="Notes" dataDxfId="66"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X27" totalsRowCount="1" headerRowDxfId="65" dataDxfId="64">
  <autoFilter ref="B13:X26" xr:uid="{DDEA2C8B-EE0D-4C55-9256-CCC64E002CE6}"/>
  <tableColumns count="23">
    <tableColumn id="1" xr3:uid="{E467E0EE-CDAA-4FF5-85A8-CDC0B23A5AD9}" name="ID" dataDxfId="63" totalsRowDxfId="62"/>
    <tableColumn id="19" xr3:uid="{C4E294AE-C0AD-4F8D-9A90-D8C4C486916B}" name="Objectifs" dataDxfId="61" totalsRowDxfId="60"/>
    <tableColumn id="2" xr3:uid="{E53952AC-4972-47BD-8B1D-C7EF23088D0D}" name="Intitulé Exigence" dataDxfId="59" totalsRowDxfId="58"/>
    <tableColumn id="8" xr3:uid="{B2D0BC2C-C803-4015-8FA6-70F84517BDB2}" name="Nature" dataDxfId="57" totalsRowDxfId="56"/>
    <tableColumn id="7" xr3:uid="{24F2F0ED-022E-4EC1-91D8-BFE0E4F2FD36}" name="Catégorie" dataDxfId="55" totalsRowDxfId="54"/>
    <tableColumn id="10" xr3:uid="{1FF81CF1-6D35-421C-8767-9E7FA06FEE6A}" name="Exigence identifiée pendant la phase" dataDxfId="53" totalsRowDxfId="52"/>
    <tableColumn id="3" xr3:uid="{E7621A68-9552-4853-96A5-92A226EA42DD}" name="Description de l'exigence" dataDxfId="51" totalsRowDxfId="50"/>
    <tableColumn id="9" xr3:uid="{E6EEEC82-3576-4980-94B3-1423906CE531}" name="Source" dataDxfId="49" totalsRowDxfId="48"/>
    <tableColumn id="16" xr3:uid="{1441554A-79F9-4040-9CF5-AEBFF7ADF7D1}" name="Description de la solution MOMsoft" dataDxfId="47" totalsRowDxfId="46"/>
    <tableColumn id="17" xr3:uid="{D1BC9C86-C3CE-417F-AC83-FC4786A7656D}" name="Ecart entre exigence client et la solution proposée - préciser aussi les limites et hypothèses si applicable" dataDxfId="45" totalsRowDxfId="44"/>
    <tableColumn id="24" xr3:uid="{197D7973-738D-44A9-BD53-7C5411BB24F5}" name="MVP" dataDxfId="43" totalsRowDxfId="42"/>
    <tableColumn id="5" xr3:uid="{2649C3B7-E8B9-44F9-8883-E5BB6F91B4B1}" name="Validation Interne" dataDxfId="41" totalsRowDxfId="40"/>
    <tableColumn id="6" xr3:uid="{8CC493F8-0886-498D-AB98-B77300CC6510}" name="Validation Interne par:" dataDxfId="39" totalsRowDxfId="38"/>
    <tableColumn id="15" xr3:uid="{78231C60-0932-4386-925D-4C689A91C0E3}" name="Statut Client" dataDxfId="37" totalsRowDxfId="36"/>
    <tableColumn id="22" xr3:uid="{D944A0FD-E468-407F-91A6-BD8A29086A7B}" name="HJ Dev" dataDxfId="35" totalsRowDxfId="34"/>
    <tableColumn id="21" xr3:uid="{818C68C5-1CC3-4DC9-9BB8-2CB7816ABE9F}" name="HJ Analyse et Test" dataDxfId="33" totalsRowDxfId="32"/>
    <tableColumn id="20" xr3:uid="{81CB5860-4285-4425-ABF9-C91F3323BF25}" name="Total HJ" totalsRowFunction="sum" dataDxfId="31" totalsRowDxfId="30"/>
    <tableColumn id="11" xr3:uid="{20685332-73A9-4B9D-874E-F1C9F770405F}" name="Description comment la conception de la solution prend en compte l'exigence client" dataDxfId="29" totalsRowDxfId="28"/>
    <tableColumn id="12" xr3:uid="{36B390F4-625A-46E1-864B-7108903FFD96}" name="Conception réalisée par:" dataDxfId="27" totalsRowDxfId="26"/>
    <tableColumn id="13" xr3:uid="{9016419E-83A5-4950-AB28-EA27A0D72FAD}" name="Revue conception réalisée par" dataDxfId="25" totalsRowDxfId="24"/>
    <tableColumn id="14" xr3:uid="{B5F29B7E-09EB-43EF-BD3D-9ADF38F7CC12}" name="Vérification de la conception réalisée par" dataDxfId="23" totalsRowDxfId="22"/>
    <tableColumn id="18" xr3:uid="{0CA25C90-64D6-43D5-90C8-CE6D70CCA638}" name="Preuve de vérification " dataDxfId="21" totalsRowDxfId="20"/>
    <tableColumn id="4" xr3:uid="{B7406A3A-A365-4F76-9A20-372573D19BC9}" name="Notes" dataDxfId="19" totalsRowDxfId="1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17" dataDxfId="16">
  <autoFilter ref="B13:G18" xr:uid="{96AD1385-A1F5-4391-ABC2-C9F250557626}"/>
  <tableColumns count="6">
    <tableColumn id="1" xr3:uid="{56DA355E-F205-482A-9CF1-CA3361A1D801}" name="Version" dataDxfId="15"/>
    <tableColumn id="2" xr3:uid="{C9D8A0D7-1D6E-479B-AF74-6D39D19E4653}" name="Date" dataDxfId="14"/>
    <tableColumn id="3" xr3:uid="{79109713-8A38-4162-A269-136157905B75}" name="Modifications" dataDxfId="13"/>
    <tableColumn id="4" xr3:uid="{AC928B3E-399C-4A3D-9FB5-9CD96F5D4745}" name="Auteur(s)" dataDxfId="12"/>
    <tableColumn id="5" xr3:uid="{0D0A428D-4F18-4D4E-A0CB-4D1A5057B6E9}" name="Vérificateur(s)" dataDxfId="11"/>
    <tableColumn id="6" xr3:uid="{D81EAB57-FBCA-44D9-8F45-58AF13AA08B6}" name="Approbateur" dataDxfId="1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D768-4A3D-4533-8A10-756DEBDCA7B5}">
  <sheetPr>
    <pageSetUpPr fitToPage="1"/>
  </sheetPr>
  <dimension ref="B1:K44"/>
  <sheetViews>
    <sheetView tabSelected="1" topLeftCell="A16" zoomScale="58" zoomScaleNormal="85" workbookViewId="0">
      <selection activeCell="H1" sqref="H1:H1048576"/>
    </sheetView>
  </sheetViews>
  <sheetFormatPr baseColWidth="10" defaultColWidth="11.44140625" defaultRowHeight="12.75" customHeight="1" x14ac:dyDescent="0.3"/>
  <cols>
    <col min="1" max="1" width="11.44140625" style="1"/>
    <col min="2" max="2" width="6.109375" style="1" customWidth="1"/>
    <col min="3" max="3" width="27.44140625" style="1" customWidth="1"/>
    <col min="4" max="5" width="56.5546875" style="1" customWidth="1"/>
    <col min="6" max="7" width="33.109375" style="1" customWidth="1"/>
    <col min="8" max="10" width="11.88671875" style="1" customWidth="1"/>
    <col min="11" max="11" width="30.88671875" style="1" customWidth="1"/>
    <col min="12" max="16384" width="11.44140625" style="1"/>
  </cols>
  <sheetData>
    <row r="1" spans="2:11" ht="14.4" thickBot="1" x14ac:dyDescent="0.35"/>
    <row r="2" spans="2:11" ht="21.75" customHeight="1" thickBot="1" x14ac:dyDescent="0.4">
      <c r="B2" s="47" t="s">
        <v>0</v>
      </c>
      <c r="C2" s="48"/>
      <c r="D2" s="48"/>
      <c r="E2" s="48"/>
      <c r="F2" s="48"/>
      <c r="G2" s="48"/>
      <c r="H2" s="38" t="s">
        <v>1</v>
      </c>
      <c r="I2" s="43"/>
      <c r="J2" s="43"/>
      <c r="K2" s="37"/>
    </row>
    <row r="3" spans="2:11" ht="66" customHeight="1" x14ac:dyDescent="0.3">
      <c r="C3" s="8"/>
      <c r="D3" s="8"/>
      <c r="E3" s="8"/>
    </row>
    <row r="4" spans="2:11" ht="21" customHeight="1" x14ac:dyDescent="0.3">
      <c r="B4" s="27" t="s">
        <v>2</v>
      </c>
      <c r="C4" s="29" t="s">
        <v>3</v>
      </c>
      <c r="D4" s="8"/>
      <c r="E4" s="8"/>
    </row>
    <row r="5" spans="2:11" ht="21.75" customHeight="1" x14ac:dyDescent="0.3">
      <c r="B5" s="24" t="s">
        <v>4</v>
      </c>
      <c r="C5" s="29" t="s">
        <v>5</v>
      </c>
      <c r="D5" s="3"/>
      <c r="E5" s="3"/>
    </row>
    <row r="6" spans="2:11" ht="21" customHeight="1" thickBot="1" x14ac:dyDescent="0.35">
      <c r="B6" s="24" t="s">
        <v>6</v>
      </c>
      <c r="C6" s="35" t="s">
        <v>7</v>
      </c>
      <c r="D6" s="3"/>
      <c r="E6" s="3"/>
    </row>
    <row r="7" spans="2:11" ht="20.399999999999999" customHeight="1" thickBot="1" x14ac:dyDescent="0.35">
      <c r="B7" s="24" t="s">
        <v>8</v>
      </c>
      <c r="D7" s="28" t="s">
        <v>9</v>
      </c>
      <c r="E7" s="3"/>
    </row>
    <row r="8" spans="2:11" ht="21.6" customHeight="1" x14ac:dyDescent="0.3">
      <c r="B8" s="24" t="s">
        <v>10</v>
      </c>
      <c r="D8" s="3"/>
      <c r="E8" s="3"/>
    </row>
    <row r="9" spans="2:11" ht="14.4" x14ac:dyDescent="0.3">
      <c r="C9" s="3"/>
      <c r="D9" s="21"/>
      <c r="E9" s="21"/>
    </row>
    <row r="10" spans="2:11" ht="13.8" x14ac:dyDescent="0.3">
      <c r="B10" s="25" t="s">
        <v>11</v>
      </c>
      <c r="C10" s="26"/>
      <c r="E10" s="18" t="s">
        <v>12</v>
      </c>
    </row>
    <row r="11" spans="2:11" ht="13.8" x14ac:dyDescent="0.3">
      <c r="B11" s="25" t="s">
        <v>13</v>
      </c>
      <c r="C11" s="26"/>
    </row>
    <row r="12" spans="2:11" ht="14.4" thickBot="1" x14ac:dyDescent="0.35"/>
    <row r="13" spans="2:11" s="10" customFormat="1" ht="55.8" thickBot="1" x14ac:dyDescent="0.3">
      <c r="B13" s="31" t="s">
        <v>14</v>
      </c>
      <c r="C13" s="32" t="s">
        <v>15</v>
      </c>
      <c r="D13" s="32" t="s">
        <v>16</v>
      </c>
      <c r="E13" s="32" t="s">
        <v>17</v>
      </c>
      <c r="F13" s="32" t="s">
        <v>18</v>
      </c>
      <c r="G13" s="32" t="s">
        <v>19</v>
      </c>
      <c r="H13" s="14" t="s">
        <v>20</v>
      </c>
      <c r="I13" s="14" t="s">
        <v>224</v>
      </c>
      <c r="J13" s="14" t="s">
        <v>225</v>
      </c>
      <c r="K13" s="17" t="s">
        <v>21</v>
      </c>
    </row>
    <row r="14" spans="2:11" s="10" customFormat="1" ht="27.6" hidden="1" x14ac:dyDescent="0.25">
      <c r="B14" s="10" t="s">
        <v>22</v>
      </c>
      <c r="C14" s="10" t="s">
        <v>23</v>
      </c>
      <c r="D14" s="10" t="s">
        <v>24</v>
      </c>
      <c r="E14" s="10" t="s">
        <v>25</v>
      </c>
      <c r="G14" s="10" t="s">
        <v>30</v>
      </c>
      <c r="H14" s="10">
        <v>4</v>
      </c>
      <c r="I14" s="10">
        <f>Tableau32[[#This Row],[HJ Dev]]*0.5</f>
        <v>2</v>
      </c>
      <c r="J14" s="10">
        <f>Tableau32[[#This Row],[HJ Dev]]+Tableau32[[#This Row],[HJ Fonc]]</f>
        <v>6</v>
      </c>
    </row>
    <row r="15" spans="2:11" s="10" customFormat="1" ht="27.6" hidden="1" x14ac:dyDescent="0.25">
      <c r="B15" s="10" t="s">
        <v>27</v>
      </c>
      <c r="C15" s="10" t="s">
        <v>23</v>
      </c>
      <c r="D15" s="10" t="s">
        <v>28</v>
      </c>
      <c r="E15" s="10" t="s">
        <v>29</v>
      </c>
      <c r="G15" s="10" t="s">
        <v>30</v>
      </c>
      <c r="H15" s="10">
        <v>4</v>
      </c>
      <c r="I15" s="10">
        <f>Tableau32[[#This Row],[HJ Dev]]*0.5</f>
        <v>2</v>
      </c>
      <c r="J15" s="10">
        <f>Tableau32[[#This Row],[HJ Dev]]+Tableau32[[#This Row],[HJ Fonc]]</f>
        <v>6</v>
      </c>
    </row>
    <row r="16" spans="2:11" s="10" customFormat="1" ht="82.8" x14ac:dyDescent="0.25">
      <c r="B16" s="10" t="s">
        <v>31</v>
      </c>
      <c r="C16" s="10" t="s">
        <v>226</v>
      </c>
      <c r="D16" s="10" t="s">
        <v>33</v>
      </c>
      <c r="E16" s="10" t="s">
        <v>34</v>
      </c>
      <c r="F16" s="10" t="s">
        <v>35</v>
      </c>
      <c r="G16" s="10" t="s">
        <v>26</v>
      </c>
      <c r="H16" s="10">
        <v>3</v>
      </c>
      <c r="I16" s="10">
        <f>Tableau32[[#This Row],[HJ Dev]]*0.5</f>
        <v>1.5</v>
      </c>
      <c r="J16" s="10">
        <f>Tableau32[[#This Row],[HJ Dev]]+Tableau32[[#This Row],[HJ Fonc]]</f>
        <v>4.5</v>
      </c>
    </row>
    <row r="17" spans="2:10" s="10" customFormat="1" ht="41.4" hidden="1" x14ac:dyDescent="0.25">
      <c r="B17" s="10" t="s">
        <v>36</v>
      </c>
      <c r="C17" s="10" t="s">
        <v>32</v>
      </c>
      <c r="D17" s="10" t="s">
        <v>37</v>
      </c>
      <c r="E17" s="10" t="s">
        <v>38</v>
      </c>
      <c r="G17" s="10" t="s">
        <v>30</v>
      </c>
      <c r="H17" s="10">
        <v>3</v>
      </c>
      <c r="I17" s="10">
        <f>Tableau32[[#This Row],[HJ Dev]]*0.5</f>
        <v>1.5</v>
      </c>
      <c r="J17" s="10">
        <f>Tableau32[[#This Row],[HJ Dev]]+Tableau32[[#This Row],[HJ Fonc]]</f>
        <v>4.5</v>
      </c>
    </row>
    <row r="18" spans="2:10" s="10" customFormat="1" ht="82.8" hidden="1" x14ac:dyDescent="0.25">
      <c r="B18" s="10" t="s">
        <v>31</v>
      </c>
      <c r="C18" s="10" t="s">
        <v>227</v>
      </c>
      <c r="D18" s="10" t="s">
        <v>33</v>
      </c>
      <c r="E18" s="10" t="s">
        <v>34</v>
      </c>
      <c r="F18" s="10" t="s">
        <v>35</v>
      </c>
      <c r="G18" s="10" t="s">
        <v>30</v>
      </c>
      <c r="H18" s="10">
        <v>2</v>
      </c>
      <c r="I18" s="10">
        <f>Tableau32[[#This Row],[HJ Dev]]*0.5</f>
        <v>1</v>
      </c>
      <c r="J18" s="10">
        <f>Tableau32[[#This Row],[HJ Dev]]+Tableau32[[#This Row],[HJ Fonc]]</f>
        <v>3</v>
      </c>
    </row>
    <row r="19" spans="2:10" s="10" customFormat="1" ht="55.2" hidden="1" x14ac:dyDescent="0.3">
      <c r="B19" s="10" t="s">
        <v>39</v>
      </c>
      <c r="C19" s="10" t="s">
        <v>32</v>
      </c>
      <c r="D19" s="39" t="s">
        <v>40</v>
      </c>
      <c r="E19" s="10" t="s">
        <v>41</v>
      </c>
      <c r="G19" s="10" t="s">
        <v>30</v>
      </c>
      <c r="H19" s="10">
        <v>2</v>
      </c>
      <c r="I19" s="10">
        <f>Tableau32[[#This Row],[HJ Dev]]*0.5</f>
        <v>1</v>
      </c>
      <c r="J19" s="10">
        <f>Tableau32[[#This Row],[HJ Dev]]+Tableau32[[#This Row],[HJ Fonc]]</f>
        <v>3</v>
      </c>
    </row>
    <row r="20" spans="2:10" s="10" customFormat="1" ht="55.2" x14ac:dyDescent="0.3">
      <c r="B20" s="10" t="s">
        <v>39</v>
      </c>
      <c r="C20" s="10" t="s">
        <v>32</v>
      </c>
      <c r="D20" s="39" t="s">
        <v>40</v>
      </c>
      <c r="E20" s="10" t="s">
        <v>41</v>
      </c>
      <c r="G20" s="10" t="s">
        <v>26</v>
      </c>
      <c r="H20" s="10">
        <v>2</v>
      </c>
      <c r="I20" s="10">
        <f>Tableau32[[#This Row],[HJ Dev]]*0.5</f>
        <v>1</v>
      </c>
      <c r="J20" s="10">
        <f>Tableau32[[#This Row],[HJ Dev]]+Tableau32[[#This Row],[HJ Fonc]]</f>
        <v>3</v>
      </c>
    </row>
    <row r="21" spans="2:10" s="10" customFormat="1" ht="41.4" hidden="1" x14ac:dyDescent="0.3">
      <c r="B21" s="10" t="s">
        <v>42</v>
      </c>
      <c r="C21" s="10" t="s">
        <v>32</v>
      </c>
      <c r="D21" s="39" t="s">
        <v>43</v>
      </c>
      <c r="E21" s="10" t="s">
        <v>44</v>
      </c>
      <c r="G21" s="10" t="s">
        <v>30</v>
      </c>
      <c r="H21" s="10">
        <v>3</v>
      </c>
      <c r="I21" s="10">
        <f>Tableau32[[#This Row],[HJ Dev]]*0.5</f>
        <v>1.5</v>
      </c>
      <c r="J21" s="10">
        <f>Tableau32[[#This Row],[HJ Dev]]+Tableau32[[#This Row],[HJ Fonc]]</f>
        <v>4.5</v>
      </c>
    </row>
    <row r="22" spans="2:10" s="10" customFormat="1" ht="55.2" hidden="1" x14ac:dyDescent="0.3">
      <c r="B22" s="10" t="s">
        <v>45</v>
      </c>
      <c r="C22" s="10" t="s">
        <v>32</v>
      </c>
      <c r="D22" s="40" t="s">
        <v>46</v>
      </c>
      <c r="E22" s="10" t="s">
        <v>47</v>
      </c>
      <c r="G22" s="10" t="s">
        <v>30</v>
      </c>
      <c r="H22" s="10">
        <v>2</v>
      </c>
      <c r="I22" s="10">
        <f>Tableau32[[#This Row],[HJ Dev]]*0.5</f>
        <v>1</v>
      </c>
      <c r="J22" s="10">
        <f>Tableau32[[#This Row],[HJ Dev]]+Tableau32[[#This Row],[HJ Fonc]]</f>
        <v>3</v>
      </c>
    </row>
    <row r="23" spans="2:10" s="10" customFormat="1" ht="41.4" x14ac:dyDescent="0.25">
      <c r="B23" s="10" t="s">
        <v>48</v>
      </c>
      <c r="C23" s="10" t="s">
        <v>49</v>
      </c>
      <c r="D23" s="10" t="s">
        <v>50</v>
      </c>
      <c r="E23" s="10" t="s">
        <v>51</v>
      </c>
      <c r="G23" s="10" t="s">
        <v>26</v>
      </c>
      <c r="H23" s="10">
        <v>2</v>
      </c>
      <c r="I23" s="10">
        <f>Tableau32[[#This Row],[HJ Dev]]*0.5</f>
        <v>1</v>
      </c>
      <c r="J23" s="10">
        <f>Tableau32[[#This Row],[HJ Dev]]+Tableau32[[#This Row],[HJ Fonc]]</f>
        <v>3</v>
      </c>
    </row>
    <row r="24" spans="2:10" s="10" customFormat="1" ht="41.4" hidden="1" x14ac:dyDescent="0.3">
      <c r="B24" s="10" t="s">
        <v>52</v>
      </c>
      <c r="C24" s="10" t="s">
        <v>49</v>
      </c>
      <c r="D24" s="40" t="s">
        <v>53</v>
      </c>
      <c r="E24" s="10" t="s">
        <v>54</v>
      </c>
      <c r="F24" s="40" t="s">
        <v>55</v>
      </c>
      <c r="G24" s="10" t="s">
        <v>30</v>
      </c>
      <c r="I24" s="10">
        <f>Tableau32[[#This Row],[HJ Dev]]*0.5</f>
        <v>0</v>
      </c>
      <c r="J24" s="10">
        <f>Tableau32[[#This Row],[HJ Dev]]+Tableau32[[#This Row],[HJ Fonc]]</f>
        <v>0</v>
      </c>
    </row>
    <row r="25" spans="2:10" s="10" customFormat="1" ht="41.4" hidden="1" x14ac:dyDescent="0.3">
      <c r="B25" s="10" t="s">
        <v>56</v>
      </c>
      <c r="C25" s="10" t="s">
        <v>49</v>
      </c>
      <c r="D25" s="40" t="s">
        <v>57</v>
      </c>
      <c r="E25" s="10" t="s">
        <v>58</v>
      </c>
      <c r="F25" s="40" t="s">
        <v>59</v>
      </c>
      <c r="G25" s="10" t="s">
        <v>30</v>
      </c>
      <c r="I25" s="10">
        <f>Tableau32[[#This Row],[HJ Dev]]*0.5</f>
        <v>0</v>
      </c>
      <c r="J25" s="10">
        <f>Tableau32[[#This Row],[HJ Dev]]+Tableau32[[#This Row],[HJ Fonc]]</f>
        <v>0</v>
      </c>
    </row>
    <row r="26" spans="2:10" s="10" customFormat="1" ht="151.80000000000001" x14ac:dyDescent="0.25">
      <c r="B26" s="10" t="s">
        <v>60</v>
      </c>
      <c r="C26" s="10" t="s">
        <v>61</v>
      </c>
      <c r="D26" s="10" t="s">
        <v>62</v>
      </c>
      <c r="E26" s="10" t="s">
        <v>63</v>
      </c>
      <c r="G26" s="10" t="s">
        <v>26</v>
      </c>
      <c r="H26" s="10">
        <v>2</v>
      </c>
      <c r="I26" s="10">
        <f>Tableau32[[#This Row],[HJ Dev]]*0.5</f>
        <v>1</v>
      </c>
      <c r="J26" s="10">
        <f>Tableau32[[#This Row],[HJ Dev]]+Tableau32[[#This Row],[HJ Fonc]]</f>
        <v>3</v>
      </c>
    </row>
    <row r="27" spans="2:10" s="10" customFormat="1" ht="69" hidden="1" x14ac:dyDescent="0.25">
      <c r="B27" s="10" t="s">
        <v>64</v>
      </c>
      <c r="C27" s="10" t="s">
        <v>65</v>
      </c>
      <c r="D27" s="10" t="s">
        <v>66</v>
      </c>
      <c r="E27" s="10" t="s">
        <v>67</v>
      </c>
      <c r="G27" s="10" t="s">
        <v>30</v>
      </c>
      <c r="H27" s="10">
        <v>4</v>
      </c>
      <c r="I27" s="10">
        <f>Tableau32[[#This Row],[HJ Dev]]*0.5</f>
        <v>2</v>
      </c>
      <c r="J27" s="10">
        <f>Tableau32[[#This Row],[HJ Dev]]+Tableau32[[#This Row],[HJ Fonc]]</f>
        <v>6</v>
      </c>
    </row>
    <row r="28" spans="2:10" s="10" customFormat="1" ht="27.6" hidden="1" x14ac:dyDescent="0.3">
      <c r="B28" s="10" t="s">
        <v>68</v>
      </c>
      <c r="C28" s="10" t="s">
        <v>65</v>
      </c>
      <c r="D28" s="39" t="s">
        <v>69</v>
      </c>
      <c r="E28" s="10" t="s">
        <v>70</v>
      </c>
      <c r="G28" s="10" t="s">
        <v>30</v>
      </c>
      <c r="H28" s="10">
        <v>2</v>
      </c>
      <c r="I28" s="10">
        <f>Tableau32[[#This Row],[HJ Dev]]*0.5</f>
        <v>1</v>
      </c>
      <c r="J28" s="10">
        <f>Tableau32[[#This Row],[HJ Dev]]+Tableau32[[#This Row],[HJ Fonc]]</f>
        <v>3</v>
      </c>
    </row>
    <row r="29" spans="2:10" s="10" customFormat="1" ht="41.4" hidden="1" x14ac:dyDescent="0.3">
      <c r="B29" s="10" t="s">
        <v>71</v>
      </c>
      <c r="C29" s="10" t="s">
        <v>65</v>
      </c>
      <c r="D29" s="39" t="s">
        <v>72</v>
      </c>
      <c r="E29" s="10" t="s">
        <v>73</v>
      </c>
      <c r="G29" s="10" t="s">
        <v>30</v>
      </c>
      <c r="H29" s="10">
        <v>2</v>
      </c>
      <c r="I29" s="10">
        <f>Tableau32[[#This Row],[HJ Dev]]*0.5</f>
        <v>1</v>
      </c>
      <c r="J29" s="10">
        <f>Tableau32[[#This Row],[HJ Dev]]+Tableau32[[#This Row],[HJ Fonc]]</f>
        <v>3</v>
      </c>
    </row>
    <row r="30" spans="2:10" s="10" customFormat="1" ht="27.6" hidden="1" x14ac:dyDescent="0.25">
      <c r="B30" s="10" t="s">
        <v>74</v>
      </c>
      <c r="C30" s="10" t="s">
        <v>75</v>
      </c>
      <c r="D30" s="10" t="s">
        <v>76</v>
      </c>
      <c r="E30" s="10" t="s">
        <v>77</v>
      </c>
      <c r="G30" s="10" t="s">
        <v>30</v>
      </c>
      <c r="H30" s="10">
        <v>2</v>
      </c>
      <c r="I30" s="10">
        <f>Tableau32[[#This Row],[HJ Dev]]*0.5</f>
        <v>1</v>
      </c>
      <c r="J30" s="10">
        <f>Tableau32[[#This Row],[HJ Dev]]+Tableau32[[#This Row],[HJ Fonc]]</f>
        <v>3</v>
      </c>
    </row>
    <row r="31" spans="2:10" s="10" customFormat="1" ht="27.6" hidden="1" x14ac:dyDescent="0.3">
      <c r="B31" s="10" t="s">
        <v>78</v>
      </c>
      <c r="C31" s="10" t="s">
        <v>75</v>
      </c>
      <c r="D31" s="41" t="s">
        <v>79</v>
      </c>
      <c r="E31" s="10" t="s">
        <v>80</v>
      </c>
      <c r="G31" s="10" t="s">
        <v>30</v>
      </c>
      <c r="H31" s="10">
        <v>2</v>
      </c>
      <c r="I31" s="10">
        <f>Tableau32[[#This Row],[HJ Dev]]*0.5</f>
        <v>1</v>
      </c>
      <c r="J31" s="10">
        <f>Tableau32[[#This Row],[HJ Dev]]+Tableau32[[#This Row],[HJ Fonc]]</f>
        <v>3</v>
      </c>
    </row>
    <row r="32" spans="2:10" s="10" customFormat="1" ht="69" x14ac:dyDescent="0.25">
      <c r="B32" s="10" t="s">
        <v>81</v>
      </c>
      <c r="C32" s="34" t="s">
        <v>82</v>
      </c>
      <c r="D32" s="10" t="s">
        <v>83</v>
      </c>
      <c r="E32" s="42" t="s">
        <v>84</v>
      </c>
      <c r="G32" s="10" t="s">
        <v>26</v>
      </c>
      <c r="H32" s="10">
        <v>2</v>
      </c>
      <c r="I32" s="10">
        <f>Tableau32[[#This Row],[HJ Dev]]*0.5</f>
        <v>1</v>
      </c>
      <c r="J32" s="10">
        <f>Tableau32[[#This Row],[HJ Dev]]+Tableau32[[#This Row],[HJ Fonc]]</f>
        <v>3</v>
      </c>
    </row>
    <row r="33" spans="2:11" s="10" customFormat="1" ht="96.6" hidden="1" x14ac:dyDescent="0.3">
      <c r="B33" s="10" t="s">
        <v>85</v>
      </c>
      <c r="C33" s="34" t="s">
        <v>82</v>
      </c>
      <c r="D33" s="39" t="s">
        <v>86</v>
      </c>
      <c r="E33" s="10" t="s">
        <v>87</v>
      </c>
      <c r="G33" s="10" t="s">
        <v>30</v>
      </c>
      <c r="H33" s="10">
        <v>2</v>
      </c>
      <c r="I33" s="10">
        <f>Tableau32[[#This Row],[HJ Dev]]*0.5</f>
        <v>1</v>
      </c>
      <c r="J33" s="10">
        <f>Tableau32[[#This Row],[HJ Dev]]+Tableau32[[#This Row],[HJ Fonc]]</f>
        <v>3</v>
      </c>
    </row>
    <row r="34" spans="2:11" s="10" customFormat="1" ht="55.2" hidden="1" x14ac:dyDescent="0.3">
      <c r="B34" s="10" t="s">
        <v>88</v>
      </c>
      <c r="C34" s="34" t="s">
        <v>82</v>
      </c>
      <c r="D34" s="40" t="s">
        <v>89</v>
      </c>
      <c r="E34" s="10" t="s">
        <v>90</v>
      </c>
      <c r="G34" s="10" t="s">
        <v>30</v>
      </c>
      <c r="H34" s="10">
        <v>3</v>
      </c>
      <c r="I34" s="10">
        <f>Tableau32[[#This Row],[HJ Dev]]*0.5</f>
        <v>1.5</v>
      </c>
      <c r="J34" s="10">
        <f>Tableau32[[#This Row],[HJ Dev]]+Tableau32[[#This Row],[HJ Fonc]]</f>
        <v>4.5</v>
      </c>
    </row>
    <row r="35" spans="2:11" s="10" customFormat="1" ht="55.2" x14ac:dyDescent="0.25">
      <c r="B35" s="10" t="s">
        <v>91</v>
      </c>
      <c r="C35" s="10" t="s">
        <v>92</v>
      </c>
      <c r="D35" s="10" t="s">
        <v>93</v>
      </c>
      <c r="E35" s="10" t="s">
        <v>94</v>
      </c>
      <c r="G35" s="10" t="s">
        <v>26</v>
      </c>
      <c r="I35" s="10">
        <f>Tableau32[[#This Row],[HJ Dev]]*0.5</f>
        <v>0</v>
      </c>
      <c r="J35" s="10">
        <f>Tableau32[[#This Row],[HJ Dev]]+Tableau32[[#This Row],[HJ Fonc]]</f>
        <v>0</v>
      </c>
    </row>
    <row r="36" spans="2:11" ht="69" x14ac:dyDescent="0.3">
      <c r="B36" s="10" t="s">
        <v>95</v>
      </c>
      <c r="C36" s="10" t="s">
        <v>96</v>
      </c>
      <c r="D36" s="10" t="s">
        <v>97</v>
      </c>
      <c r="E36" s="10" t="s">
        <v>98</v>
      </c>
      <c r="F36" s="10"/>
      <c r="G36" s="10" t="s">
        <v>26</v>
      </c>
      <c r="H36" s="10">
        <v>2</v>
      </c>
      <c r="I36" s="10">
        <f>Tableau32[[#This Row],[HJ Dev]]*0.5</f>
        <v>1</v>
      </c>
      <c r="J36" s="10">
        <f>Tableau32[[#This Row],[HJ Dev]]+Tableau32[[#This Row],[HJ Fonc]]</f>
        <v>3</v>
      </c>
      <c r="K36" s="10"/>
    </row>
    <row r="37" spans="2:11" ht="27.6" x14ac:dyDescent="0.3">
      <c r="B37" s="10" t="s">
        <v>99</v>
      </c>
      <c r="C37" s="10" t="s">
        <v>100</v>
      </c>
      <c r="D37" s="10" t="s">
        <v>101</v>
      </c>
      <c r="E37" s="10" t="s">
        <v>102</v>
      </c>
      <c r="F37" s="10"/>
      <c r="G37" s="10" t="s">
        <v>26</v>
      </c>
      <c r="H37" s="10"/>
      <c r="I37" s="10">
        <f>Tableau32[[#This Row],[HJ Dev]]*0.5</f>
        <v>0</v>
      </c>
      <c r="J37" s="10">
        <f>Tableau32[[#This Row],[HJ Dev]]+Tableau32[[#This Row],[HJ Fonc]]</f>
        <v>0</v>
      </c>
      <c r="K37" s="10"/>
    </row>
    <row r="38" spans="2:11" ht="69" x14ac:dyDescent="0.3">
      <c r="B38" s="10" t="s">
        <v>103</v>
      </c>
      <c r="C38" s="10" t="s">
        <v>104</v>
      </c>
      <c r="D38" s="10" t="s">
        <v>105</v>
      </c>
      <c r="E38" s="10" t="s">
        <v>106</v>
      </c>
      <c r="F38" s="10"/>
      <c r="G38" s="10" t="s">
        <v>26</v>
      </c>
      <c r="H38" s="10">
        <v>2</v>
      </c>
      <c r="I38" s="10">
        <f>Tableau32[[#This Row],[HJ Dev]]*0.5</f>
        <v>1</v>
      </c>
      <c r="J38" s="10">
        <f>Tableau32[[#This Row],[HJ Dev]]+Tableau32[[#This Row],[HJ Fonc]]</f>
        <v>3</v>
      </c>
      <c r="K38" s="10" t="s">
        <v>107</v>
      </c>
    </row>
    <row r="39" spans="2:11" ht="55.2" x14ac:dyDescent="0.3">
      <c r="B39" s="10" t="s">
        <v>108</v>
      </c>
      <c r="C39" s="10" t="s">
        <v>104</v>
      </c>
      <c r="D39" s="10" t="s">
        <v>109</v>
      </c>
      <c r="E39" s="10" t="s">
        <v>110</v>
      </c>
      <c r="F39" s="10"/>
      <c r="G39" s="10" t="s">
        <v>26</v>
      </c>
      <c r="H39" s="10">
        <v>2</v>
      </c>
      <c r="I39" s="10">
        <f>Tableau32[[#This Row],[HJ Dev]]*0.5</f>
        <v>1</v>
      </c>
      <c r="J39" s="10">
        <f>Tableau32[[#This Row],[HJ Dev]]+Tableau32[[#This Row],[HJ Fonc]]</f>
        <v>3</v>
      </c>
      <c r="K39" s="10" t="s">
        <v>111</v>
      </c>
    </row>
    <row r="40" spans="2:11" ht="69" x14ac:dyDescent="0.3">
      <c r="B40" s="10" t="s">
        <v>112</v>
      </c>
      <c r="C40" s="10" t="s">
        <v>113</v>
      </c>
      <c r="D40" s="10" t="s">
        <v>114</v>
      </c>
      <c r="E40" s="10" t="s">
        <v>115</v>
      </c>
      <c r="F40" s="10"/>
      <c r="G40" s="10" t="s">
        <v>26</v>
      </c>
      <c r="H40" s="10">
        <v>0</v>
      </c>
      <c r="I40" s="10">
        <f>Tableau32[[#This Row],[HJ Dev]]*0.5</f>
        <v>0</v>
      </c>
      <c r="J40" s="10">
        <f>Tableau32[[#This Row],[HJ Dev]]+Tableau32[[#This Row],[HJ Fonc]]</f>
        <v>0</v>
      </c>
      <c r="K40" s="10" t="s">
        <v>116</v>
      </c>
    </row>
    <row r="41" spans="2:11" ht="12.75" customHeight="1" x14ac:dyDescent="0.3">
      <c r="B41" s="10"/>
      <c r="C41" s="10"/>
      <c r="D41" s="10"/>
      <c r="E41" s="10"/>
      <c r="F41" s="10"/>
      <c r="G41" s="10"/>
      <c r="H41" s="10"/>
      <c r="I41" s="10"/>
      <c r="J41" s="10">
        <f>SUBTOTAL(109,Tableau32[HJ Total])</f>
        <v>25.5</v>
      </c>
      <c r="K41" s="10"/>
    </row>
    <row r="42" spans="2:11" ht="25.05" customHeight="1" x14ac:dyDescent="0.3">
      <c r="G42" s="44" t="s">
        <v>223</v>
      </c>
      <c r="H42" s="44">
        <f>SUM(Tableau32[HJ Dev])</f>
        <v>54</v>
      </c>
      <c r="I42" s="45"/>
      <c r="J42" s="45"/>
    </row>
    <row r="43" spans="2:11" ht="12.75" customHeight="1" x14ac:dyDescent="0.3">
      <c r="G43" s="49" t="s">
        <v>222</v>
      </c>
      <c r="H43" s="49">
        <f t="shared" ref="H43" si="0">PRODUCT(H42,100)</f>
        <v>5400</v>
      </c>
      <c r="I43" s="46"/>
      <c r="J43" s="46"/>
    </row>
    <row r="44" spans="2:11" ht="12.75" customHeight="1" x14ac:dyDescent="0.3">
      <c r="G44" s="49"/>
      <c r="H44" s="49"/>
      <c r="I44" s="46"/>
      <c r="J44" s="46"/>
    </row>
  </sheetData>
  <mergeCells count="3">
    <mergeCell ref="B2:G2"/>
    <mergeCell ref="G43:G44"/>
    <mergeCell ref="H43:H44"/>
  </mergeCells>
  <phoneticPr fontId="2" type="noConversion"/>
  <dataValidations count="2">
    <dataValidation type="whole" operator="greaterThanOrEqual" allowBlank="1" showInputMessage="1" showErrorMessage="1" sqref="H14:H40 J14:J40" xr:uid="{A611E98A-9969-4D47-B2BD-FDA7B6BAA715}">
      <formula1>0</formula1>
    </dataValidation>
    <dataValidation operator="greaterThanOrEqual" allowBlank="1" showInputMessage="1" showErrorMessage="1" sqref="I14:I40" xr:uid="{7E6D37B1-5458-4431-99ED-96E0687A8C07}"/>
  </dataValidations>
  <pageMargins left="0.7" right="0.7" top="0.75" bottom="0.75" header="0.3" footer="0.3"/>
  <pageSetup paperSize="9" scale="74" fitToHeight="0" orientation="landscape"/>
  <headerFooter>
    <oddFooter xml:space="preserve">&amp;L_x000D_&amp;1#&amp;"Tahoma"&amp;9&amp;KCF022B C2 – Usage restreint </oddFooter>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X27"/>
  <sheetViews>
    <sheetView topLeftCell="A12" zoomScale="85" zoomScaleNormal="85" workbookViewId="0">
      <selection activeCell="P14" sqref="P14:R26"/>
    </sheetView>
  </sheetViews>
  <sheetFormatPr baseColWidth="10" defaultColWidth="11.44140625" defaultRowHeight="12.75" customHeight="1" x14ac:dyDescent="0.3"/>
  <cols>
    <col min="1" max="1" width="11.44140625" style="1"/>
    <col min="2" max="2" width="6.109375" style="1" customWidth="1"/>
    <col min="3" max="3" width="27.88671875" style="1" customWidth="1"/>
    <col min="4" max="4" width="27.44140625" style="1" customWidth="1"/>
    <col min="5" max="6" width="18.33203125" style="1" customWidth="1"/>
    <col min="7" max="7" width="19.44140625" style="1" customWidth="1"/>
    <col min="8" max="8" width="56.5546875" style="1" customWidth="1"/>
    <col min="9" max="9" width="18.44140625" style="1" customWidth="1"/>
    <col min="10" max="10" width="56.5546875" style="1" customWidth="1"/>
    <col min="11" max="12" width="33.109375" style="1" customWidth="1"/>
    <col min="13" max="14" width="13.5546875" style="1" customWidth="1"/>
    <col min="15" max="15" width="15.33203125" style="1" customWidth="1"/>
    <col min="16" max="16" width="11.88671875" style="1" customWidth="1"/>
    <col min="17" max="17" width="15.44140625" style="1" customWidth="1"/>
    <col min="18" max="18" width="13.6640625" style="1" customWidth="1"/>
    <col min="19" max="19" width="39.88671875" style="1" customWidth="1"/>
    <col min="20" max="20" width="15.6640625" style="1" customWidth="1"/>
    <col min="21" max="21" width="20.5546875" style="1" customWidth="1"/>
    <col min="22" max="22" width="20.109375" style="1" customWidth="1"/>
    <col min="23" max="23" width="15.109375" style="1" customWidth="1"/>
    <col min="24" max="24" width="30.88671875" style="1" customWidth="1"/>
    <col min="25" max="16384" width="11.44140625" style="1"/>
  </cols>
  <sheetData>
    <row r="1" spans="2:24" ht="13.8" x14ac:dyDescent="0.3"/>
    <row r="2" spans="2:24" ht="21.75" customHeight="1" x14ac:dyDescent="0.35">
      <c r="B2" s="47" t="s">
        <v>0</v>
      </c>
      <c r="C2" s="48"/>
      <c r="D2" s="48"/>
      <c r="E2" s="48"/>
      <c r="F2" s="48"/>
      <c r="G2" s="48"/>
      <c r="H2" s="48"/>
      <c r="I2" s="48"/>
      <c r="J2" s="48"/>
      <c r="K2" s="48"/>
      <c r="L2" s="48"/>
      <c r="M2" s="48"/>
      <c r="N2" s="48"/>
      <c r="O2" s="53"/>
      <c r="P2" s="54" t="s">
        <v>1</v>
      </c>
      <c r="Q2" s="55"/>
      <c r="R2" s="56"/>
      <c r="S2" s="50" t="s">
        <v>117</v>
      </c>
      <c r="T2" s="51"/>
      <c r="U2" s="51"/>
      <c r="V2" s="51"/>
      <c r="W2" s="51"/>
      <c r="X2" s="52"/>
    </row>
    <row r="3" spans="2:24" ht="66" customHeight="1" x14ac:dyDescent="0.3">
      <c r="D3" s="8"/>
      <c r="E3" s="8"/>
      <c r="F3" s="8"/>
      <c r="G3" s="8"/>
      <c r="H3" s="8"/>
      <c r="I3" s="8"/>
      <c r="J3" s="8"/>
    </row>
    <row r="4" spans="2:24" ht="21" customHeight="1" x14ac:dyDescent="0.3">
      <c r="B4" s="27" t="s">
        <v>2</v>
      </c>
      <c r="C4" s="27"/>
      <c r="D4" s="29" t="s">
        <v>3</v>
      </c>
      <c r="E4" s="29"/>
      <c r="F4" s="8"/>
      <c r="G4" s="8"/>
      <c r="H4" s="8"/>
      <c r="I4" s="8"/>
      <c r="J4" s="8"/>
    </row>
    <row r="5" spans="2:24" ht="21.75" customHeight="1" x14ac:dyDescent="0.3">
      <c r="B5" s="24" t="s">
        <v>4</v>
      </c>
      <c r="C5" s="24"/>
      <c r="D5" s="29" t="s">
        <v>5</v>
      </c>
      <c r="E5" s="3"/>
      <c r="F5" s="3"/>
      <c r="G5" s="3"/>
      <c r="H5" s="3"/>
      <c r="I5" s="3"/>
      <c r="J5" s="3"/>
    </row>
    <row r="6" spans="2:24" ht="21" customHeight="1" x14ac:dyDescent="0.3">
      <c r="B6" s="24" t="s">
        <v>6</v>
      </c>
      <c r="C6" s="24"/>
      <c r="D6" s="35" t="s">
        <v>7</v>
      </c>
      <c r="E6" s="3"/>
      <c r="F6" s="3"/>
      <c r="G6" s="3"/>
      <c r="H6" s="3"/>
      <c r="I6" s="3"/>
      <c r="J6" s="3"/>
    </row>
    <row r="7" spans="2:24" ht="20.399999999999999" customHeight="1" x14ac:dyDescent="0.3">
      <c r="B7" s="24" t="s">
        <v>8</v>
      </c>
      <c r="C7" s="24"/>
      <c r="E7" s="3" t="s">
        <v>118</v>
      </c>
      <c r="F7" s="3"/>
      <c r="G7" s="3"/>
      <c r="H7" s="28" t="s">
        <v>9</v>
      </c>
      <c r="I7" s="3"/>
      <c r="J7" s="3"/>
    </row>
    <row r="8" spans="2:24" ht="21.6" customHeight="1" x14ac:dyDescent="0.3">
      <c r="B8" s="24" t="s">
        <v>10</v>
      </c>
      <c r="C8" s="24"/>
      <c r="E8" s="3" t="s">
        <v>119</v>
      </c>
      <c r="F8" s="3"/>
      <c r="G8" s="3"/>
      <c r="H8" s="3"/>
      <c r="I8" s="3"/>
      <c r="J8" s="3"/>
    </row>
    <row r="9" spans="2:24" ht="14.4" x14ac:dyDescent="0.3">
      <c r="D9" s="3"/>
      <c r="E9" s="21"/>
      <c r="F9" s="21"/>
      <c r="G9" s="21"/>
      <c r="H9" s="21"/>
      <c r="I9" s="21"/>
      <c r="J9" s="21"/>
    </row>
    <row r="10" spans="2:24" ht="13.8" x14ac:dyDescent="0.3">
      <c r="B10" s="25" t="s">
        <v>11</v>
      </c>
      <c r="C10" s="25"/>
      <c r="D10" s="26"/>
      <c r="E10" s="25" t="s">
        <v>120</v>
      </c>
      <c r="F10" s="9"/>
      <c r="G10" s="9"/>
      <c r="J10" s="18" t="s">
        <v>12</v>
      </c>
    </row>
    <row r="11" spans="2:24" ht="13.8" x14ac:dyDescent="0.3">
      <c r="B11" s="25" t="s">
        <v>13</v>
      </c>
      <c r="C11" s="25"/>
      <c r="D11" s="26"/>
      <c r="E11" s="25" t="s">
        <v>121</v>
      </c>
      <c r="F11" s="9"/>
      <c r="G11" s="9"/>
    </row>
    <row r="12" spans="2:24" ht="13.8" x14ac:dyDescent="0.3"/>
    <row r="13" spans="2:24" s="10" customFormat="1" ht="41.4" x14ac:dyDescent="0.25">
      <c r="B13" s="31" t="s">
        <v>14</v>
      </c>
      <c r="C13" s="32" t="s">
        <v>122</v>
      </c>
      <c r="D13" s="32" t="s">
        <v>15</v>
      </c>
      <c r="E13" s="32" t="s">
        <v>123</v>
      </c>
      <c r="F13" s="32" t="s">
        <v>124</v>
      </c>
      <c r="G13" s="32" t="s">
        <v>125</v>
      </c>
      <c r="H13" s="32" t="s">
        <v>16</v>
      </c>
      <c r="I13" s="32" t="s">
        <v>126</v>
      </c>
      <c r="J13" s="32" t="s">
        <v>17</v>
      </c>
      <c r="K13" s="32" t="s">
        <v>18</v>
      </c>
      <c r="L13" s="32" t="s">
        <v>19</v>
      </c>
      <c r="M13" s="32" t="s">
        <v>127</v>
      </c>
      <c r="N13" s="32" t="s">
        <v>128</v>
      </c>
      <c r="O13" s="33" t="s">
        <v>129</v>
      </c>
      <c r="P13" s="14" t="s">
        <v>20</v>
      </c>
      <c r="Q13" s="14" t="s">
        <v>130</v>
      </c>
      <c r="R13" s="14" t="s">
        <v>131</v>
      </c>
      <c r="S13" s="15" t="s">
        <v>132</v>
      </c>
      <c r="T13" s="16" t="s">
        <v>133</v>
      </c>
      <c r="U13" s="16" t="s">
        <v>134</v>
      </c>
      <c r="V13" s="16" t="s">
        <v>135</v>
      </c>
      <c r="W13" s="16" t="s">
        <v>136</v>
      </c>
      <c r="X13" s="17" t="s">
        <v>21</v>
      </c>
    </row>
    <row r="14" spans="2:24" s="10" customFormat="1" ht="96.6" x14ac:dyDescent="0.25">
      <c r="B14" s="10" t="s">
        <v>22</v>
      </c>
      <c r="C14" s="10" t="s">
        <v>137</v>
      </c>
      <c r="D14" s="10" t="s">
        <v>23</v>
      </c>
      <c r="E14" s="10" t="s">
        <v>138</v>
      </c>
      <c r="G14" s="10" t="s">
        <v>139</v>
      </c>
      <c r="H14" s="10" t="s">
        <v>140</v>
      </c>
      <c r="I14" s="10" t="s">
        <v>141</v>
      </c>
      <c r="J14" s="10" t="s">
        <v>142</v>
      </c>
    </row>
    <row r="15" spans="2:24" s="10" customFormat="1" ht="262.2" x14ac:dyDescent="0.25">
      <c r="B15" s="10" t="s">
        <v>27</v>
      </c>
      <c r="C15" s="10" t="s">
        <v>143</v>
      </c>
      <c r="D15" s="10" t="s">
        <v>32</v>
      </c>
      <c r="E15" s="10" t="s">
        <v>138</v>
      </c>
      <c r="G15" s="10" t="s">
        <v>139</v>
      </c>
      <c r="H15" s="10" t="s">
        <v>144</v>
      </c>
      <c r="I15" s="10" t="s">
        <v>141</v>
      </c>
      <c r="J15" s="10" t="s">
        <v>145</v>
      </c>
      <c r="K15" s="10" t="s">
        <v>35</v>
      </c>
      <c r="L15" s="36" t="s">
        <v>146</v>
      </c>
      <c r="S15" s="10" t="s">
        <v>147</v>
      </c>
      <c r="T15" s="10" t="s">
        <v>147</v>
      </c>
      <c r="U15" s="10" t="s">
        <v>147</v>
      </c>
      <c r="V15" s="10" t="s">
        <v>147</v>
      </c>
      <c r="W15" s="10" t="s">
        <v>147</v>
      </c>
    </row>
    <row r="16" spans="2:24" s="10" customFormat="1" ht="138" x14ac:dyDescent="0.25">
      <c r="B16" s="10" t="s">
        <v>31</v>
      </c>
      <c r="C16" s="10" t="s">
        <v>143</v>
      </c>
      <c r="D16" s="10" t="s">
        <v>49</v>
      </c>
      <c r="E16" s="10" t="s">
        <v>138</v>
      </c>
      <c r="G16" s="10" t="s">
        <v>139</v>
      </c>
      <c r="H16" s="10" t="s">
        <v>148</v>
      </c>
      <c r="I16" s="10" t="s">
        <v>141</v>
      </c>
      <c r="J16" s="10" t="s">
        <v>149</v>
      </c>
      <c r="K16" s="10" t="s">
        <v>150</v>
      </c>
      <c r="L16" s="36" t="s">
        <v>151</v>
      </c>
    </row>
    <row r="17" spans="2:24" s="10" customFormat="1" ht="151.80000000000001" x14ac:dyDescent="0.25">
      <c r="B17" s="10" t="s">
        <v>36</v>
      </c>
      <c r="C17" s="10" t="s">
        <v>152</v>
      </c>
      <c r="D17" s="10" t="s">
        <v>61</v>
      </c>
      <c r="E17" s="10" t="s">
        <v>138</v>
      </c>
      <c r="G17" s="10" t="s">
        <v>139</v>
      </c>
      <c r="H17" s="10" t="s">
        <v>62</v>
      </c>
      <c r="I17" s="10" t="s">
        <v>141</v>
      </c>
      <c r="J17" s="10" t="s">
        <v>63</v>
      </c>
      <c r="L17" s="36" t="s">
        <v>153</v>
      </c>
    </row>
    <row r="18" spans="2:24" s="10" customFormat="1" ht="151.80000000000001" x14ac:dyDescent="0.25">
      <c r="B18" s="10" t="s">
        <v>39</v>
      </c>
      <c r="C18" s="10" t="s">
        <v>152</v>
      </c>
      <c r="D18" s="10" t="s">
        <v>65</v>
      </c>
      <c r="E18" s="10" t="s">
        <v>138</v>
      </c>
      <c r="G18" s="10" t="s">
        <v>139</v>
      </c>
      <c r="H18" s="10" t="s">
        <v>154</v>
      </c>
      <c r="I18" s="10" t="s">
        <v>141</v>
      </c>
      <c r="J18" s="10" t="s">
        <v>155</v>
      </c>
      <c r="L18" s="36" t="s">
        <v>156</v>
      </c>
    </row>
    <row r="19" spans="2:24" s="10" customFormat="1" ht="138" x14ac:dyDescent="0.25">
      <c r="B19" s="10" t="s">
        <v>42</v>
      </c>
      <c r="C19" s="10" t="s">
        <v>157</v>
      </c>
      <c r="D19" s="10" t="s">
        <v>75</v>
      </c>
      <c r="E19" s="10" t="s">
        <v>138</v>
      </c>
      <c r="G19" s="10" t="s">
        <v>139</v>
      </c>
      <c r="H19" s="10" t="s">
        <v>158</v>
      </c>
      <c r="I19" s="10" t="s">
        <v>141</v>
      </c>
      <c r="J19" s="10" t="s">
        <v>159</v>
      </c>
    </row>
    <row r="20" spans="2:24" s="10" customFormat="1" ht="193.2" x14ac:dyDescent="0.25">
      <c r="B20" s="10" t="s">
        <v>45</v>
      </c>
      <c r="C20" s="10" t="s">
        <v>160</v>
      </c>
      <c r="D20" s="34" t="s">
        <v>82</v>
      </c>
      <c r="E20" s="10" t="s">
        <v>138</v>
      </c>
      <c r="G20" s="10" t="s">
        <v>139</v>
      </c>
      <c r="H20" s="10" t="s">
        <v>161</v>
      </c>
      <c r="I20" s="10" t="s">
        <v>141</v>
      </c>
      <c r="J20" s="10" t="s">
        <v>162</v>
      </c>
    </row>
    <row r="21" spans="2:24" s="10" customFormat="1" ht="55.2" x14ac:dyDescent="0.25">
      <c r="B21" s="10" t="s">
        <v>48</v>
      </c>
      <c r="C21" s="10" t="s">
        <v>92</v>
      </c>
      <c r="D21" s="10" t="s">
        <v>92</v>
      </c>
      <c r="E21" s="10" t="s">
        <v>163</v>
      </c>
      <c r="G21" s="10" t="s">
        <v>139</v>
      </c>
      <c r="H21" s="10" t="s">
        <v>93</v>
      </c>
      <c r="I21" s="10" t="s">
        <v>141</v>
      </c>
      <c r="J21" s="10" t="s">
        <v>94</v>
      </c>
    </row>
    <row r="22" spans="2:24" ht="63.75" customHeight="1" x14ac:dyDescent="0.3">
      <c r="B22" s="10" t="s">
        <v>52</v>
      </c>
      <c r="C22" s="10" t="s">
        <v>96</v>
      </c>
      <c r="D22" s="10" t="s">
        <v>96</v>
      </c>
      <c r="E22" s="10" t="s">
        <v>96</v>
      </c>
      <c r="F22" s="10"/>
      <c r="G22" s="10" t="s">
        <v>139</v>
      </c>
      <c r="H22" s="10" t="s">
        <v>97</v>
      </c>
      <c r="I22" s="10" t="s">
        <v>141</v>
      </c>
      <c r="J22" s="10" t="s">
        <v>98</v>
      </c>
      <c r="K22" s="10"/>
      <c r="L22" s="10"/>
      <c r="M22" s="10"/>
      <c r="N22" s="10"/>
      <c r="O22" s="10"/>
      <c r="P22" s="10"/>
      <c r="Q22" s="10"/>
      <c r="R22" s="10"/>
      <c r="S22" s="10"/>
      <c r="T22" s="10"/>
      <c r="U22" s="10"/>
      <c r="V22" s="10"/>
      <c r="W22" s="10"/>
      <c r="X22" s="10"/>
    </row>
    <row r="23" spans="2:24" ht="27.6" x14ac:dyDescent="0.3">
      <c r="B23" s="10" t="s">
        <v>56</v>
      </c>
      <c r="C23" s="10" t="s">
        <v>100</v>
      </c>
      <c r="D23" s="10" t="s">
        <v>100</v>
      </c>
      <c r="E23" s="10" t="s">
        <v>164</v>
      </c>
      <c r="F23" s="10"/>
      <c r="G23" s="10" t="s">
        <v>139</v>
      </c>
      <c r="H23" s="10" t="s">
        <v>101</v>
      </c>
      <c r="I23" s="10" t="s">
        <v>141</v>
      </c>
      <c r="J23" s="10" t="s">
        <v>102</v>
      </c>
      <c r="K23" s="10"/>
      <c r="L23" s="10"/>
      <c r="M23" s="10"/>
      <c r="N23" s="10"/>
      <c r="O23" s="10"/>
      <c r="P23" s="10"/>
      <c r="Q23" s="10"/>
      <c r="R23" s="10"/>
      <c r="S23" s="10"/>
      <c r="T23" s="10"/>
      <c r="U23" s="10"/>
      <c r="V23" s="10"/>
      <c r="W23" s="10"/>
      <c r="X23" s="10"/>
    </row>
    <row r="24" spans="2:24" ht="69" x14ac:dyDescent="0.3">
      <c r="B24" s="10" t="s">
        <v>60</v>
      </c>
      <c r="C24" s="10" t="s">
        <v>165</v>
      </c>
      <c r="D24" s="10" t="s">
        <v>104</v>
      </c>
      <c r="E24" s="10" t="s">
        <v>164</v>
      </c>
      <c r="F24" s="10"/>
      <c r="G24" s="10" t="s">
        <v>139</v>
      </c>
      <c r="H24" s="10" t="s">
        <v>105</v>
      </c>
      <c r="I24" s="10" t="s">
        <v>141</v>
      </c>
      <c r="J24" s="10" t="s">
        <v>106</v>
      </c>
      <c r="K24" s="10"/>
      <c r="L24" s="10"/>
      <c r="M24" s="10"/>
      <c r="N24" s="10"/>
      <c r="O24" s="10"/>
      <c r="P24" s="10"/>
      <c r="Q24" s="10"/>
      <c r="R24" s="10"/>
      <c r="S24" s="10"/>
      <c r="T24" s="10"/>
      <c r="U24" s="10"/>
      <c r="V24" s="10"/>
      <c r="W24" s="10"/>
      <c r="X24" s="10" t="s">
        <v>107</v>
      </c>
    </row>
    <row r="25" spans="2:24" ht="55.2" x14ac:dyDescent="0.3">
      <c r="B25" s="10" t="s">
        <v>64</v>
      </c>
      <c r="C25" s="10" t="s">
        <v>166</v>
      </c>
      <c r="D25" s="10" t="s">
        <v>104</v>
      </c>
      <c r="E25" s="10" t="s">
        <v>164</v>
      </c>
      <c r="F25" s="10"/>
      <c r="G25" s="10" t="s">
        <v>139</v>
      </c>
      <c r="H25" s="10" t="s">
        <v>109</v>
      </c>
      <c r="I25" s="10" t="s">
        <v>141</v>
      </c>
      <c r="J25" s="10" t="s">
        <v>110</v>
      </c>
      <c r="K25" s="10"/>
      <c r="L25" s="10"/>
      <c r="M25" s="10"/>
      <c r="N25" s="10"/>
      <c r="O25" s="10"/>
      <c r="P25" s="10"/>
      <c r="Q25" s="10"/>
      <c r="R25" s="10"/>
      <c r="S25" s="10"/>
      <c r="T25" s="10"/>
      <c r="U25" s="10"/>
      <c r="V25" s="10"/>
      <c r="W25" s="10"/>
      <c r="X25" s="10" t="s">
        <v>111</v>
      </c>
    </row>
    <row r="26" spans="2:24" ht="69" x14ac:dyDescent="0.3">
      <c r="B26" s="10" t="s">
        <v>68</v>
      </c>
      <c r="C26" s="10" t="s">
        <v>113</v>
      </c>
      <c r="D26" s="10" t="s">
        <v>113</v>
      </c>
      <c r="E26" s="10" t="s">
        <v>167</v>
      </c>
      <c r="F26" s="10"/>
      <c r="G26" s="10" t="s">
        <v>139</v>
      </c>
      <c r="H26" s="10" t="s">
        <v>114</v>
      </c>
      <c r="I26" s="10" t="s">
        <v>141</v>
      </c>
      <c r="J26" s="10" t="s">
        <v>115</v>
      </c>
      <c r="K26" s="10"/>
      <c r="L26" s="10"/>
      <c r="M26" s="10"/>
      <c r="N26" s="10"/>
      <c r="O26" s="10"/>
      <c r="P26" s="10"/>
      <c r="Q26" s="10"/>
      <c r="R26" s="10"/>
      <c r="S26" s="10"/>
      <c r="T26" s="10"/>
      <c r="U26" s="10"/>
      <c r="V26" s="10"/>
      <c r="W26" s="10"/>
      <c r="X26" s="10" t="s">
        <v>116</v>
      </c>
    </row>
    <row r="27" spans="2:24" ht="12.75" customHeight="1" x14ac:dyDescent="0.3">
      <c r="B27" s="10"/>
      <c r="C27" s="10"/>
      <c r="D27" s="10"/>
      <c r="E27" s="10"/>
      <c r="F27" s="10"/>
      <c r="G27" s="10"/>
      <c r="H27" s="10"/>
      <c r="I27" s="10"/>
      <c r="J27" s="10"/>
      <c r="K27" s="10"/>
      <c r="L27" s="10"/>
      <c r="M27" s="10"/>
      <c r="N27" s="10"/>
      <c r="O27" s="10"/>
      <c r="P27" s="10"/>
      <c r="Q27" s="10"/>
      <c r="R27" s="10">
        <f>SUBTOTAL(109,Tableau3[Total HJ])</f>
        <v>0</v>
      </c>
      <c r="S27" s="10"/>
      <c r="T27" s="10"/>
      <c r="U27" s="10"/>
      <c r="V27" s="10"/>
      <c r="W27" s="10"/>
      <c r="X27" s="10"/>
    </row>
  </sheetData>
  <mergeCells count="3">
    <mergeCell ref="S2:X2"/>
    <mergeCell ref="B2:O2"/>
    <mergeCell ref="P2:R2"/>
  </mergeCells>
  <phoneticPr fontId="2" type="noConversion"/>
  <dataValidations count="1">
    <dataValidation type="whole" operator="greaterThanOrEqual" allowBlank="1" showInputMessage="1" showErrorMessage="1" sqref="P14:R26" xr:uid="{10E2E794-3894-4CC1-AB1A-9BB5BF41EABB}">
      <formula1>0</formula1>
    </dataValidation>
  </dataValidations>
  <pageMargins left="0.7" right="0.7" top="0.75" bottom="0.75" header="0.3" footer="0.3"/>
  <pageSetup paperSize="9" scale="74" fitToHeight="0" orientation="landscape" r:id="rId1"/>
  <headerFooter>
    <oddFooter xml:space="preserve">&amp;L_x000D_&amp;1#&amp;"Tahoma"&amp;9&amp;KCF022B C2 – Usage restreint </oddFooter>
  </headerFooter>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E4</xm:sqref>
        </x14:dataValidation>
        <x14:dataValidation type="list" allowBlank="1" showInputMessage="1" showErrorMessage="1" xr:uid="{63E576AD-8CDE-4B1B-8DEC-1BE67CC8DE6D}">
          <x14:formula1>
            <xm:f>Params!$D$3:$D$10</xm:f>
          </x14:formula1>
          <xm:sqref>G14:G26</xm:sqref>
        </x14:dataValidation>
        <x14:dataValidation type="list" allowBlank="1" showInputMessage="1" showErrorMessage="1" xr:uid="{C43D2377-E8A5-4EC4-8F56-2516FCD07F2A}">
          <x14:formula1>
            <xm:f>Params!$E$3:$E$12</xm:f>
          </x14:formula1>
          <xm:sqref>I14:I26</xm:sqref>
        </x14:dataValidation>
        <x14:dataValidation type="list" allowBlank="1" showInputMessage="1" showErrorMessage="1" xr:uid="{06B2A4DB-2A94-4B0B-971B-CDFF438E23BA}">
          <x14:formula1>
            <xm:f>Params!$G$3:$G$9</xm:f>
          </x14:formula1>
          <xm:sqref>O14:O26</xm:sqref>
        </x14:dataValidation>
        <x14:dataValidation type="list" allowBlank="1" showInputMessage="1" showErrorMessage="1" xr:uid="{1F2CF1C1-BE35-4DC9-A975-F49F788F3D6A}">
          <x14:formula1>
            <xm:f>Params!$H$3:$H$6</xm:f>
          </x14:formula1>
          <xm:sqref>M14:M26</xm:sqref>
        </x14:dataValidation>
        <x14:dataValidation type="list" allowBlank="1" showInputMessage="1" showErrorMessage="1" xr:uid="{63FB3CBD-0303-4DD5-A1D9-0AE10EE7B36C}">
          <x14:formula1>
            <xm:f>Params!$C$3:$C$10</xm:f>
          </x14:formula1>
          <xm:sqref>E14:E26</xm:sqref>
        </x14:dataValidation>
        <x14:dataValidation type="list" allowBlank="1" showInputMessage="1" showErrorMessage="1" xr:uid="{ACD971DD-EBC0-49A2-8B0F-955749BFC348}">
          <x14:formula1>
            <xm:f>Params!$I$3:$I$19</xm:f>
          </x14:formula1>
          <xm:sqref>F14:F26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J2" sqref="J2"/>
    </sheetView>
  </sheetViews>
  <sheetFormatPr baseColWidth="10" defaultColWidth="11.44140625" defaultRowHeight="13.8" x14ac:dyDescent="0.25"/>
  <cols>
    <col min="1" max="2" width="11.44140625" style="10"/>
    <col min="3" max="4" width="19.6640625" style="10" customWidth="1"/>
    <col min="5" max="5" width="23.88671875" style="10" customWidth="1"/>
    <col min="6" max="6" width="14.44140625" style="10" customWidth="1"/>
    <col min="7" max="7" width="23.88671875" style="10" customWidth="1"/>
    <col min="8" max="8" width="25.109375" style="10" customWidth="1"/>
    <col min="9" max="9" width="20.44140625" style="10" customWidth="1"/>
    <col min="10" max="16384" width="11.44140625" style="10"/>
  </cols>
  <sheetData>
    <row r="2" spans="2:9" ht="27.6" x14ac:dyDescent="0.25">
      <c r="B2" s="11" t="s">
        <v>2</v>
      </c>
      <c r="C2" s="11" t="s">
        <v>123</v>
      </c>
      <c r="D2" s="11" t="s">
        <v>125</v>
      </c>
      <c r="E2" s="11" t="s">
        <v>126</v>
      </c>
      <c r="F2" s="11" t="s">
        <v>168</v>
      </c>
      <c r="G2" s="11" t="s">
        <v>129</v>
      </c>
      <c r="H2" s="11" t="s">
        <v>169</v>
      </c>
      <c r="I2" s="11" t="s">
        <v>124</v>
      </c>
    </row>
    <row r="3" spans="2:9" x14ac:dyDescent="0.25">
      <c r="B3" s="10" t="s">
        <v>170</v>
      </c>
      <c r="C3" s="10" t="s">
        <v>138</v>
      </c>
      <c r="D3" s="10" t="s">
        <v>139</v>
      </c>
      <c r="E3" s="10" t="s">
        <v>141</v>
      </c>
      <c r="F3" s="10" t="s">
        <v>26</v>
      </c>
      <c r="G3" s="10" t="s">
        <v>171</v>
      </c>
      <c r="H3" s="10" t="s">
        <v>172</v>
      </c>
      <c r="I3" s="10" t="s">
        <v>173</v>
      </c>
    </row>
    <row r="4" spans="2:9" x14ac:dyDescent="0.25">
      <c r="B4" s="10" t="s">
        <v>174</v>
      </c>
      <c r="C4" s="10" t="s">
        <v>175</v>
      </c>
      <c r="D4" s="10" t="s">
        <v>176</v>
      </c>
      <c r="E4" s="10" t="s">
        <v>177</v>
      </c>
      <c r="F4" s="10" t="s">
        <v>30</v>
      </c>
      <c r="G4" s="10" t="s">
        <v>178</v>
      </c>
      <c r="H4" s="10" t="s">
        <v>179</v>
      </c>
      <c r="I4" s="10" t="s">
        <v>180</v>
      </c>
    </row>
    <row r="5" spans="2:9" x14ac:dyDescent="0.25">
      <c r="B5" s="10" t="s">
        <v>181</v>
      </c>
      <c r="C5" s="10" t="s">
        <v>167</v>
      </c>
      <c r="D5" s="10" t="s">
        <v>182</v>
      </c>
      <c r="E5" s="10" t="s">
        <v>183</v>
      </c>
      <c r="F5" s="10" t="s">
        <v>147</v>
      </c>
      <c r="G5" s="10" t="s">
        <v>147</v>
      </c>
      <c r="H5" s="10" t="s">
        <v>147</v>
      </c>
      <c r="I5" s="10" t="s">
        <v>184</v>
      </c>
    </row>
    <row r="6" spans="2:9" x14ac:dyDescent="0.25">
      <c r="B6" s="10" t="s">
        <v>3</v>
      </c>
      <c r="C6" s="10" t="s">
        <v>96</v>
      </c>
      <c r="D6" s="10" t="s">
        <v>185</v>
      </c>
      <c r="E6" s="10" t="s">
        <v>186</v>
      </c>
      <c r="I6" s="10" t="s">
        <v>187</v>
      </c>
    </row>
    <row r="7" spans="2:9" x14ac:dyDescent="0.25">
      <c r="B7" s="10" t="s">
        <v>188</v>
      </c>
      <c r="C7" s="10" t="s">
        <v>163</v>
      </c>
      <c r="D7" s="10" t="s">
        <v>189</v>
      </c>
      <c r="E7" s="10" t="s">
        <v>190</v>
      </c>
      <c r="I7" s="10" t="s">
        <v>191</v>
      </c>
    </row>
    <row r="8" spans="2:9" x14ac:dyDescent="0.25">
      <c r="B8" s="10" t="s">
        <v>192</v>
      </c>
      <c r="C8" s="10" t="s">
        <v>193</v>
      </c>
      <c r="E8" s="10" t="s">
        <v>194</v>
      </c>
      <c r="I8" s="10" t="s">
        <v>195</v>
      </c>
    </row>
    <row r="9" spans="2:9" x14ac:dyDescent="0.25">
      <c r="B9" s="10" t="s">
        <v>196</v>
      </c>
      <c r="E9" s="10" t="s">
        <v>197</v>
      </c>
      <c r="I9" s="10" t="s">
        <v>198</v>
      </c>
    </row>
    <row r="10" spans="2:9" x14ac:dyDescent="0.25">
      <c r="I10" s="10" t="s">
        <v>199</v>
      </c>
    </row>
    <row r="11" spans="2:9" x14ac:dyDescent="0.25">
      <c r="I11" s="10" t="s">
        <v>200</v>
      </c>
    </row>
    <row r="13" spans="2:9" x14ac:dyDescent="0.25">
      <c r="I13" s="10" t="s">
        <v>201</v>
      </c>
    </row>
    <row r="14" spans="2:9" x14ac:dyDescent="0.25">
      <c r="I14" s="10" t="s">
        <v>202</v>
      </c>
    </row>
    <row r="15" spans="2:9" x14ac:dyDescent="0.25">
      <c r="I15" s="10" t="s">
        <v>203</v>
      </c>
    </row>
    <row r="16" spans="2:9" x14ac:dyDescent="0.25">
      <c r="I16" s="10" t="s">
        <v>204</v>
      </c>
    </row>
    <row r="17" spans="9:9" x14ac:dyDescent="0.25">
      <c r="I17" s="10" t="s">
        <v>205</v>
      </c>
    </row>
    <row r="18" spans="9:9" x14ac:dyDescent="0.25">
      <c r="I18" s="10" t="s">
        <v>206</v>
      </c>
    </row>
    <row r="19" spans="9:9" x14ac:dyDescent="0.25">
      <c r="I19" s="10" t="s">
        <v>207</v>
      </c>
    </row>
    <row r="21" spans="9:9" x14ac:dyDescent="0.25">
      <c r="I21" s="10" t="s">
        <v>208</v>
      </c>
    </row>
    <row r="22" spans="9:9" ht="27.6" x14ac:dyDescent="0.25">
      <c r="I22" s="10" t="s">
        <v>209</v>
      </c>
    </row>
  </sheetData>
  <pageMargins left="0.7" right="0.7" top="0.75" bottom="0.75" header="0.3" footer="0.3"/>
  <headerFooter>
    <oddFooter xml:space="preserve">&amp;L_x000D_&amp;1#&amp;"Tahoma"&amp;9&amp;KCF022B C2 – Usage restreint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F15" sqref="F15"/>
    </sheetView>
  </sheetViews>
  <sheetFormatPr baseColWidth="10" defaultColWidth="11.44140625" defaultRowHeight="14.4" x14ac:dyDescent="0.3"/>
  <cols>
    <col min="1" max="1" width="12" style="2" customWidth="1"/>
    <col min="2" max="2" width="10.109375" style="2" customWidth="1"/>
    <col min="3" max="3" width="11.44140625" style="2"/>
    <col min="4" max="4" width="58.33203125" style="2" customWidth="1"/>
    <col min="5" max="5" width="15.88671875" style="2" customWidth="1"/>
    <col min="6" max="6" width="22.33203125" style="2" customWidth="1"/>
    <col min="7" max="7" width="16.5546875" style="2" customWidth="1"/>
    <col min="8" max="16384" width="11.44140625" style="2"/>
  </cols>
  <sheetData>
    <row r="2" spans="1:7" ht="15" thickBot="1" x14ac:dyDescent="0.35"/>
    <row r="3" spans="1:7" ht="24" customHeight="1" thickBot="1" x14ac:dyDescent="0.35">
      <c r="A3" s="2" t="s">
        <v>210</v>
      </c>
      <c r="B3" s="57" t="s">
        <v>0</v>
      </c>
      <c r="C3" s="58"/>
      <c r="D3" s="58"/>
      <c r="E3" s="58"/>
      <c r="F3" s="58"/>
      <c r="G3" s="59"/>
    </row>
    <row r="4" spans="1:7" x14ac:dyDescent="0.3">
      <c r="B4" s="4"/>
      <c r="C4" s="5"/>
      <c r="D4" s="5"/>
      <c r="E4" s="5"/>
      <c r="F4" s="5"/>
      <c r="G4" s="5"/>
    </row>
    <row r="5" spans="1:7" x14ac:dyDescent="0.3">
      <c r="B5" s="12" t="str">
        <f>'Gestion Exigences'!B5</f>
        <v>Client</v>
      </c>
      <c r="D5" s="12">
        <f>'Gestion Exigences'!E5</f>
        <v>0</v>
      </c>
      <c r="E5" s="5"/>
      <c r="F5" s="5"/>
      <c r="G5" s="5"/>
    </row>
    <row r="6" spans="1:7" x14ac:dyDescent="0.3">
      <c r="B6" s="12" t="str">
        <f>'Gestion Exigences'!B6</f>
        <v>Projet</v>
      </c>
      <c r="D6" s="12">
        <f>'Gestion Exigences'!E6</f>
        <v>0</v>
      </c>
      <c r="E6" s="5"/>
      <c r="F6" s="5"/>
      <c r="G6" s="5"/>
    </row>
    <row r="7" spans="1:7" x14ac:dyDescent="0.3">
      <c r="B7" s="12" t="str">
        <f>'Gestion Exigences'!B7</f>
        <v>Réf BPA du Devis</v>
      </c>
      <c r="D7" s="12" t="str">
        <f>'Gestion Exigences'!E7</f>
        <v>S0-00xyz</v>
      </c>
      <c r="E7" s="5"/>
      <c r="F7" s="5"/>
      <c r="G7" s="5"/>
    </row>
    <row r="8" spans="1:7" x14ac:dyDescent="0.3">
      <c r="B8" s="12" t="str">
        <f>'Gestion Exigences'!B8</f>
        <v>Réf BPA du Projet</v>
      </c>
      <c r="D8" s="12" t="str">
        <f>'Gestion Exigences'!E8</f>
        <v>PR-22-0xyz</v>
      </c>
      <c r="E8" s="5"/>
      <c r="F8" s="5"/>
      <c r="G8" s="5"/>
    </row>
    <row r="9" spans="1:7" x14ac:dyDescent="0.3">
      <c r="B9" s="4"/>
      <c r="C9" s="12"/>
      <c r="D9" s="5"/>
      <c r="E9" s="5"/>
      <c r="F9" s="5"/>
      <c r="G9" s="5"/>
    </row>
    <row r="10" spans="1:7" x14ac:dyDescent="0.3">
      <c r="B10" s="22" t="str">
        <f>'Gestion Exigences'!B10</f>
        <v>Réf Modèle Document</v>
      </c>
      <c r="C10" s="23" t="str">
        <f>'Gestion Exigences'!E10</f>
        <v>MD203</v>
      </c>
      <c r="D10" s="5"/>
      <c r="E10" s="5"/>
      <c r="F10" s="5"/>
      <c r="G10" s="5"/>
    </row>
    <row r="11" spans="1:7" x14ac:dyDescent="0.3">
      <c r="B11" s="22" t="str">
        <f>'Gestion Exigences'!B11</f>
        <v>Version Modèle Document</v>
      </c>
      <c r="C11" s="23" t="str">
        <f>'Gestion Exigences'!E11</f>
        <v>V1.5</v>
      </c>
      <c r="D11" s="5"/>
      <c r="E11" s="5"/>
      <c r="F11" s="5"/>
      <c r="G11" s="5"/>
    </row>
    <row r="12" spans="1:7" x14ac:dyDescent="0.3">
      <c r="B12" s="4"/>
      <c r="C12" s="5"/>
      <c r="D12" s="5"/>
      <c r="E12" s="5"/>
      <c r="F12" s="5"/>
      <c r="G12" s="5"/>
    </row>
    <row r="13" spans="1:7" x14ac:dyDescent="0.3">
      <c r="B13" s="13" t="s">
        <v>211</v>
      </c>
      <c r="C13" s="13" t="s">
        <v>212</v>
      </c>
      <c r="D13" s="13" t="s">
        <v>213</v>
      </c>
      <c r="E13" s="13" t="s">
        <v>214</v>
      </c>
      <c r="F13" s="13" t="s">
        <v>215</v>
      </c>
      <c r="G13" s="13" t="s">
        <v>216</v>
      </c>
    </row>
    <row r="14" spans="1:7" ht="29.4" customHeight="1" x14ac:dyDescent="0.3">
      <c r="B14" s="6" t="s">
        <v>217</v>
      </c>
      <c r="C14" s="7">
        <v>45342</v>
      </c>
      <c r="D14" s="20" t="s">
        <v>218</v>
      </c>
      <c r="E14" s="6" t="s">
        <v>219</v>
      </c>
      <c r="F14" s="19" t="s">
        <v>220</v>
      </c>
      <c r="G14" s="6" t="s">
        <v>221</v>
      </c>
    </row>
    <row r="15" spans="1:7" x14ac:dyDescent="0.3">
      <c r="C15" s="30"/>
    </row>
    <row r="16" spans="1:7" x14ac:dyDescent="0.3">
      <c r="C16" s="30"/>
    </row>
  </sheetData>
  <mergeCells count="1">
    <mergeCell ref="B3:G3"/>
  </mergeCells>
  <pageMargins left="0.7" right="0.7" top="0.75" bottom="0.75" header="0.3" footer="0.3"/>
  <pageSetup paperSize="9" scale="95" orientation="landscape" r:id="rId1"/>
  <headerFooter>
    <oddFooter xml:space="preserve">&amp;L_x000D_&amp;1#&amp;"Tahoma"&amp;9&amp;KCF022B C2 – Usage restreint </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ds:schemaRefs>
    <ds:schemaRef ds:uri="43b908ec-9e92-424c-a4ad-3174bac6e888"/>
    <ds:schemaRef ds:uri="5f2f9e80-f74a-40c7-b145-b94d8e4966f0"/>
    <ds:schemaRef ds:uri="http://purl.org/dc/elements/1.1/"/>
    <ds:schemaRef ds:uri="http://purl.org/dc/terms/"/>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53E261FE-08AF-4C9E-BB83-FE2AF2E9CD72}"/>
</file>

<file path=docMetadata/LabelInfo.xml><?xml version="1.0" encoding="utf-8"?>
<clbl:labelList xmlns:clbl="http://schemas.microsoft.com/office/2020/mipLabelMetadata">
  <clbl:label id="{7bd1f144-26ac-4410-8fdb-05c7de218e82}"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3</vt:i4>
      </vt:variant>
    </vt:vector>
  </HeadingPairs>
  <TitlesOfParts>
    <vt:vector size="7" baseType="lpstr">
      <vt:lpstr>Gestion Exigences Détaillée</vt:lpstr>
      <vt:lpstr>Gestion Exigences</vt:lpstr>
      <vt:lpstr>Params</vt:lpstr>
      <vt:lpstr>Modifs Doc</vt:lpstr>
      <vt:lpstr>'Gestion Exigences'!Zone_d_impression</vt:lpstr>
      <vt:lpstr>'Gestion Exigences Détaillée'!Zone_d_impression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Baha Khzouri</cp:lastModifiedBy>
  <cp:revision/>
  <dcterms:created xsi:type="dcterms:W3CDTF">2000-07-05T17:03:55Z</dcterms:created>
  <dcterms:modified xsi:type="dcterms:W3CDTF">2025-11-27T15:29:47Z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