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momsoftware.sharepoint.com/sites/Commercial/Documents partages/06 Prospects/065 Mobitech/20 Projet digitalisation et suivi des opérations d’assemblage/2 Préparation Offre/"/>
    </mc:Choice>
  </mc:AlternateContent>
  <xr:revisionPtr revIDLastSave="77" documentId="8_{E91A9D94-9FAD-4B45-8F88-16DA6064F354}" xr6:coauthVersionLast="47" xr6:coauthVersionMax="47" xr10:uidLastSave="{59357E75-F562-4907-8118-ADF30076FE55}"/>
  <bookViews>
    <workbookView xWindow="-110" yWindow="-110" windowWidth="19420" windowHeight="10300" tabRatio="620" xr2:uid="{00000000-000D-0000-FFFF-FFFF00000000}"/>
  </bookViews>
  <sheets>
    <sheet name="Gestion Exigences" sheetId="27" r:id="rId1"/>
    <sheet name="Modifs Doc" sheetId="29" r:id="rId2"/>
    <sheet name="Params" sheetId="30" r:id="rId3"/>
  </sheets>
  <definedNames>
    <definedName name="_xlnm.Print_Area" localSheetId="0">'Gestion Exigences'!$D$2:$J$25</definedName>
    <definedName name="_xlnm.Print_Area" localSheetId="1">'Modifs Doc'!$B$2:$G$17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3" i="27" l="1"/>
  <c r="Q23" i="27" s="1"/>
  <c r="P21" i="27"/>
  <c r="Q21" i="27" s="1"/>
  <c r="P22" i="27"/>
  <c r="Q22" i="27" s="1"/>
  <c r="P20" i="27"/>
  <c r="Q20" i="27" s="1"/>
  <c r="P17" i="27"/>
  <c r="Q17" i="27" s="1"/>
  <c r="P18" i="27"/>
  <c r="Q18" i="27" s="1"/>
  <c r="P19" i="27"/>
  <c r="Q19" i="27" s="1"/>
  <c r="P35" i="27" l="1"/>
  <c r="Q35" i="27" s="1"/>
  <c r="P36" i="27"/>
  <c r="Q36" i="27" s="1"/>
  <c r="P26" i="27"/>
  <c r="Q26" i="27" s="1"/>
  <c r="P32" i="27"/>
  <c r="Q32" i="27" s="1"/>
  <c r="P31" i="27"/>
  <c r="Q31" i="27" s="1"/>
  <c r="P30" i="27"/>
  <c r="Q30" i="27" s="1"/>
  <c r="P27" i="27" l="1"/>
  <c r="Q27" i="27" s="1"/>
  <c r="P28" i="27"/>
  <c r="Q28" i="27" s="1"/>
  <c r="P29" i="27"/>
  <c r="Q29" i="27" s="1"/>
  <c r="P33" i="27"/>
  <c r="Q33" i="27" s="1"/>
  <c r="P34" i="27"/>
  <c r="Q34" i="27" s="1"/>
  <c r="P24" i="27" l="1"/>
  <c r="Q24" i="27" s="1"/>
  <c r="P25" i="27"/>
  <c r="Q25" i="27" s="1"/>
  <c r="O37" i="27" l="1"/>
  <c r="P16" i="27" l="1"/>
  <c r="Q16" i="27" s="1"/>
  <c r="P15" i="27"/>
  <c r="Q15" i="27" s="1"/>
  <c r="D8" i="29" l="1"/>
  <c r="D9" i="29"/>
  <c r="B6" i="29"/>
  <c r="D6" i="29"/>
  <c r="B7" i="29"/>
  <c r="D7" i="29"/>
  <c r="B8" i="29"/>
  <c r="B9" i="29"/>
  <c r="B11" i="29"/>
  <c r="D5" i="29"/>
  <c r="B5" i="29"/>
  <c r="P37" i="27" l="1"/>
  <c r="Q37" i="27" l="1"/>
</calcChain>
</file>

<file path=xl/sharedStrings.xml><?xml version="1.0" encoding="utf-8"?>
<sst xmlns="http://schemas.openxmlformats.org/spreadsheetml/2006/main" count="376" uniqueCount="190">
  <si>
    <t>Gestion Exigences Projet</t>
  </si>
  <si>
    <t>Chiffrage Réalisation/Analyse/Test</t>
  </si>
  <si>
    <t>Revue et Vérification Pendant la Conception</t>
  </si>
  <si>
    <t>BU</t>
  </si>
  <si>
    <t xml:space="preserve">SF </t>
  </si>
  <si>
    <t>Client</t>
  </si>
  <si>
    <t>Mobitech</t>
  </si>
  <si>
    <t>Projet</t>
  </si>
  <si>
    <t>Projet digitalisation et suivi des opérations d’assemblage</t>
  </si>
  <si>
    <t>Confidentiel | Usage Client Limité</t>
  </si>
  <si>
    <t>Réf BPA du Devis</t>
  </si>
  <si>
    <t>TBC</t>
  </si>
  <si>
    <t>Réf BPA du Projet</t>
  </si>
  <si>
    <t>MD203:V1.1</t>
  </si>
  <si>
    <t>Id exigence</t>
  </si>
  <si>
    <t>Objectif client</t>
  </si>
  <si>
    <t>Intitulé Exigence</t>
  </si>
  <si>
    <t>Nature</t>
  </si>
  <si>
    <t>Catégorie</t>
  </si>
  <si>
    <t>Exigence idenfiée pendant la phase</t>
  </si>
  <si>
    <t>Description de l'exigence</t>
  </si>
  <si>
    <t>Source</t>
  </si>
  <si>
    <t>Desciption de la solution MOMSOFT</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</si>
  <si>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</si>
  <si>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</si>
  <si>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</si>
  <si>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</si>
  <si>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</si>
  <si>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</si>
  <si>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</si>
  <si>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</si>
  <si>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</si>
  <si>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</si>
  <si>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</si>
  <si>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</si>
  <si>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</si>
  <si>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</si>
  <si>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Configuration des données</t>
  </si>
  <si>
    <t>SF-Fonctionnelle</t>
  </si>
  <si>
    <t>Commerciale</t>
  </si>
  <si>
    <t>Workshop/réunion client</t>
  </si>
  <si>
    <t>Configuration complète et gestion d'usine</t>
  </si>
  <si>
    <t>Standard</t>
  </si>
  <si>
    <t>La solution propose un module "Configuration" permettant la modélisation, la gestion et la planification d'une usine connectée :
*Modélisation hiérarchique de l'usine : sites, ateliers, lignes, postes, machines
*Gestion des produits
*Gestion des incidents et des défauts
*Gestion des utilisateurs et des autorisations : rôles et accès contrôlés
*Gestion des équipes
*Planification des lignes et des équipes</t>
  </si>
  <si>
    <t>RAS</t>
  </si>
  <si>
    <t>Validée</t>
  </si>
  <si>
    <t>Mahdi B.</t>
  </si>
  <si>
    <t>Validée par le client</t>
  </si>
  <si>
    <t>E002</t>
  </si>
  <si>
    <t>Chargement des données à partir des fichiers CSV</t>
  </si>
  <si>
    <t>Chargement automatisé des données dans la solution</t>
  </si>
  <si>
    <t>La solution comprend un module « Intégration » pour l'intégration automatisée des données : importation automatique des données à partir de fichiers CSV . Elle prend en charge les entités utilisateur, produit, gammes de contrôle, gammes opératoire, nomrnclature et outillage, avec une gestion détaillée des erreurs pour l'intégration.</t>
  </si>
  <si>
    <t>E003</t>
  </si>
  <si>
    <t xml:space="preserve">Gestion de la nomenclature </t>
  </si>
  <si>
    <t xml:space="preserve">Permettre la gestion de la nomenclature </t>
  </si>
  <si>
    <t>Adaptation</t>
  </si>
  <si>
    <t xml:space="preserve">La solution offre une interface “Nomenclature” permettant :
* La création, la modification, la suppression des nomenclature.
* L'affectation nomenclature - produit.
* L'affectation nomenclature -opération.
</t>
  </si>
  <si>
    <t>E004</t>
  </si>
  <si>
    <t>Gestion de la gamme opératoire</t>
  </si>
  <si>
    <t>Permettre la gestion de la gamme opératoire</t>
  </si>
  <si>
    <t xml:space="preserve">La solution offre une interface “Gamme opératoire” permettant :
* La création, la modification, la suppression des gammes opératoires.
* L’affectation gamme opératoire - Produit.
* L'affectation gamme opératoire - Poste.
</t>
  </si>
  <si>
    <t>E005</t>
  </si>
  <si>
    <t>Gestion des compétences</t>
  </si>
  <si>
    <t>Permettre la gestion des compétences</t>
  </si>
  <si>
    <t xml:space="preserve">La solution propose une interface « Gestion des compétences » permettant : 
* La création, la modification, la suppression des compétences.
* L’affectation compétence - opération.
* L’affectation compétence - opérateur.
</t>
  </si>
  <si>
    <t>E006</t>
  </si>
  <si>
    <t xml:space="preserve">Intégration des OF </t>
  </si>
  <si>
    <t>SF-Intégration SI</t>
  </si>
  <si>
    <t>Chargement des OF planifiés "fermes" à partir de l'ERP  à travers webservices .</t>
  </si>
  <si>
    <t xml:space="preserve">Mise en place d'un webservice pour le chargement des OF planifiés à partir de l'ERP.
Cette exigence nécessite un travail de collaboration entre l'équipe MOMSOFT et l'équipe ERP.
</t>
  </si>
  <si>
    <t>E007</t>
  </si>
  <si>
    <t>Gestion et suivi  des ordres de fabrications</t>
  </si>
  <si>
    <t xml:space="preserve">Gérer et suivre les ordres de fabrications </t>
  </si>
  <si>
    <t xml:space="preserve">Standard </t>
  </si>
  <si>
    <t>La solution offre une interface "Gestion des OF" sous le module "Production" permettant :
*Ajout manuel des Ordres de fabrication en spécifiant les informations associées nécessaires : Atelier , ligne , commande ,  produit , temps de cycle , quantité objectif , temps de changement de série , matière .
*Gestion centralisée des OF:
Gestion et suivi des différents statuts des OF (planifié, lancé, suspendu, changement de série, etc.)
Mise à jour en temps réel des statuts
Workflow de validation des changements de statut paramétrables
*Gestion des opérations associées à un OF:
Calcul des dates de début et fin prévues pour chaque opération
Suivi d'avancement des opérations
*Planification et ajustement :
Planification initiale des OF en fonction des données saisies 
Ajustement de la planification en cas d'aléas
Consultation en temps réel de l'impact des ajustements sur la planification globale. Affectation compétence / Opérateur</t>
  </si>
  <si>
    <t>E008</t>
  </si>
  <si>
    <t>Planification des ressources</t>
  </si>
  <si>
    <t>Permettre la visualisation du planning par ligne, poste, OF et opération.</t>
  </si>
  <si>
    <t xml:space="preserve">La solution offre une interface “planification des ressources”offrant une vue complète de la planification et du taux d’avancement des OF, OM et opérations par rapport au planning, afin d’éviter tout retard de livraison des commandes et tout chevauchement des activités de production et de maintenance.
</t>
  </si>
  <si>
    <t>E009</t>
  </si>
  <si>
    <t xml:space="preserve">Gestion  et suivi des opérations </t>
  </si>
  <si>
    <t>Permettre la gestion  et le suivi des opérations.</t>
  </si>
  <si>
    <t xml:space="preserve">La solution offre une interface “Gestion des opérations” qui assure la gestion (création, modification et suppression) ainsi que le suivi des statuts des opérations (planifié, lancé, suspendu).
</t>
  </si>
  <si>
    <t>E010</t>
  </si>
  <si>
    <t>Gestion et suivi de la prodution par OF</t>
  </si>
  <si>
    <t>Déclaration manuelle et automatique de la production et des non-conformité et des arrêts en assurant un suivi en temps réel et un historique détaillé.</t>
  </si>
  <si>
    <t>La solution comprend un sous module "Gestion de Production par OF" offrant les fonctionnalités suivantes :
*Gestion des OF : 
Liste et suivi des ordres de fabrication avec possibilités de création, modification, suppression, démarrage, suspension et clôture.
*Déclaration de la production ( manuelle et automatique) : 
Enregistrement des quantités produites et des non-conformités pour chaque OF et pour chaque opération , ligne, et produit. avec la possibilité de la déclaration par lot.
*Validation des déclarations :Workflow de validation des déclarations de production avec des niveaux de validation paramétrables 
*Rapports détaillés : Accès à des rapports détaillés sur l'historique de production, incluant les quantités produites, les non-conformités, ainsi que les performances des lignes et des opérateurs.
*Filtrage avancé : Possibilité de filtrer les données par OF, équipe, ligne, produit, et période de production.</t>
  </si>
  <si>
    <t>E011</t>
  </si>
  <si>
    <t>Gestion et suivi de production par opération</t>
  </si>
  <si>
    <t>Permettre la gestion de production des opérations</t>
  </si>
  <si>
    <t>La solution offre un sous module "Gestion production par opération" assurant les fonctionnalités suivantes :
*Gestion des opérations : 
Liste et suivi des opérations avec possibilités de création, modification, suppression, démarrage, suspension et clôture.
*Déclaration par opération et OF : quantités conformes, non conformes, rebutées et en retouche (rework).
*Suivi des opérations : mise à jour des statuts en temps réel, calcul des dates prévues, suivi de l’avancement.
*Historique des opérations : temps opératoire, temps de réglage, temps d’attente, quantité produite, OK/NOK, rework, quantité rebutée.</t>
  </si>
  <si>
    <t>E012</t>
  </si>
  <si>
    <t>Historisation des déclarations de production</t>
  </si>
  <si>
    <t>Fournir un historique détaillé des déclarations de production</t>
  </si>
  <si>
    <t>La solution offre une interface "Détail Production" permettant d'historiser tous les déclaration de production par Atelier , Ligne, poste  , OF , opérateur, produits , client.</t>
  </si>
  <si>
    <t>E013</t>
  </si>
  <si>
    <t>Compte rendu OF</t>
  </si>
  <si>
    <t>Reporting complet de la qualité, de la production et de la maintenance tout au long du cycle de vie de l’OF.</t>
  </si>
  <si>
    <t>La solution propose un rapport complet présentant, pour chaque shift et tout au long du cycle de vie de l’OF et des opérations associées, les informations relatives à la qualité, à la production et à la maintenance.</t>
  </si>
  <si>
    <t>E014</t>
  </si>
  <si>
    <t>Impression compte rendu OF</t>
  </si>
  <si>
    <t>Historisation complète de toutes les fiches du dossier de l’OF</t>
  </si>
  <si>
    <t xml:space="preserve">La solution offre une interface permettant de : 
*L’export des fiches relatives a l'OF et aux opérations (démarrage, suivi, fin de série)
*L’impression des fiches </t>
  </si>
  <si>
    <t>E015</t>
  </si>
  <si>
    <t>Suivi en temps réel</t>
  </si>
  <si>
    <t>Suivi en temps réel des KPIs</t>
  </si>
  <si>
    <t>La solution offre une supervision de production en temps réel avec le module "Vue 360°" permettant de  : 
*Visualiser l'état des lignes et des postes de travails en temps réel avec codification couleur paramétrable.-Suivire des indicateurs clés de performance (KPI): 
TRS équipe et OF ,Taux de performance, disponibilité et qualité , PPM (pièces par million)
*Suivre de la progression des OF et des opérations.
*Analyser des arrêts: Durées, causes et nombre d'occurrences.
*Visualiser la production et non-conformité en temps réel: 
Production totale et horaire par équipe , Non-conformité totale et horaire par équipe avec catégorisation par défaut qualité.</t>
  </si>
  <si>
    <t>E016</t>
  </si>
  <si>
    <t>Fiche non-conformité</t>
  </si>
  <si>
    <t>Déclaration des non-conformités détectées par l'opérateur/ contrôleur qualité et leur validation par le responsable qualité</t>
  </si>
  <si>
    <t>La solution propose une interface "Fiche Non-Conformité" pour identifier, documenter, analyser et résoudre les incidents de qualité en production, avec les fonctionnalités suivantes :
-Identification du problème : Tracer la pièce concernée, ajouter une photo et l’associer à la fiche.
Définir le lieu de détection, le type de défaut, et la quantité affectée,Analyser les causes racines (QQCQ), Indiquer le statut du produit (isolé, livré, bloqué).
-Actions immédiates :Définir les actions correctives, Décider si le produit sera livré après correction ou nécessite un traitement supplémentaire, Fournir une description complète de la non-conformité.
-Analyse des causes :Utiliser les méthodologies 5M (Ishikawa) et 5 Pourquoi.
-Actions définitives :Élaborer un plan pour traiter les causes profondes et prévenir la récurrence.
Attribuer les responsabilités, informer les parties concernées, et planifier les dates d'exécution.
-Historique et consultation :Maintenir un référentiel centralisé des fiches de non-conformité</t>
  </si>
  <si>
    <t>E017</t>
  </si>
  <si>
    <t>Historisation des déclarations de non conformités</t>
  </si>
  <si>
    <t xml:space="preserve">Fournir un historique détaillé des déclarations de non-conformité </t>
  </si>
  <si>
    <t xml:space="preserve">La solution offre une interface "Détail Qualité" permettant d'historiser tous les déclaration des non-conformité par Atelier , Ligne, , poste, OF , opérateur, opération, produits , client avec une décortication des défauts de chaque déclaration </t>
  </si>
  <si>
    <t>E018</t>
  </si>
  <si>
    <t>Tableau de bord qualité</t>
  </si>
  <si>
    <t>Historisation et visualisation des indicateurs de performance qualité</t>
  </si>
  <si>
    <t>La solution offre Un tableau de bord qualité fournissant une visualisation flexible des performances qualité par (atelier, ligne, poste, machine, opération et OF), sur différents intervalles (années, mois, semaines, jours, shifts), et offrant les fonctionnalités suivantes :
-Suivre les taux de qualité et les taux de rebut par atelier et par ligne
-Suivre les quantités et les coûts des non-conformités
-Analyser les quantités de non-conformités par type de défaut
-Présenter des diagrammes de Pareto des défauts</t>
  </si>
  <si>
    <t>E019</t>
  </si>
  <si>
    <t>Tableau de bord production</t>
  </si>
  <si>
    <t>Analyser la performance historique des lignes de production
Analyser l'évolution des indicateurs clés au cours du temps pour chaque ligne de production.</t>
  </si>
  <si>
    <t xml:space="preserve">La solution propose un tableau de bord offrant une vue multi-niveaux de la production par (atelier, ligne, poste, machine, opération et OF), sur différents intervalles (années, mois, semaines, jours, shifts), et utilisant des indicateurs tels que le TRS, la quantité produite par rapport à la quantité planifiée, le temps d’arrêt par rapport au temps de production, etc.
</t>
  </si>
  <si>
    <t>E020</t>
  </si>
  <si>
    <t xml:space="preserve">Déclaration production </t>
  </si>
  <si>
    <t>Déclaration des quantités produites dans l'ERP après validation du contrôle Qualité.</t>
  </si>
  <si>
    <t>Déclaration des quantités produites dans l'ERP après validation du contrôle qualité via webservice.</t>
  </si>
  <si>
    <t>E021</t>
  </si>
  <si>
    <t>Extraction de données</t>
  </si>
  <si>
    <t>Extraction des données de l’ensemble des données des différents modules</t>
  </si>
  <si>
    <t>La solution offre la possibilité de l'extraction flexible des données de production, qualité et maintenance dans des fichiers CSV/Excel à partir des interfaces suivantes : 
-Historique des Arrêts :Durées et causes des arrêts.
-Détail Production et Historique par Shift :Quantités conformes, rebuts, total produit, temps de cycle net et effectif, durées de changement de série, durée de production, TRS.
-Détail Qualité :Défauts et quantités non conformes.
-Résumé OF :Synthèse complète des données de production, qualité, et maintenance par ordre de fabrication (OF).</t>
  </si>
  <si>
    <t>E022</t>
  </si>
  <si>
    <t>Instruction de travail</t>
  </si>
  <si>
    <t>Mise à disposition de documents électroniques et d'instructions de travail pour guider les opérateurs tout au long du processus de production. Sur les postes critiques de l’unité.</t>
  </si>
  <si>
    <t>La solution offre un module "Instruction de travail" qui permet :
-Chargement : Importation des fichiers d'instructions.
-Catégorisation : Classification par qualité, maintenance, et production.
-Affectation : Attribution des instructions par ligne, opération et produit.
-Gestion des Versions : Centralisation et gestion du versionnage des documents.
Accessibilité : Accès en temps réel aux instructions pour les opérateurs et l'équipe qualité.</t>
  </si>
  <si>
    <t xml:space="preserve"> </t>
  </si>
  <si>
    <t>Version</t>
  </si>
  <si>
    <t>Date</t>
  </si>
  <si>
    <t>Modifications</t>
  </si>
  <si>
    <t>Auteur(s)</t>
  </si>
  <si>
    <t>Vérificateur(s)</t>
  </si>
  <si>
    <t>Approbateur</t>
  </si>
  <si>
    <t>V1.0</t>
  </si>
  <si>
    <t>Version initiale</t>
  </si>
  <si>
    <t>Moatez D.</t>
  </si>
  <si>
    <t>N/A</t>
  </si>
  <si>
    <t>Overhead Analyse</t>
  </si>
  <si>
    <t>Overhead Test</t>
  </si>
  <si>
    <t>Objectifs client</t>
  </si>
  <si>
    <t>Exigence identifiée pendant la phase</t>
  </si>
  <si>
    <t>Oui/Non</t>
  </si>
  <si>
    <t>Statut Interne</t>
  </si>
  <si>
    <t>A liste dans params</t>
  </si>
  <si>
    <t>Fonctionnelle</t>
  </si>
  <si>
    <t>CdC client</t>
  </si>
  <si>
    <t>Oui</t>
  </si>
  <si>
    <t>*** SF</t>
  </si>
  <si>
    <t>gestion des opérateurs et de plannification</t>
  </si>
  <si>
    <t>Services</t>
  </si>
  <si>
    <t>Performance</t>
  </si>
  <si>
    <t>Conception</t>
  </si>
  <si>
    <t>Non</t>
  </si>
  <si>
    <t>Non validée par client</t>
  </si>
  <si>
    <t>Non validée</t>
  </si>
  <si>
    <t>SF-Processus</t>
  </si>
  <si>
    <t>Détection automatique de la production</t>
  </si>
  <si>
    <t>A définir</t>
  </si>
  <si>
    <t>Reglementaire</t>
  </si>
  <si>
    <t>Réalisation</t>
  </si>
  <si>
    <t>Workshop/réunion Interne</t>
  </si>
  <si>
    <t>Exportation des données de production</t>
  </si>
  <si>
    <t>Sécurité</t>
  </si>
  <si>
    <t>Mise en œuvre</t>
  </si>
  <si>
    <t>Standards client</t>
  </si>
  <si>
    <t>SF-Connectivité Machine</t>
  </si>
  <si>
    <t>Suivi de rendement en temps réel</t>
  </si>
  <si>
    <t>Standard Client</t>
  </si>
  <si>
    <t>Support et maintenance</t>
  </si>
  <si>
    <t>Standards MOMSOFT</t>
  </si>
  <si>
    <t xml:space="preserve">Chargement des OF planifiés à partir de l'ERP </t>
  </si>
  <si>
    <t>Standard MOMSOFT</t>
  </si>
  <si>
    <t>Reglementation</t>
  </si>
  <si>
    <t>SF-Software</t>
  </si>
  <si>
    <t>Demande modification</t>
  </si>
  <si>
    <t>SF-Infra IT</t>
  </si>
  <si>
    <t>Gestion et suivi de la production</t>
  </si>
  <si>
    <t>Gestion de la consommation des ordres de fabrications</t>
  </si>
  <si>
    <t>*** Services</t>
  </si>
  <si>
    <t>Suivi  de la consommation des ordres de fabrications</t>
  </si>
  <si>
    <t>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</si>
</sst>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0"/>
      <color rgb="FFFF0000"/>
      <name val="Calibri Light"/>
      <family val="2"/>
      <scheme val="major"/>
    </font>
    <font>
      <sz val="4"/>
      <name val="Calibri Light"/>
      <family val="2"/>
      <scheme val="major"/>
    </font>
    <font>
      <sz val="10"/>
      <color theme="0"/>
      <name val="Calibri Light"/>
      <family val="2"/>
      <scheme val="major"/>
    </font>
    <font>
      <b/>
      <sz val="12"/>
      <color theme="0"/>
      <name val="Calibri Light"/>
      <family val="2"/>
    </font>
    <font>
      <b/>
      <sz val="11"/>
      <color theme="0"/>
      <name val="Calibri Light"/>
      <family val="2"/>
    </font>
    <font>
      <b/>
      <sz val="10"/>
      <color theme="0"/>
      <name val="Calibri Light"/>
      <family val="2"/>
      <scheme val="major"/>
    </font>
    <font>
      <sz val="10"/>
      <name val="Calibri Light"/>
      <family val="2"/>
    </font>
    <font>
      <sz val="3"/>
      <name val="Calibri Light"/>
      <family val="2"/>
    </font>
    <font>
      <sz val="8"/>
      <name val="Arial"/>
    </font>
    <font>
      <sz val="10"/>
      <color rgb="FF000000"/>
      <name val="Calibri Light"/>
      <family val="2"/>
    </font>
  </fonts>
  <fills count="6">
    <fill>
      <patternFill patternType="none"/>
    </fill>
    <fill>
      <patternFill patternType="gray125"/>
    </fill>
    <fill>
      <patternFill patternType="solid">
        <fgColor rgb="FF00E0B1"/>
        <bgColor indexed="64"/>
      </patternFill>
    </fill>
    <fill>
      <patternFill patternType="solid">
        <fgColor rgb="FF00425A"/>
        <bgColor indexed="64"/>
      </patternFill>
    </fill>
    <fill>
      <patternFill patternType="solid">
        <fgColor rgb="FF00B8FF"/>
        <bgColor indexed="64"/>
      </patternFill>
    </fill>
    <fill>
      <patternFill patternType="solid">
        <fgColor rgb="FFFF7F0B"/>
        <bgColor indexed="64"/>
      </patternFill>
    </fill>
  </fills>
  <borders count="1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rgb="FF00425A"/>
      </left>
      <right/>
      <top style="medium">
        <color rgb="FF00425A"/>
      </top>
      <bottom style="medium">
        <color indexed="64"/>
      </bottom>
      <diagonal/>
    </border>
    <border>
      <left/>
      <right/>
      <top style="medium">
        <color rgb="FF00425A"/>
      </top>
      <bottom style="medium">
        <color indexed="64"/>
      </bottom>
      <diagonal/>
    </border>
    <border>
      <left/>
      <right style="medium">
        <color rgb="FF00425A"/>
      </right>
      <top style="medium">
        <color rgb="FF00425A"/>
      </top>
      <bottom style="medium">
        <color indexed="64"/>
      </bottom>
      <diagonal/>
    </border>
    <border>
      <left style="medium">
        <color rgb="FF00425A"/>
      </left>
      <right/>
      <top/>
      <bottom/>
      <diagonal/>
    </border>
    <border>
      <left/>
      <right style="medium">
        <color rgb="FF00425A"/>
      </right>
      <top/>
      <bottom/>
      <diagonal/>
    </border>
    <border>
      <left/>
      <right/>
      <top style="thin">
        <color rgb="FF000000"/>
      </top>
      <bottom/>
      <diagonal/>
    </border>
  </borders>
  <cellStyleXfs count="1">
    <xf numFmtId="0" fontId="0" fillId="0" borderId="0"/>
  </cellStyleXfs>
  <cellXfs count="49">
    <xf numFmtId="0" fontId="0" fillId="0" borderId="0" xfId="0"/>
    <xf numFmtId="0" fontId="1" fillId="0" borderId="0" xfId="0" applyFont="1" applyAlignment="1">
      <alignment wrapText="1"/>
    </xf>
    <xf numFmtId="0" fontId="3"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1" fillId="0" borderId="0" xfId="0" applyFont="1" applyAlignment="1">
      <alignment vertical="center" wrapText="1"/>
    </xf>
    <xf numFmtId="0" fontId="9" fillId="0" borderId="0" xfId="0" applyFont="1" applyAlignment="1">
      <alignment vertical="center" wrapText="1"/>
    </xf>
    <xf numFmtId="0" fontId="6" fillId="0" borderId="0" xfId="0" applyFont="1" applyAlignment="1">
      <alignment horizontal="left" vertical="center"/>
    </xf>
    <xf numFmtId="0" fontId="8" fillId="0" borderId="0" xfId="0" applyFont="1" applyAlignment="1">
      <alignment wrapText="1"/>
    </xf>
    <xf numFmtId="0" fontId="8" fillId="0" borderId="0" xfId="0" applyFont="1" applyAlignment="1">
      <alignment vertical="center" wrapText="1"/>
    </xf>
    <xf numFmtId="0" fontId="14" fillId="2" borderId="2" xfId="0" applyFont="1" applyFill="1" applyBorder="1" applyAlignment="1">
      <alignment vertical="center" wrapText="1"/>
    </xf>
    <xf numFmtId="0" fontId="14" fillId="2" borderId="3" xfId="0" applyFont="1" applyFill="1" applyBorder="1" applyAlignment="1">
      <alignment vertical="center" wrapText="1"/>
    </xf>
    <xf numFmtId="0" fontId="16" fillId="2" borderId="0" xfId="0" applyFont="1" applyFill="1" applyAlignment="1">
      <alignment horizontal="center" vertical="center" wrapText="1"/>
    </xf>
    <xf numFmtId="0" fontId="18" fillId="0" borderId="0" xfId="0" applyFont="1" applyAlignment="1">
      <alignment vertical="center" wrapText="1"/>
    </xf>
    <xf numFmtId="14" fontId="18" fillId="0" borderId="0" xfId="0" applyNumberFormat="1" applyFont="1" applyAlignment="1">
      <alignment vertical="center" wrapText="1"/>
    </xf>
    <xf numFmtId="14" fontId="1" fillId="0" borderId="0" xfId="0" applyNumberFormat="1" applyFont="1" applyAlignment="1">
      <alignment wrapText="1"/>
    </xf>
    <xf numFmtId="0" fontId="17" fillId="2" borderId="0" xfId="0" applyFont="1" applyFill="1" applyAlignment="1">
      <alignment vertical="center" wrapText="1"/>
    </xf>
    <xf numFmtId="0" fontId="14" fillId="2" borderId="1" xfId="0" applyFont="1" applyFill="1" applyBorder="1" applyAlignment="1">
      <alignment vertical="center"/>
    </xf>
    <xf numFmtId="0" fontId="14" fillId="2" borderId="2" xfId="0" applyFont="1" applyFill="1" applyBorder="1" applyAlignment="1">
      <alignment vertical="center"/>
    </xf>
    <xf numFmtId="9" fontId="1" fillId="0" borderId="0" xfId="0" applyNumberFormat="1" applyFont="1" applyAlignment="1">
      <alignment vertical="center" wrapText="1"/>
    </xf>
    <xf numFmtId="0" fontId="1" fillId="0" borderId="0" xfId="0" applyFont="1" applyAlignment="1">
      <alignment vertical="center"/>
    </xf>
    <xf numFmtId="0" fontId="19" fillId="0" borderId="0" xfId="0" applyFont="1" applyAlignment="1">
      <alignment horizontal="left" vertical="center"/>
    </xf>
    <xf numFmtId="0" fontId="14" fillId="4" borderId="4" xfId="0" applyFont="1" applyFill="1" applyBorder="1" applyAlignment="1">
      <alignment vertical="center" wrapText="1"/>
    </xf>
    <xf numFmtId="0" fontId="14" fillId="5" borderId="5" xfId="0" applyFont="1" applyFill="1" applyBorder="1" applyAlignment="1">
      <alignment vertical="center" wrapText="1"/>
    </xf>
    <xf numFmtId="0" fontId="14" fillId="5" borderId="6" xfId="0" applyFont="1" applyFill="1" applyBorder="1" applyAlignment="1">
      <alignment vertical="center" wrapText="1"/>
    </xf>
    <xf numFmtId="0" fontId="14" fillId="5" borderId="7" xfId="0" applyFont="1" applyFill="1" applyBorder="1" applyAlignment="1">
      <alignment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vertical="center" wrapText="1"/>
    </xf>
    <xf numFmtId="0" fontId="12" fillId="0" borderId="0" xfId="0" applyFont="1" applyAlignment="1">
      <alignment vertical="center" wrapText="1"/>
    </xf>
    <xf numFmtId="0" fontId="5" fillId="0" borderId="0" xfId="0" applyFont="1" applyAlignment="1">
      <alignment horizontal="left" vertical="center" wrapText="1"/>
    </xf>
    <xf numFmtId="0" fontId="13" fillId="0" borderId="0" xfId="0" applyFont="1" applyAlignment="1">
      <alignment vertical="center"/>
    </xf>
    <xf numFmtId="0" fontId="11" fillId="0" borderId="0" xfId="0" applyFont="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21" fillId="0" borderId="10" xfId="0" applyFont="1" applyBorder="1" applyAlignment="1">
      <alignment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cellXfs>
  <cellStyles count="1">
    <cellStyle name="Normal" xfId="0" builtinId="0"/>
  </cellStyles>
  <dxfs count="55">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0"/>
        <name val="Calibri Light"/>
        <family val="2"/>
        <scheme val="none"/>
      </font>
      <fill>
        <patternFill patternType="solid">
          <fgColor indexed="64"/>
          <bgColor rgb="FF00E0B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right style="medium">
          <color rgb="FF00425A"/>
        </right>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style="medium">
          <color rgb="FF00425A"/>
        </left>
        <right/>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border diagonalUp="0" diagonalDown="0" outline="0">
        <left/>
        <right style="medium">
          <color rgb="FF00425A"/>
        </right>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style="medium">
          <color rgb="FF00425A"/>
        </left>
        <right/>
        <top/>
        <bottom/>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alignment vertical="center" textRotation="0"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theme="0"/>
        <name val="Calibri Light"/>
        <family val="2"/>
        <scheme val="major"/>
      </font>
      <fill>
        <patternFill>
          <fgColor indexed="64"/>
          <bgColor rgb="FF00E0B1"/>
        </patternFill>
      </fill>
      <alignment horizontal="general" vertical="center" textRotation="0" wrapText="1" indent="0" justifyLastLine="0" shrinkToFit="0" readingOrder="0"/>
    </dxf>
  </dxfs>
  <tableStyles count="0" defaultTableStyle="TableStyleMedium2" defaultPivotStyle="PivotStyleLight16"/>
  <colors>
    <mruColors>
      <color rgb="FF00425A"/>
      <color rgb="FF00E0B1"/>
      <color rgb="FFFF7F0B"/>
      <color rgb="FF00B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62754</xdr:colOff>
      <xdr:row>2</xdr:row>
      <xdr:rowOff>188259</xdr:rowOff>
    </xdr:from>
    <xdr:to>
      <xdr:col>3</xdr:col>
      <xdr:colOff>236251</xdr:colOff>
      <xdr:row>2</xdr:row>
      <xdr:rowOff>810503</xdr:rowOff>
    </xdr:to>
    <xdr:pic>
      <xdr:nvPicPr>
        <xdr:cNvPr id="3" name="Image 2">
          <a:extLst>
            <a:ext uri="{FF2B5EF4-FFF2-40B4-BE49-F238E27FC236}">
              <a16:creationId xmlns:a16="http://schemas.microsoft.com/office/drawing/2014/main" id="{B796DF62-C2DE-4317-5F4D-42BBC1577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648" y="645459"/>
          <a:ext cx="1712258" cy="622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4:W37" totalsRowCount="1" headerRowDxfId="54" dataDxfId="53" totalsRowDxfId="52">
  <tableColumns count="22">
    <tableColumn id="1" xr3:uid="{E467E0EE-CDAA-4FF5-85A8-CDC0B23A5AD9}" name="Id exigence" dataDxfId="50" totalsRowDxfId="51"/>
    <tableColumn id="23" xr3:uid="{DB65C818-8EF5-4DCC-9DA7-4CD05A291796}" name="Objectif client" dataDxfId="48" totalsRowDxfId="49"/>
    <tableColumn id="2" xr3:uid="{E53952AC-4972-47BD-8B1D-C7EF23088D0D}" name="Intitulé Exigence" dataDxfId="46" totalsRowDxfId="47"/>
    <tableColumn id="8" xr3:uid="{B2D0BC2C-C803-4015-8FA6-70F84517BDB2}" name="Nature" dataDxfId="44" totalsRowDxfId="45"/>
    <tableColumn id="7" xr3:uid="{24F2F0ED-022E-4EC1-91D8-BFE0E4F2FD36}" name="Catégorie" dataDxfId="42" totalsRowDxfId="43"/>
    <tableColumn id="10" xr3:uid="{1FF81CF1-6D35-421C-8767-9E7FA06FEE6A}" name="Exigence idenfiée pendant la phase" dataDxfId="40" totalsRowDxfId="41"/>
    <tableColumn id="3" xr3:uid="{E7621A68-9552-4853-96A5-92A226EA42DD}" name="Description de l'exigence" dataDxfId="38" totalsRowDxfId="39"/>
    <tableColumn id="9" xr3:uid="{E6EEEC82-3576-4980-94B3-1423906CE531}" name="Source" dataDxfId="36" totalsRowDxfId="37"/>
    <tableColumn id="16" xr3:uid="{1441554A-79F9-4040-9CF5-AEBFF7ADF7D1}" name="Desciption de la solution MOMSOFT" dataDxfId="34" totalsRowDxfId="35"/>
    <tableColumn id="17" xr3:uid="{D1BC9C86-C3CE-417F-AC83-FC4786A7656D}" name="Ecart entre exigence client et la solution proposée - préciser aussi les limites et hypothèses si applicable" dataDxfId="32" totalsRowDxfId="33"/>
    <tableColumn id="5" xr3:uid="{2649C3B7-E8B9-44F9-8883-E5BB6F91B4B1}" name="Validation Interne"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totalsRowFunction="sum" dataDxfId="24" totalsRowDxfId="25"/>
    <tableColumn id="21" xr3:uid="{818C68C5-1CC3-4DC9-9BB8-2CB7816ABE9F}" name="HJ Analyse et Test" totalsRowFunction="sum" dataDxfId="22" totalsRowDxfId="23">
      <calculatedColumnFormula>Tableau3[[#This Row],[HJ Dev]]*(25%+25%)</calculatedColumnFormula>
    </tableColumn>
    <tableColumn id="20" xr3:uid="{81CB5860-4285-4425-ABF9-C91F3323BF25}" name="Total HJ" totalsRowFunction="sum" dataDxfId="20" totalsRowDxfId="21">
      <calculatedColumnFormula>Tableau3[[#This Row],[HJ Analyse et Test]]+Tableau3[[#This Row],[HJ Dev]]</calculatedColumn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7" totalsRowShown="0" headerRowDxfId="7" dataDxfId="6">
  <autoFilter ref="B13:G17"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W41"/>
  <sheetViews>
    <sheetView tabSelected="1" topLeftCell="D35" zoomScale="66" zoomScaleNormal="66" workbookViewId="0">
      <selection activeCell="J36" sqref="J36"/>
    </sheetView>
  </sheetViews>
  <sheetFormatPr defaultColWidth="11.42578125" defaultRowHeight="12.75" customHeight="1"/>
  <cols>
    <col min="1" max="1" width="11.42578125" style="5" customWidth="1"/>
    <col min="2" max="2" width="22.42578125" style="5" customWidth="1"/>
    <col min="3" max="3" width="37.28515625" style="5" hidden="1" customWidth="1"/>
    <col min="4" max="4" width="39.28515625" style="5" customWidth="1"/>
    <col min="5" max="6" width="18.28515625" style="5" customWidth="1"/>
    <col min="7" max="7" width="22.42578125" style="5" customWidth="1"/>
    <col min="8" max="8" width="56.5703125" style="5" customWidth="1"/>
    <col min="9" max="9" width="18.42578125" style="5" customWidth="1"/>
    <col min="10" max="10" width="56.5703125" style="5" customWidth="1"/>
    <col min="11" max="11" width="33.28515625" style="5" customWidth="1"/>
    <col min="12" max="13" width="13.5703125" style="5" customWidth="1"/>
    <col min="14" max="14" width="15.28515625" style="5" customWidth="1"/>
    <col min="15" max="15" width="11.7109375" style="5" customWidth="1"/>
    <col min="16" max="16" width="15.42578125" style="5" customWidth="1"/>
    <col min="17" max="17" width="13.7109375" style="5" customWidth="1"/>
    <col min="18" max="18" width="39.7109375" style="5" customWidth="1"/>
    <col min="19" max="19" width="15.7109375" style="5" customWidth="1"/>
    <col min="20" max="20" width="20.5703125" style="5" customWidth="1"/>
    <col min="21" max="21" width="20.28515625" style="5" customWidth="1"/>
    <col min="22" max="22" width="15.28515625" style="5" customWidth="1"/>
    <col min="23" max="23" width="30.7109375" style="5" customWidth="1"/>
    <col min="24" max="16384" width="11.42578125" style="5"/>
  </cols>
  <sheetData>
    <row r="1" spans="2:23" ht="12.95"/>
    <row r="2" spans="2:23" ht="33" customHeight="1">
      <c r="B2" s="40" t="s">
        <v>0</v>
      </c>
      <c r="C2" s="41"/>
      <c r="D2" s="41"/>
      <c r="E2" s="41"/>
      <c r="F2" s="41"/>
      <c r="G2" s="41"/>
      <c r="H2" s="41"/>
      <c r="I2" s="41"/>
      <c r="J2" s="41"/>
      <c r="K2" s="41"/>
      <c r="L2" s="41"/>
      <c r="M2" s="41"/>
      <c r="N2" s="42"/>
      <c r="O2" s="43" t="s">
        <v>1</v>
      </c>
      <c r="P2" s="44"/>
      <c r="Q2" s="45"/>
      <c r="R2" s="37" t="s">
        <v>2</v>
      </c>
      <c r="S2" s="38"/>
      <c r="T2" s="38"/>
      <c r="U2" s="38"/>
      <c r="V2" s="38"/>
      <c r="W2" s="39"/>
    </row>
    <row r="3" spans="2:23" ht="66" customHeight="1">
      <c r="D3" s="26"/>
      <c r="E3" s="26"/>
      <c r="F3" s="26"/>
      <c r="G3" s="26"/>
      <c r="H3" s="26"/>
      <c r="I3" s="26"/>
      <c r="J3" s="26"/>
    </row>
    <row r="4" spans="2:23" ht="24.75" customHeight="1">
      <c r="D4" s="26"/>
      <c r="E4" s="26"/>
      <c r="F4" s="26"/>
      <c r="G4" s="26"/>
      <c r="H4" s="26"/>
      <c r="I4" s="26"/>
      <c r="J4" s="26"/>
    </row>
    <row r="5" spans="2:23" ht="21" customHeight="1">
      <c r="B5" s="6" t="s">
        <v>3</v>
      </c>
      <c r="C5" s="6"/>
      <c r="D5" s="27" t="s">
        <v>4</v>
      </c>
      <c r="F5" s="26"/>
      <c r="G5" s="26"/>
      <c r="H5" s="26"/>
      <c r="I5" s="26"/>
      <c r="J5" s="26"/>
    </row>
    <row r="6" spans="2:23" ht="21.75" customHeight="1">
      <c r="B6" s="28" t="s">
        <v>5</v>
      </c>
      <c r="C6" s="28"/>
      <c r="D6" s="29" t="s">
        <v>6</v>
      </c>
      <c r="F6" s="29"/>
      <c r="H6" s="29"/>
      <c r="I6" s="29"/>
      <c r="J6" s="29"/>
    </row>
    <row r="7" spans="2:23" ht="36.950000000000003" customHeight="1">
      <c r="B7" s="28" t="s">
        <v>7</v>
      </c>
      <c r="C7" s="28"/>
      <c r="D7" s="29" t="s">
        <v>8</v>
      </c>
      <c r="F7" s="29"/>
      <c r="H7" s="30" t="s">
        <v>9</v>
      </c>
      <c r="I7" s="29"/>
      <c r="J7" s="29"/>
    </row>
    <row r="8" spans="2:23" ht="20.65" customHeight="1">
      <c r="B8" s="28" t="s">
        <v>10</v>
      </c>
      <c r="C8" s="28"/>
      <c r="D8" s="29" t="s">
        <v>11</v>
      </c>
      <c r="F8" s="29"/>
      <c r="G8" s="29"/>
      <c r="H8" s="29"/>
      <c r="I8" s="29"/>
      <c r="J8" s="29"/>
    </row>
    <row r="9" spans="2:23" ht="21.6" customHeight="1">
      <c r="B9" s="28" t="s">
        <v>12</v>
      </c>
      <c r="C9" s="28"/>
      <c r="D9" s="29" t="s">
        <v>11</v>
      </c>
      <c r="F9" s="29"/>
      <c r="G9" s="29"/>
      <c r="H9" s="29"/>
      <c r="I9" s="29"/>
      <c r="J9" s="29"/>
    </row>
    <row r="10" spans="2:23" ht="14.45">
      <c r="D10" s="29"/>
      <c r="E10" s="31"/>
      <c r="F10" s="31"/>
      <c r="G10" s="31"/>
      <c r="H10" s="31"/>
      <c r="I10" s="31"/>
      <c r="J10" s="31"/>
    </row>
    <row r="11" spans="2:23" ht="12.95">
      <c r="B11" s="32" t="s">
        <v>13</v>
      </c>
      <c r="C11" s="32"/>
      <c r="D11" s="20"/>
      <c r="E11" s="32"/>
      <c r="F11" s="33"/>
      <c r="G11" s="33"/>
    </row>
    <row r="12" spans="2:23" ht="12.95">
      <c r="B12" s="32"/>
      <c r="C12" s="32"/>
      <c r="D12" s="20"/>
      <c r="E12" s="32"/>
      <c r="F12" s="33"/>
      <c r="G12" s="33"/>
    </row>
    <row r="13" spans="2:23" ht="13.5" thickBot="1"/>
    <row r="14" spans="2:23" ht="42" customHeight="1" thickBot="1">
      <c r="B14" s="17" t="s">
        <v>14</v>
      </c>
      <c r="C14" s="18" t="s">
        <v>15</v>
      </c>
      <c r="D14" s="10" t="s">
        <v>16</v>
      </c>
      <c r="E14" s="10" t="s">
        <v>17</v>
      </c>
      <c r="F14" s="10" t="s">
        <v>18</v>
      </c>
      <c r="G14" s="10" t="s">
        <v>19</v>
      </c>
      <c r="H14" s="10" t="s">
        <v>20</v>
      </c>
      <c r="I14" s="10" t="s">
        <v>21</v>
      </c>
      <c r="J14" s="10" t="s">
        <v>22</v>
      </c>
      <c r="K14" s="10" t="s">
        <v>23</v>
      </c>
      <c r="L14" s="10" t="s">
        <v>24</v>
      </c>
      <c r="M14" s="10" t="s">
        <v>25</v>
      </c>
      <c r="N14" s="11" t="s">
        <v>26</v>
      </c>
      <c r="O14" s="22" t="s">
        <v>27</v>
      </c>
      <c r="P14" s="22" t="s">
        <v>28</v>
      </c>
      <c r="Q14" s="22" t="s">
        <v>29</v>
      </c>
      <c r="R14" s="23" t="s">
        <v>30</v>
      </c>
      <c r="S14" s="24" t="s">
        <v>31</v>
      </c>
      <c r="T14" s="24" t="s">
        <v>32</v>
      </c>
      <c r="U14" s="24" t="s">
        <v>33</v>
      </c>
      <c r="V14" s="24" t="s">
        <v>34</v>
      </c>
      <c r="W14" s="25" t="s">
        <v>35</v>
      </c>
    </row>
    <row r="15" spans="2:23" ht="181.5" customHeight="1">
      <c r="B15" s="5" t="s">
        <v>36</v>
      </c>
      <c r="C15" s="5" t="s">
        <v>37</v>
      </c>
      <c r="D15" s="5" t="s">
        <v>37</v>
      </c>
      <c r="E15" s="5" t="s">
        <v>38</v>
      </c>
      <c r="F15" s="5" t="s">
        <v>39</v>
      </c>
      <c r="G15" s="5" t="s">
        <v>40</v>
      </c>
      <c r="H15" s="5" t="s">
        <v>41</v>
      </c>
      <c r="I15" s="5" t="s">
        <v>42</v>
      </c>
      <c r="J15" s="5" t="s">
        <v>43</v>
      </c>
      <c r="K15" s="5" t="s">
        <v>44</v>
      </c>
      <c r="L15" s="5" t="s">
        <v>45</v>
      </c>
      <c r="M15" s="5" t="s">
        <v>46</v>
      </c>
      <c r="N15" s="5" t="s">
        <v>47</v>
      </c>
      <c r="O15" s="5">
        <v>0</v>
      </c>
      <c r="P15" s="5">
        <f>Tableau3[[#This Row],[HJ Dev]]*(25%+25%)</f>
        <v>0</v>
      </c>
      <c r="Q15" s="5">
        <f>Tableau3[[#This Row],[HJ Analyse et Test]]+Tableau3[[#This Row],[HJ Dev]]</f>
        <v>0</v>
      </c>
    </row>
    <row r="16" spans="2:23" ht="108" customHeight="1">
      <c r="B16" s="5" t="s">
        <v>48</v>
      </c>
      <c r="C16" s="5" t="s">
        <v>49</v>
      </c>
      <c r="D16" s="5" t="s">
        <v>49</v>
      </c>
      <c r="E16" s="5" t="s">
        <v>38</v>
      </c>
      <c r="F16" s="5" t="s">
        <v>39</v>
      </c>
      <c r="G16" s="5" t="s">
        <v>40</v>
      </c>
      <c r="H16" s="5" t="s">
        <v>50</v>
      </c>
      <c r="I16" s="5" t="s">
        <v>42</v>
      </c>
      <c r="J16" s="5" t="s">
        <v>51</v>
      </c>
      <c r="K16" s="5" t="s">
        <v>44</v>
      </c>
      <c r="L16" s="5" t="s">
        <v>45</v>
      </c>
      <c r="M16" s="5" t="s">
        <v>46</v>
      </c>
      <c r="N16" s="5" t="s">
        <v>47</v>
      </c>
      <c r="O16" s="5">
        <v>0</v>
      </c>
      <c r="P16" s="5">
        <f>Tableau3[[#This Row],[HJ Dev]]*(25%+25%)</f>
        <v>0</v>
      </c>
      <c r="Q16" s="5">
        <f>Tableau3[[#This Row],[HJ Analyse et Test]]+Tableau3[[#This Row],[HJ Dev]]</f>
        <v>0</v>
      </c>
    </row>
    <row r="17" spans="2:23" ht="123.6" customHeight="1">
      <c r="B17" s="5" t="s">
        <v>52</v>
      </c>
      <c r="D17" s="5" t="s">
        <v>53</v>
      </c>
      <c r="E17" s="5" t="s">
        <v>38</v>
      </c>
      <c r="F17" s="5" t="s">
        <v>39</v>
      </c>
      <c r="G17" s="5" t="s">
        <v>40</v>
      </c>
      <c r="H17" s="5" t="s">
        <v>54</v>
      </c>
      <c r="I17" s="5" t="s">
        <v>55</v>
      </c>
      <c r="J17" s="5" t="s">
        <v>56</v>
      </c>
      <c r="K17" s="5" t="s">
        <v>44</v>
      </c>
      <c r="L17" s="5" t="s">
        <v>45</v>
      </c>
      <c r="M17" s="5" t="s">
        <v>46</v>
      </c>
      <c r="N17" s="5" t="s">
        <v>47</v>
      </c>
      <c r="O17" s="5">
        <v>0</v>
      </c>
      <c r="P17" s="5">
        <f>Tableau3[[#This Row],[HJ Dev]]*(25%+25%)</f>
        <v>0</v>
      </c>
      <c r="Q17" s="35">
        <f>Tableau3[[#This Row],[HJ Analyse et Test]]+Tableau3[[#This Row],[HJ Dev]]</f>
        <v>0</v>
      </c>
      <c r="R17" s="34"/>
      <c r="W17" s="35"/>
    </row>
    <row r="18" spans="2:23" ht="200.45" customHeight="1">
      <c r="B18" s="5" t="s">
        <v>57</v>
      </c>
      <c r="D18" s="5" t="s">
        <v>58</v>
      </c>
      <c r="E18" s="5" t="s">
        <v>38</v>
      </c>
      <c r="F18" s="5" t="s">
        <v>39</v>
      </c>
      <c r="G18" s="5" t="s">
        <v>40</v>
      </c>
      <c r="H18" s="5" t="s">
        <v>59</v>
      </c>
      <c r="I18" s="5" t="s">
        <v>55</v>
      </c>
      <c r="J18" s="5" t="s">
        <v>60</v>
      </c>
      <c r="K18" s="5" t="s">
        <v>44</v>
      </c>
      <c r="L18" s="5" t="s">
        <v>45</v>
      </c>
      <c r="M18" s="5" t="s">
        <v>46</v>
      </c>
      <c r="N18" s="5" t="s">
        <v>47</v>
      </c>
      <c r="O18" s="5">
        <v>0</v>
      </c>
      <c r="P18" s="5">
        <f>Tableau3[[#This Row],[HJ Dev]]*(25%+25%)</f>
        <v>0</v>
      </c>
      <c r="Q18" s="35">
        <f>Tableau3[[#This Row],[HJ Analyse et Test]]+Tableau3[[#This Row],[HJ Dev]]</f>
        <v>0</v>
      </c>
      <c r="R18" s="34"/>
      <c r="W18" s="35"/>
    </row>
    <row r="19" spans="2:23" ht="96" customHeight="1">
      <c r="B19" s="5" t="s">
        <v>61</v>
      </c>
      <c r="D19" s="5" t="s">
        <v>62</v>
      </c>
      <c r="E19" s="5" t="s">
        <v>38</v>
      </c>
      <c r="F19" s="5" t="s">
        <v>39</v>
      </c>
      <c r="G19" s="5" t="s">
        <v>40</v>
      </c>
      <c r="H19" s="5" t="s">
        <v>63</v>
      </c>
      <c r="I19" s="5" t="s">
        <v>55</v>
      </c>
      <c r="J19" s="5" t="s">
        <v>64</v>
      </c>
      <c r="K19" s="5" t="s">
        <v>44</v>
      </c>
      <c r="L19" s="5" t="s">
        <v>45</v>
      </c>
      <c r="M19" s="5" t="s">
        <v>46</v>
      </c>
      <c r="N19" s="5" t="s">
        <v>47</v>
      </c>
      <c r="O19" s="5">
        <v>0</v>
      </c>
      <c r="P19" s="5">
        <f>Tableau3[[#This Row],[HJ Dev]]*(25%+25%)</f>
        <v>0</v>
      </c>
      <c r="Q19" s="35">
        <f>Tableau3[[#This Row],[HJ Analyse et Test]]+Tableau3[[#This Row],[HJ Dev]]</f>
        <v>0</v>
      </c>
      <c r="R19" s="34"/>
      <c r="W19" s="35"/>
    </row>
    <row r="20" spans="2:23" ht="246" customHeight="1">
      <c r="B20" s="5" t="s">
        <v>65</v>
      </c>
      <c r="D20" s="5" t="s">
        <v>66</v>
      </c>
      <c r="E20" s="5" t="s">
        <v>67</v>
      </c>
      <c r="F20" s="5" t="s">
        <v>39</v>
      </c>
      <c r="G20" s="5" t="s">
        <v>40</v>
      </c>
      <c r="H20" s="5" t="s">
        <v>68</v>
      </c>
      <c r="I20" s="5" t="s">
        <v>55</v>
      </c>
      <c r="J20" s="5" t="s">
        <v>69</v>
      </c>
      <c r="K20" s="5" t="s">
        <v>44</v>
      </c>
      <c r="L20" s="5" t="s">
        <v>45</v>
      </c>
      <c r="M20" s="5" t="s">
        <v>46</v>
      </c>
      <c r="N20" s="5" t="s">
        <v>47</v>
      </c>
      <c r="O20" s="5">
        <v>2</v>
      </c>
      <c r="P20" s="5">
        <f>Tableau3[[#This Row],[HJ Dev]]*(25%+25%)</f>
        <v>1</v>
      </c>
      <c r="Q20" s="35">
        <f>Tableau3[[#This Row],[HJ Analyse et Test]]+Tableau3[[#This Row],[HJ Dev]]</f>
        <v>3</v>
      </c>
      <c r="R20" s="34"/>
      <c r="W20" s="35"/>
    </row>
    <row r="21" spans="2:23" ht="126.6" customHeight="1">
      <c r="B21" s="5" t="s">
        <v>70</v>
      </c>
      <c r="D21" s="5" t="s">
        <v>71</v>
      </c>
      <c r="E21" s="5" t="s">
        <v>38</v>
      </c>
      <c r="F21" s="5" t="s">
        <v>39</v>
      </c>
      <c r="G21" s="5" t="s">
        <v>40</v>
      </c>
      <c r="H21" s="5" t="s">
        <v>72</v>
      </c>
      <c r="I21" s="5" t="s">
        <v>73</v>
      </c>
      <c r="J21" s="5" t="s">
        <v>74</v>
      </c>
      <c r="K21" s="5" t="s">
        <v>44</v>
      </c>
      <c r="L21" s="5" t="s">
        <v>45</v>
      </c>
      <c r="M21" s="5" t="s">
        <v>46</v>
      </c>
      <c r="N21" s="5" t="s">
        <v>47</v>
      </c>
      <c r="O21" s="5">
        <v>0</v>
      </c>
      <c r="P21" s="5">
        <f>Tableau3[[#This Row],[HJ Dev]]*(25%+25%)</f>
        <v>0</v>
      </c>
      <c r="Q21" s="35">
        <f>Tableau3[[#This Row],[HJ Analyse et Test]]+Tableau3[[#This Row],[HJ Dev]]</f>
        <v>0</v>
      </c>
      <c r="R21" s="34"/>
      <c r="W21" s="35"/>
    </row>
    <row r="22" spans="2:23" ht="186.6" customHeight="1">
      <c r="B22" s="5" t="s">
        <v>75</v>
      </c>
      <c r="D22" s="36" t="s">
        <v>76</v>
      </c>
      <c r="E22" s="5" t="s">
        <v>38</v>
      </c>
      <c r="F22" s="5" t="s">
        <v>39</v>
      </c>
      <c r="G22" s="5" t="s">
        <v>40</v>
      </c>
      <c r="H22" s="5" t="s">
        <v>77</v>
      </c>
      <c r="I22" s="5" t="s">
        <v>73</v>
      </c>
      <c r="J22" s="5" t="s">
        <v>78</v>
      </c>
      <c r="K22" s="5" t="s">
        <v>44</v>
      </c>
      <c r="L22" s="5" t="s">
        <v>45</v>
      </c>
      <c r="M22" s="5" t="s">
        <v>46</v>
      </c>
      <c r="N22" s="5" t="s">
        <v>47</v>
      </c>
      <c r="O22" s="5">
        <v>0</v>
      </c>
      <c r="P22" s="5">
        <f>Tableau3[[#This Row],[HJ Dev]]*(25%+25%)</f>
        <v>0</v>
      </c>
      <c r="Q22" s="35">
        <f>Tableau3[[#This Row],[HJ Analyse et Test]]+Tableau3[[#This Row],[HJ Dev]]</f>
        <v>0</v>
      </c>
      <c r="R22" s="34"/>
      <c r="W22" s="35"/>
    </row>
    <row r="23" spans="2:23" ht="124.5" customHeight="1">
      <c r="B23" s="5" t="s">
        <v>79</v>
      </c>
      <c r="D23" s="5" t="s">
        <v>80</v>
      </c>
      <c r="E23" s="5" t="s">
        <v>38</v>
      </c>
      <c r="F23" s="5" t="s">
        <v>39</v>
      </c>
      <c r="G23" s="5" t="s">
        <v>40</v>
      </c>
      <c r="H23" s="5" t="s">
        <v>81</v>
      </c>
      <c r="I23" s="5" t="s">
        <v>55</v>
      </c>
      <c r="J23" s="5" t="s">
        <v>82</v>
      </c>
      <c r="K23" s="5" t="s">
        <v>44</v>
      </c>
      <c r="L23" s="5" t="s">
        <v>45</v>
      </c>
      <c r="M23" s="5" t="s">
        <v>46</v>
      </c>
      <c r="N23" s="5" t="s">
        <v>47</v>
      </c>
      <c r="O23" s="5">
        <v>0</v>
      </c>
      <c r="P23" s="5">
        <f>Tableau3[[#This Row],[HJ Dev]]*(25%+25%)</f>
        <v>0</v>
      </c>
      <c r="Q23" s="35">
        <f>Tableau3[[#This Row],[HJ Analyse et Test]]+Tableau3[[#This Row],[HJ Dev]]</f>
        <v>0</v>
      </c>
      <c r="R23" s="34"/>
      <c r="W23" s="35"/>
    </row>
    <row r="24" spans="2:23" ht="141.94999999999999" customHeight="1">
      <c r="B24" s="5" t="s">
        <v>83</v>
      </c>
      <c r="D24" s="5" t="s">
        <v>84</v>
      </c>
      <c r="E24" s="5" t="s">
        <v>38</v>
      </c>
      <c r="F24" s="5" t="s">
        <v>39</v>
      </c>
      <c r="G24" s="5" t="s">
        <v>40</v>
      </c>
      <c r="H24" s="5" t="s">
        <v>85</v>
      </c>
      <c r="I24" s="5" t="s">
        <v>73</v>
      </c>
      <c r="J24" s="5" t="s">
        <v>86</v>
      </c>
      <c r="K24" s="5" t="s">
        <v>44</v>
      </c>
      <c r="L24" s="5" t="s">
        <v>45</v>
      </c>
      <c r="M24" s="5" t="s">
        <v>46</v>
      </c>
      <c r="N24" s="5" t="s">
        <v>47</v>
      </c>
      <c r="O24" s="5">
        <v>0</v>
      </c>
      <c r="P24" s="5">
        <f>Tableau3[[#This Row],[HJ Dev]]*(25%+25%)</f>
        <v>0</v>
      </c>
      <c r="Q24" s="35">
        <f>Tableau3[[#This Row],[HJ Analyse et Test]]+Tableau3[[#This Row],[HJ Dev]]</f>
        <v>0</v>
      </c>
      <c r="R24" s="34"/>
      <c r="W24" s="35"/>
    </row>
    <row r="25" spans="2:23" ht="173.1" customHeight="1">
      <c r="B25" s="5" t="s">
        <v>87</v>
      </c>
      <c r="D25" s="5" t="s">
        <v>88</v>
      </c>
      <c r="E25" s="5" t="s">
        <v>38</v>
      </c>
      <c r="F25" s="5" t="s">
        <v>39</v>
      </c>
      <c r="G25" s="5" t="s">
        <v>40</v>
      </c>
      <c r="H25" s="5" t="s">
        <v>89</v>
      </c>
      <c r="I25" s="5" t="s">
        <v>55</v>
      </c>
      <c r="J25" s="5" t="s">
        <v>90</v>
      </c>
      <c r="K25" s="5" t="s">
        <v>44</v>
      </c>
      <c r="L25" s="5" t="s">
        <v>45</v>
      </c>
      <c r="M25" s="5" t="s">
        <v>46</v>
      </c>
      <c r="N25" s="5" t="s">
        <v>47</v>
      </c>
      <c r="O25" s="5">
        <v>0</v>
      </c>
      <c r="P25" s="5">
        <f>Tableau3[[#This Row],[HJ Dev]]*(25%+25%)</f>
        <v>0</v>
      </c>
      <c r="Q25" s="35">
        <f>Tableau3[[#This Row],[HJ Analyse et Test]]+Tableau3[[#This Row],[HJ Dev]]</f>
        <v>0</v>
      </c>
      <c r="R25" s="34"/>
      <c r="W25" s="35"/>
    </row>
    <row r="26" spans="2:23" ht="114.95" customHeight="1">
      <c r="B26" s="5" t="s">
        <v>91</v>
      </c>
      <c r="D26" s="5" t="s">
        <v>92</v>
      </c>
      <c r="E26" s="5" t="s">
        <v>38</v>
      </c>
      <c r="F26" s="5" t="s">
        <v>39</v>
      </c>
      <c r="G26" s="5" t="s">
        <v>40</v>
      </c>
      <c r="H26" s="5" t="s">
        <v>93</v>
      </c>
      <c r="I26" s="5" t="s">
        <v>73</v>
      </c>
      <c r="J26" s="5" t="s">
        <v>94</v>
      </c>
      <c r="K26" s="5" t="s">
        <v>44</v>
      </c>
      <c r="L26" s="5" t="s">
        <v>45</v>
      </c>
      <c r="M26" s="5" t="s">
        <v>46</v>
      </c>
      <c r="N26" s="5" t="s">
        <v>47</v>
      </c>
      <c r="O26" s="5">
        <v>0</v>
      </c>
      <c r="P26" s="5">
        <f>Tableau3[[#This Row],[HJ Dev]]*(25%+25%)</f>
        <v>0</v>
      </c>
      <c r="Q26" s="35">
        <f>Tableau3[[#This Row],[HJ Analyse et Test]]+Tableau3[[#This Row],[HJ Dev]]</f>
        <v>0</v>
      </c>
      <c r="R26" s="34"/>
      <c r="W26" s="35"/>
    </row>
    <row r="27" spans="2:23" ht="138.94999999999999" customHeight="1">
      <c r="B27" s="5" t="s">
        <v>95</v>
      </c>
      <c r="D27" s="5" t="s">
        <v>96</v>
      </c>
      <c r="E27" s="5" t="s">
        <v>38</v>
      </c>
      <c r="F27" s="5" t="s">
        <v>39</v>
      </c>
      <c r="G27" s="5" t="s">
        <v>40</v>
      </c>
      <c r="H27" s="5" t="s">
        <v>97</v>
      </c>
      <c r="I27" s="5" t="s">
        <v>42</v>
      </c>
      <c r="J27" s="5" t="s">
        <v>98</v>
      </c>
      <c r="K27" s="5" t="s">
        <v>44</v>
      </c>
      <c r="L27" s="5" t="s">
        <v>45</v>
      </c>
      <c r="M27" s="5" t="s">
        <v>46</v>
      </c>
      <c r="N27" s="5" t="s">
        <v>47</v>
      </c>
      <c r="O27" s="34">
        <v>0</v>
      </c>
      <c r="P27" s="5">
        <f>Tableau3[[#This Row],[HJ Dev]]*(25%+25%)</f>
        <v>0</v>
      </c>
      <c r="Q27" s="35">
        <f>Tableau3[[#This Row],[HJ Analyse et Test]]+Tableau3[[#This Row],[HJ Dev]]</f>
        <v>0</v>
      </c>
      <c r="R27" s="34"/>
      <c r="W27" s="35"/>
    </row>
    <row r="28" spans="2:23" ht="141" customHeight="1">
      <c r="B28" s="5" t="s">
        <v>99</v>
      </c>
      <c r="D28" s="5" t="s">
        <v>100</v>
      </c>
      <c r="E28" s="5" t="s">
        <v>38</v>
      </c>
      <c r="F28" s="5" t="s">
        <v>39</v>
      </c>
      <c r="G28" s="5" t="s">
        <v>40</v>
      </c>
      <c r="H28" s="5" t="s">
        <v>101</v>
      </c>
      <c r="I28" s="5" t="s">
        <v>42</v>
      </c>
      <c r="J28" s="5" t="s">
        <v>102</v>
      </c>
      <c r="K28" s="5" t="s">
        <v>44</v>
      </c>
      <c r="L28" s="5" t="s">
        <v>45</v>
      </c>
      <c r="M28" s="5" t="s">
        <v>46</v>
      </c>
      <c r="N28" s="5" t="s">
        <v>47</v>
      </c>
      <c r="O28" s="34">
        <v>0</v>
      </c>
      <c r="P28" s="5">
        <f>Tableau3[[#This Row],[HJ Dev]]*(25%+25%)</f>
        <v>0</v>
      </c>
      <c r="Q28" s="35">
        <f>Tableau3[[#This Row],[HJ Analyse et Test]]+Tableau3[[#This Row],[HJ Dev]]</f>
        <v>0</v>
      </c>
      <c r="R28" s="34"/>
      <c r="W28" s="35"/>
    </row>
    <row r="29" spans="2:23" ht="159.94999999999999" customHeight="1">
      <c r="B29" s="5" t="s">
        <v>103</v>
      </c>
      <c r="D29" s="5" t="s">
        <v>104</v>
      </c>
      <c r="E29" s="5" t="s">
        <v>38</v>
      </c>
      <c r="F29" s="5" t="s">
        <v>39</v>
      </c>
      <c r="G29" s="5" t="s">
        <v>40</v>
      </c>
      <c r="H29" s="5" t="s">
        <v>105</v>
      </c>
      <c r="I29" s="5" t="s">
        <v>73</v>
      </c>
      <c r="J29" s="5" t="s">
        <v>106</v>
      </c>
      <c r="K29" s="5" t="s">
        <v>44</v>
      </c>
      <c r="L29" s="5" t="s">
        <v>45</v>
      </c>
      <c r="M29" s="5" t="s">
        <v>46</v>
      </c>
      <c r="N29" s="5" t="s">
        <v>47</v>
      </c>
      <c r="O29" s="34">
        <v>0</v>
      </c>
      <c r="P29" s="5">
        <f>Tableau3[[#This Row],[HJ Dev]]*(25%+25%)</f>
        <v>0</v>
      </c>
      <c r="Q29" s="35">
        <f>Tableau3[[#This Row],[HJ Analyse et Test]]+Tableau3[[#This Row],[HJ Dev]]</f>
        <v>0</v>
      </c>
      <c r="R29" s="34"/>
      <c r="W29" s="35"/>
    </row>
    <row r="30" spans="2:23" ht="261" customHeight="1">
      <c r="B30" s="5" t="s">
        <v>107</v>
      </c>
      <c r="D30" s="5" t="s">
        <v>108</v>
      </c>
      <c r="E30" s="5" t="s">
        <v>38</v>
      </c>
      <c r="F30" s="5" t="s">
        <v>39</v>
      </c>
      <c r="G30" s="5" t="s">
        <v>40</v>
      </c>
      <c r="H30" s="5" t="s">
        <v>109</v>
      </c>
      <c r="I30" s="5" t="s">
        <v>73</v>
      </c>
      <c r="J30" s="5" t="s">
        <v>110</v>
      </c>
      <c r="K30" s="5" t="s">
        <v>44</v>
      </c>
      <c r="L30" s="5" t="s">
        <v>45</v>
      </c>
      <c r="M30" s="5" t="s">
        <v>46</v>
      </c>
      <c r="N30" s="5" t="s">
        <v>47</v>
      </c>
      <c r="O30" s="34">
        <v>0</v>
      </c>
      <c r="P30" s="5">
        <f>Tableau3[[#This Row],[HJ Dev]]*(25%+25%)</f>
        <v>0</v>
      </c>
      <c r="Q30" s="35">
        <f>Tableau3[[#This Row],[HJ Analyse et Test]]+Tableau3[[#This Row],[HJ Dev]]</f>
        <v>0</v>
      </c>
      <c r="R30" s="34"/>
      <c r="W30" s="35"/>
    </row>
    <row r="31" spans="2:23" ht="142.5" customHeight="1">
      <c r="B31" s="5" t="s">
        <v>111</v>
      </c>
      <c r="D31" s="5" t="s">
        <v>112</v>
      </c>
      <c r="E31" s="5" t="s">
        <v>38</v>
      </c>
      <c r="F31" s="5" t="s">
        <v>39</v>
      </c>
      <c r="G31" s="5" t="s">
        <v>40</v>
      </c>
      <c r="H31" s="5" t="s">
        <v>113</v>
      </c>
      <c r="I31" s="5" t="s">
        <v>73</v>
      </c>
      <c r="J31" s="5" t="s">
        <v>114</v>
      </c>
      <c r="K31" s="5" t="s">
        <v>44</v>
      </c>
      <c r="L31" s="5" t="s">
        <v>45</v>
      </c>
      <c r="M31" s="5" t="s">
        <v>46</v>
      </c>
      <c r="N31" s="5" t="s">
        <v>47</v>
      </c>
      <c r="O31" s="34">
        <v>0</v>
      </c>
      <c r="P31" s="5">
        <f>Tableau3[[#This Row],[HJ Dev]]*(25%+25%)</f>
        <v>0</v>
      </c>
      <c r="Q31" s="35">
        <f>Tableau3[[#This Row],[HJ Analyse et Test]]+Tableau3[[#This Row],[HJ Dev]]</f>
        <v>0</v>
      </c>
      <c r="R31" s="34"/>
      <c r="W31" s="35"/>
    </row>
    <row r="32" spans="2:23" ht="138.6" customHeight="1">
      <c r="B32" s="5" t="s">
        <v>115</v>
      </c>
      <c r="D32" s="5" t="s">
        <v>116</v>
      </c>
      <c r="E32" s="5" t="s">
        <v>38</v>
      </c>
      <c r="F32" s="5" t="s">
        <v>39</v>
      </c>
      <c r="G32" s="5" t="s">
        <v>40</v>
      </c>
      <c r="H32" s="5" t="s">
        <v>117</v>
      </c>
      <c r="I32" s="5" t="s">
        <v>73</v>
      </c>
      <c r="J32" s="5" t="s">
        <v>118</v>
      </c>
      <c r="K32" s="5" t="s">
        <v>44</v>
      </c>
      <c r="L32" s="5" t="s">
        <v>45</v>
      </c>
      <c r="M32" s="5" t="s">
        <v>46</v>
      </c>
      <c r="N32" s="5" t="s">
        <v>47</v>
      </c>
      <c r="O32" s="34">
        <v>0</v>
      </c>
      <c r="P32" s="5">
        <f>Tableau3[[#This Row],[HJ Dev]]*(25%+25%)</f>
        <v>0</v>
      </c>
      <c r="Q32" s="35">
        <f>Tableau3[[#This Row],[HJ Analyse et Test]]+Tableau3[[#This Row],[HJ Dev]]</f>
        <v>0</v>
      </c>
      <c r="R32" s="34"/>
      <c r="W32" s="35"/>
    </row>
    <row r="33" spans="2:23" ht="153" customHeight="1">
      <c r="B33" s="5" t="s">
        <v>119</v>
      </c>
      <c r="D33" s="5" t="s">
        <v>120</v>
      </c>
      <c r="E33" s="5" t="s">
        <v>38</v>
      </c>
      <c r="F33" s="5" t="s">
        <v>39</v>
      </c>
      <c r="G33" s="5" t="s">
        <v>40</v>
      </c>
      <c r="H33" s="5" t="s">
        <v>121</v>
      </c>
      <c r="I33" s="5" t="s">
        <v>73</v>
      </c>
      <c r="J33" s="5" t="s">
        <v>122</v>
      </c>
      <c r="K33" s="5" t="s">
        <v>44</v>
      </c>
      <c r="L33" s="5" t="s">
        <v>45</v>
      </c>
      <c r="M33" s="5" t="s">
        <v>46</v>
      </c>
      <c r="N33" s="5" t="s">
        <v>47</v>
      </c>
      <c r="O33" s="34">
        <v>0</v>
      </c>
      <c r="P33" s="5">
        <f>Tableau3[[#This Row],[HJ Dev]]*(25%+25%)</f>
        <v>0</v>
      </c>
      <c r="Q33" s="35">
        <f>Tableau3[[#This Row],[HJ Analyse et Test]]+Tableau3[[#This Row],[HJ Dev]]</f>
        <v>0</v>
      </c>
      <c r="R33" s="34"/>
      <c r="W33" s="35"/>
    </row>
    <row r="34" spans="2:23" ht="189.6" customHeight="1">
      <c r="B34" s="5" t="s">
        <v>123</v>
      </c>
      <c r="D34" s="5" t="s">
        <v>124</v>
      </c>
      <c r="E34" s="5" t="s">
        <v>67</v>
      </c>
      <c r="F34" s="5" t="s">
        <v>39</v>
      </c>
      <c r="G34" s="5" t="s">
        <v>40</v>
      </c>
      <c r="H34" s="5" t="s">
        <v>125</v>
      </c>
      <c r="I34" s="5" t="s">
        <v>55</v>
      </c>
      <c r="J34" s="5" t="s">
        <v>126</v>
      </c>
      <c r="K34" s="5" t="s">
        <v>44</v>
      </c>
      <c r="L34" s="5" t="s">
        <v>45</v>
      </c>
      <c r="M34" s="5" t="s">
        <v>46</v>
      </c>
      <c r="N34" s="5" t="s">
        <v>47</v>
      </c>
      <c r="O34" s="34">
        <v>2</v>
      </c>
      <c r="P34" s="5">
        <f>Tableau3[[#This Row],[HJ Dev]]*(25%+25%)</f>
        <v>1</v>
      </c>
      <c r="Q34" s="35">
        <f>Tableau3[[#This Row],[HJ Analyse et Test]]+Tableau3[[#This Row],[HJ Dev]]</f>
        <v>3</v>
      </c>
      <c r="R34" s="34"/>
      <c r="W34" s="35"/>
    </row>
    <row r="35" spans="2:23" ht="222.95" customHeight="1">
      <c r="B35" s="5" t="s">
        <v>127</v>
      </c>
      <c r="D35" s="5" t="s">
        <v>128</v>
      </c>
      <c r="E35" s="5" t="s">
        <v>38</v>
      </c>
      <c r="F35" s="5" t="s">
        <v>39</v>
      </c>
      <c r="G35" s="5" t="s">
        <v>40</v>
      </c>
      <c r="H35" s="5" t="s">
        <v>129</v>
      </c>
      <c r="I35" s="5" t="s">
        <v>73</v>
      </c>
      <c r="J35" s="5" t="s">
        <v>130</v>
      </c>
      <c r="K35" s="5" t="s">
        <v>44</v>
      </c>
      <c r="L35" s="5" t="s">
        <v>45</v>
      </c>
      <c r="M35" s="5" t="s">
        <v>46</v>
      </c>
      <c r="N35" s="5" t="s">
        <v>47</v>
      </c>
      <c r="O35" s="34">
        <v>0</v>
      </c>
      <c r="P35" s="5">
        <f>Tableau3[[#This Row],[HJ Dev]]*(25%+25%)</f>
        <v>0</v>
      </c>
      <c r="Q35" s="35">
        <f>Tableau3[[#This Row],[HJ Analyse et Test]]+Tableau3[[#This Row],[HJ Dev]]</f>
        <v>0</v>
      </c>
      <c r="R35" s="34"/>
      <c r="W35" s="35"/>
    </row>
    <row r="36" spans="2:23" ht="183.6" customHeight="1">
      <c r="B36" s="5" t="s">
        <v>131</v>
      </c>
      <c r="D36" s="5" t="s">
        <v>132</v>
      </c>
      <c r="E36" s="5" t="s">
        <v>38</v>
      </c>
      <c r="F36" s="5" t="s">
        <v>39</v>
      </c>
      <c r="G36" s="5" t="s">
        <v>40</v>
      </c>
      <c r="H36" s="5" t="s">
        <v>133</v>
      </c>
      <c r="I36" s="5" t="s">
        <v>73</v>
      </c>
      <c r="J36" s="5" t="s">
        <v>134</v>
      </c>
      <c r="K36" s="5" t="s">
        <v>44</v>
      </c>
      <c r="L36" s="5" t="s">
        <v>45</v>
      </c>
      <c r="M36" s="5" t="s">
        <v>46</v>
      </c>
      <c r="N36" s="5" t="s">
        <v>47</v>
      </c>
      <c r="O36" s="34">
        <v>0</v>
      </c>
      <c r="P36" s="5">
        <f>Tableau3[[#This Row],[HJ Dev]]*(25%+25%)</f>
        <v>0</v>
      </c>
      <c r="Q36" s="35">
        <f>Tableau3[[#This Row],[HJ Analyse et Test]]+Tableau3[[#This Row],[HJ Dev]]</f>
        <v>0</v>
      </c>
      <c r="R36" s="34"/>
      <c r="W36" s="35"/>
    </row>
    <row r="37" spans="2:23" ht="150" customHeight="1">
      <c r="O37" s="5">
        <f>SUBTOTAL(109,Tableau3[HJ Dev])</f>
        <v>4</v>
      </c>
      <c r="P37" s="5">
        <f>SUBTOTAL(109,Tableau3[HJ Analyse et Test])</f>
        <v>2</v>
      </c>
      <c r="Q37" s="5">
        <f>SUBTOTAL(109,Tableau3[Total HJ])</f>
        <v>6</v>
      </c>
    </row>
    <row r="38" spans="2:23" ht="231" customHeight="1"/>
    <row r="39" spans="2:23" ht="275.10000000000002" customHeight="1"/>
    <row r="40" spans="2:23" ht="219.6" customHeight="1"/>
    <row r="41" spans="2:23" ht="27.6" customHeight="1"/>
  </sheetData>
  <mergeCells count="3">
    <mergeCell ref="R2:W2"/>
    <mergeCell ref="B2:N2"/>
    <mergeCell ref="O2:Q2"/>
  </mergeCells>
  <phoneticPr fontId="2" type="noConversion"/>
  <dataValidations count="2">
    <dataValidation type="whole" operator="greaterThanOrEqual" allowBlank="1" showInputMessage="1" showErrorMessage="1" sqref="O15 P15:Q36" xr:uid="{10E2E794-3894-4CC1-AB1A-9BB5BF41EABB}">
      <formula1>0</formula1>
    </dataValidation>
    <dataValidation type="decimal" operator="greaterThanOrEqual" allowBlank="1" showInputMessage="1" showErrorMessage="1" sqref="O16:O26" xr:uid="{8B90C7D2-1194-4CEB-8672-6A35E98C4E63}">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9E253E9F-6967-4CE3-BEC2-E6EF086F8550}">
          <x14:formula1>
            <xm:f>Params!$C$6:$C$13</xm:f>
          </x14:formula1>
          <xm:sqref>D5</xm:sqref>
        </x14:dataValidation>
        <x14:dataValidation type="list" allowBlank="1" showInputMessage="1" showErrorMessage="1" xr:uid="{06B2A4DB-2A94-4B0B-971B-CDFF438E23BA}">
          <x14:formula1>
            <xm:f>Params!$H$6:$H$12</xm:f>
          </x14:formula1>
          <xm:sqref>N15:N36</xm:sqref>
        </x14:dataValidation>
        <x14:dataValidation type="list" allowBlank="1" showInputMessage="1" showErrorMessage="1" xr:uid="{1F2CF1C1-BE35-4DC9-A975-F49F788F3D6A}">
          <x14:formula1>
            <xm:f>Params!$I$6:$I$9</xm:f>
          </x14:formula1>
          <xm:sqref>L15:L36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7"/>
  <sheetViews>
    <sheetView zoomScale="80" zoomScaleNormal="80" workbookViewId="0">
      <selection activeCell="D20" sqref="D20"/>
    </sheetView>
  </sheetViews>
  <sheetFormatPr defaultColWidth="11.42578125" defaultRowHeight="14.45"/>
  <cols>
    <col min="1" max="1" width="12" style="2" customWidth="1"/>
    <col min="2" max="2" width="10.28515625" style="2" customWidth="1"/>
    <col min="3" max="3" width="11.42578125" style="2"/>
    <col min="4" max="4" width="58.28515625" style="2" customWidth="1"/>
    <col min="5" max="5" width="15.7109375" style="2" customWidth="1"/>
    <col min="6" max="6" width="22.28515625" style="2" customWidth="1"/>
    <col min="7" max="7" width="16.5703125" style="2" customWidth="1"/>
    <col min="8" max="16384" width="11.42578125" style="2"/>
  </cols>
  <sheetData>
    <row r="2" spans="1:7" ht="15" thickBot="1"/>
    <row r="3" spans="1:7" ht="24" customHeight="1" thickBot="1">
      <c r="A3" s="2" t="s">
        <v>135</v>
      </c>
      <c r="B3" s="46" t="s">
        <v>0</v>
      </c>
      <c r="C3" s="47"/>
      <c r="D3" s="47"/>
      <c r="E3" s="47"/>
      <c r="F3" s="47"/>
      <c r="G3" s="48"/>
    </row>
    <row r="4" spans="1:7">
      <c r="B4" s="3"/>
      <c r="C4" s="4"/>
      <c r="D4" s="4"/>
      <c r="E4" s="4"/>
      <c r="F4" s="4"/>
      <c r="G4" s="4"/>
    </row>
    <row r="5" spans="1:7">
      <c r="B5" s="7" t="str">
        <f>'Gestion Exigences'!B5</f>
        <v>BU</v>
      </c>
      <c r="C5" s="7"/>
      <c r="D5" s="7" t="str">
        <f>'Gestion Exigences'!D5</f>
        <v xml:space="preserve">SF </v>
      </c>
      <c r="E5" s="4"/>
      <c r="F5" s="4"/>
      <c r="G5" s="4"/>
    </row>
    <row r="6" spans="1:7">
      <c r="B6" s="7" t="str">
        <f>'Gestion Exigences'!B6</f>
        <v>Client</v>
      </c>
      <c r="C6" s="7"/>
      <c r="D6" s="7" t="str">
        <f>'Gestion Exigences'!D6</f>
        <v>Mobitech</v>
      </c>
      <c r="E6" s="4"/>
      <c r="F6" s="4"/>
      <c r="G6" s="4"/>
    </row>
    <row r="7" spans="1:7">
      <c r="B7" s="7" t="str">
        <f>'Gestion Exigences'!B7</f>
        <v>Projet</v>
      </c>
      <c r="C7" s="7"/>
      <c r="D7" s="7" t="str">
        <f>'Gestion Exigences'!D7</f>
        <v>Projet digitalisation et suivi des opérations d’assemblage</v>
      </c>
      <c r="E7" s="4"/>
      <c r="F7" s="4"/>
      <c r="G7" s="4"/>
    </row>
    <row r="8" spans="1:7">
      <c r="B8" s="7" t="str">
        <f>'Gestion Exigences'!B8</f>
        <v>Réf BPA du Devis</v>
      </c>
      <c r="C8" s="7"/>
      <c r="D8" s="7" t="str">
        <f>'Gestion Exigences'!D8</f>
        <v>TBC</v>
      </c>
      <c r="E8" s="4"/>
      <c r="F8" s="4"/>
      <c r="G8" s="4"/>
    </row>
    <row r="9" spans="1:7">
      <c r="B9" s="7" t="str">
        <f>'Gestion Exigences'!B9</f>
        <v>Réf BPA du Projet</v>
      </c>
      <c r="C9" s="7"/>
      <c r="D9" s="7" t="str">
        <f>'Gestion Exigences'!D9</f>
        <v>TBC</v>
      </c>
      <c r="E9" s="4"/>
      <c r="F9" s="4"/>
      <c r="G9" s="4"/>
    </row>
    <row r="10" spans="1:7">
      <c r="B10" s="7"/>
      <c r="C10" s="7"/>
      <c r="D10" s="7"/>
      <c r="E10" s="4"/>
      <c r="F10" s="4"/>
      <c r="G10" s="4"/>
    </row>
    <row r="11" spans="1:7">
      <c r="B11" s="21" t="str">
        <f>'Gestion Exigences'!B11</f>
        <v>MD203:V1.1</v>
      </c>
      <c r="C11" s="21"/>
      <c r="D11" s="7"/>
      <c r="E11" s="4"/>
      <c r="F11" s="4"/>
      <c r="G11" s="4"/>
    </row>
    <row r="12" spans="1:7">
      <c r="B12" s="3"/>
      <c r="C12" s="4"/>
      <c r="D12" s="4"/>
      <c r="E12" s="4"/>
      <c r="F12" s="4"/>
      <c r="G12" s="4"/>
    </row>
    <row r="13" spans="1:7">
      <c r="B13" s="12" t="s">
        <v>136</v>
      </c>
      <c r="C13" s="12" t="s">
        <v>137</v>
      </c>
      <c r="D13" s="12" t="s">
        <v>138</v>
      </c>
      <c r="E13" s="12" t="s">
        <v>139</v>
      </c>
      <c r="F13" s="12" t="s">
        <v>140</v>
      </c>
      <c r="G13" s="12" t="s">
        <v>141</v>
      </c>
    </row>
    <row r="14" spans="1:7" ht="29.65" customHeight="1">
      <c r="B14" s="13" t="s">
        <v>142</v>
      </c>
      <c r="C14" s="14">
        <v>46014</v>
      </c>
      <c r="D14" s="9" t="s">
        <v>143</v>
      </c>
      <c r="E14" s="13" t="s">
        <v>144</v>
      </c>
      <c r="F14" s="8" t="s">
        <v>145</v>
      </c>
      <c r="G14" s="8" t="s">
        <v>145</v>
      </c>
    </row>
    <row r="15" spans="1:7">
      <c r="B15" s="1"/>
      <c r="C15" s="15"/>
      <c r="D15" s="1"/>
      <c r="E15" s="1"/>
      <c r="F15" s="1"/>
      <c r="G15" s="1"/>
    </row>
    <row r="16" spans="1:7">
      <c r="B16" s="1"/>
      <c r="C16" s="1"/>
      <c r="D16" s="1"/>
      <c r="E16" s="1"/>
      <c r="F16" s="1"/>
      <c r="G16" s="1"/>
    </row>
    <row r="17" spans="2:7">
      <c r="B17" s="1"/>
      <c r="C17" s="1"/>
      <c r="D17" s="1"/>
      <c r="E17" s="1"/>
      <c r="F17" s="1"/>
      <c r="G17" s="1"/>
    </row>
  </sheetData>
  <mergeCells count="1">
    <mergeCell ref="B3:G3"/>
  </mergeCells>
  <phoneticPr fontId="20" type="noConversion"/>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J15"/>
  <sheetViews>
    <sheetView topLeftCell="C1" workbookViewId="0">
      <selection activeCell="J10" sqref="J10"/>
    </sheetView>
  </sheetViews>
  <sheetFormatPr defaultColWidth="11.42578125" defaultRowHeight="12.95"/>
  <cols>
    <col min="1" max="3" width="11.42578125" style="5"/>
    <col min="4" max="5" width="19.7109375" style="5" customWidth="1"/>
    <col min="6" max="6" width="23.7109375" style="5" customWidth="1"/>
    <col min="7" max="7" width="14.42578125" style="5" customWidth="1"/>
    <col min="8" max="8" width="23.7109375" style="5" customWidth="1"/>
    <col min="9" max="9" width="25.28515625" style="5" customWidth="1"/>
    <col min="10" max="10" width="20.42578125" style="5" customWidth="1"/>
    <col min="11" max="16384" width="11.42578125" style="5"/>
  </cols>
  <sheetData>
    <row r="2" spans="2:10">
      <c r="B2" s="20" t="s">
        <v>146</v>
      </c>
      <c r="C2" s="20"/>
      <c r="D2" s="19">
        <v>0.25</v>
      </c>
    </row>
    <row r="3" spans="2:10">
      <c r="B3" s="20" t="s">
        <v>147</v>
      </c>
      <c r="C3" s="20"/>
      <c r="D3" s="19">
        <v>0.25</v>
      </c>
    </row>
    <row r="5" spans="2:10" ht="26.1">
      <c r="B5" s="16" t="s">
        <v>148</v>
      </c>
      <c r="C5" s="16" t="s">
        <v>3</v>
      </c>
      <c r="D5" s="16" t="s">
        <v>17</v>
      </c>
      <c r="E5" s="16" t="s">
        <v>149</v>
      </c>
      <c r="F5" s="16" t="s">
        <v>21</v>
      </c>
      <c r="G5" s="16" t="s">
        <v>150</v>
      </c>
      <c r="H5" s="16" t="s">
        <v>26</v>
      </c>
      <c r="I5" s="16" t="s">
        <v>151</v>
      </c>
      <c r="J5" s="16" t="s">
        <v>18</v>
      </c>
    </row>
    <row r="6" spans="2:10" ht="26.1">
      <c r="B6" s="5" t="s">
        <v>152</v>
      </c>
      <c r="C6" s="5" t="s">
        <v>4</v>
      </c>
      <c r="D6" s="5" t="s">
        <v>153</v>
      </c>
      <c r="E6" s="5" t="s">
        <v>39</v>
      </c>
      <c r="F6" s="5" t="s">
        <v>154</v>
      </c>
      <c r="G6" s="5" t="s">
        <v>155</v>
      </c>
      <c r="H6" s="5" t="s">
        <v>47</v>
      </c>
      <c r="I6" s="5" t="s">
        <v>45</v>
      </c>
      <c r="J6" s="5" t="s">
        <v>156</v>
      </c>
    </row>
    <row r="7" spans="2:10" ht="51.95">
      <c r="B7" s="5" t="s">
        <v>157</v>
      </c>
      <c r="C7" s="5" t="s">
        <v>158</v>
      </c>
      <c r="D7" s="5" t="s">
        <v>159</v>
      </c>
      <c r="E7" s="5" t="s">
        <v>160</v>
      </c>
      <c r="F7" s="5" t="s">
        <v>40</v>
      </c>
      <c r="G7" s="5" t="s">
        <v>161</v>
      </c>
      <c r="H7" s="5" t="s">
        <v>162</v>
      </c>
      <c r="I7" s="5" t="s">
        <v>163</v>
      </c>
      <c r="J7" s="5" t="s">
        <v>164</v>
      </c>
    </row>
    <row r="8" spans="2:10" ht="51.95">
      <c r="B8" s="5" t="s">
        <v>165</v>
      </c>
      <c r="C8" s="5" t="s">
        <v>166</v>
      </c>
      <c r="D8" s="5" t="s">
        <v>167</v>
      </c>
      <c r="E8" s="5" t="s">
        <v>168</v>
      </c>
      <c r="F8" s="5" t="s">
        <v>169</v>
      </c>
      <c r="G8" s="5" t="s">
        <v>145</v>
      </c>
      <c r="H8" s="5" t="s">
        <v>145</v>
      </c>
      <c r="I8" s="5" t="s">
        <v>145</v>
      </c>
      <c r="J8" s="5" t="s">
        <v>38</v>
      </c>
    </row>
    <row r="9" spans="2:10" ht="39">
      <c r="B9" s="5" t="s">
        <v>170</v>
      </c>
      <c r="D9" s="5" t="s">
        <v>171</v>
      </c>
      <c r="E9" s="5" t="s">
        <v>172</v>
      </c>
      <c r="F9" s="5" t="s">
        <v>173</v>
      </c>
      <c r="J9" s="5" t="s">
        <v>174</v>
      </c>
    </row>
    <row r="10" spans="2:10" ht="39">
      <c r="B10" s="5" t="s">
        <v>175</v>
      </c>
      <c r="D10" s="5" t="s">
        <v>176</v>
      </c>
      <c r="E10" s="5" t="s">
        <v>177</v>
      </c>
      <c r="F10" s="5" t="s">
        <v>178</v>
      </c>
      <c r="J10" s="5" t="s">
        <v>67</v>
      </c>
    </row>
    <row r="11" spans="2:10" ht="51.95">
      <c r="B11" s="5" t="s">
        <v>179</v>
      </c>
      <c r="D11" s="5" t="s">
        <v>180</v>
      </c>
      <c r="F11" s="5" t="s">
        <v>181</v>
      </c>
      <c r="J11" s="5" t="s">
        <v>182</v>
      </c>
    </row>
    <row r="12" spans="2:10" ht="51.95">
      <c r="B12" s="5" t="s">
        <v>71</v>
      </c>
      <c r="F12" s="5" t="s">
        <v>183</v>
      </c>
      <c r="J12" s="5" t="s">
        <v>184</v>
      </c>
    </row>
    <row r="13" spans="2:10" ht="39">
      <c r="B13" s="5" t="s">
        <v>185</v>
      </c>
    </row>
    <row r="14" spans="2:10" ht="65.099999999999994">
      <c r="B14" s="5" t="s">
        <v>186</v>
      </c>
      <c r="J14" s="5" t="s">
        <v>187</v>
      </c>
    </row>
    <row r="15" spans="2:10" ht="65.099999999999994">
      <c r="B15" s="5" t="s">
        <v>188</v>
      </c>
      <c r="J15" s="5" t="s">
        <v>189</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DAC921-BC61-46C6-9F44-0C30D3364B60}"/>
</file>

<file path=customXml/itemProps2.xml><?xml version="1.0" encoding="utf-8"?>
<ds:datastoreItem xmlns:ds="http://schemas.openxmlformats.org/officeDocument/2006/customXml" ds:itemID="{85503822-DF13-4051-A489-72B75648E37A}"/>
</file>

<file path=customXml/itemProps3.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Moatez Derbala</cp:lastModifiedBy>
  <cp:revision/>
  <dcterms:created xsi:type="dcterms:W3CDTF">2000-07-05T17:03:55Z</dcterms:created>
  <dcterms:modified xsi:type="dcterms:W3CDTF">2026-01-23T18:02:46Z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