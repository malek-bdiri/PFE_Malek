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2"/>
  <workbookPr/>
  <mc:AlternateContent xmlns:mc="http://schemas.openxmlformats.org/markup-compatibility/2006">
    <mc:Choice Requires="x15">
      <x15ac:absPath xmlns:x15ac="http://schemas.microsoft.com/office/spreadsheetml/2010/11/ac" url="https://momsoftware.sharepoint.com/sites/Commercial/Documents partages/06 Prospects/006 Cevital/20 Projet Pilote MES/2 Préparation Offre/"/>
    </mc:Choice>
  </mc:AlternateContent>
  <xr:revisionPtr revIDLastSave="17" documentId="14_{C788E457-4A54-4D8F-ABD6-8E3599A38356}" xr6:coauthVersionLast="47" xr6:coauthVersionMax="47" xr10:uidLastSave="{BDFC771E-CB6F-4BC6-906C-527BCF6AD4E3}"/>
  <bookViews>
    <workbookView xWindow="-108" yWindow="-108" windowWidth="23256" windowHeight="12456" tabRatio="620" xr2:uid="{00000000-000D-0000-FFFF-FFFF00000000}"/>
  </bookViews>
  <sheets>
    <sheet name="Gestion Exigences" sheetId="27" r:id="rId1"/>
    <sheet name="Modifs Doc" sheetId="29" r:id="rId2"/>
    <sheet name="Params" sheetId="30" r:id="rId3"/>
  </sheets>
  <definedNames>
    <definedName name="_xlnm.Print_Area" localSheetId="0">'Gestion Exigences'!$C$2:$J$20</definedName>
    <definedName name="_xlnm.Print_Area" localSheetId="1">'Modifs Doc'!$B$2:$G$18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3" i="27" l="1"/>
  <c r="P32" i="27"/>
  <c r="P31" i="27"/>
  <c r="P27" i="27"/>
  <c r="P25" i="27"/>
  <c r="P24" i="27"/>
  <c r="P23" i="27"/>
  <c r="P16" i="27"/>
  <c r="O37" i="27"/>
  <c r="P14" i="27"/>
  <c r="P15" i="27"/>
  <c r="P17" i="27"/>
  <c r="P18" i="27"/>
  <c r="P19" i="27"/>
  <c r="P20" i="27"/>
  <c r="P21" i="27"/>
  <c r="P22" i="27"/>
  <c r="P26" i="27"/>
  <c r="P28" i="27"/>
  <c r="P29" i="27"/>
  <c r="P30" i="27"/>
  <c r="P34" i="27"/>
  <c r="P35" i="27"/>
  <c r="P36" i="27"/>
  <c r="Q33" i="27"/>
  <c r="Q30" i="27"/>
  <c r="Q27" i="27"/>
  <c r="Q23" i="27"/>
  <c r="Q31" i="27"/>
  <c r="Q35" i="27"/>
  <c r="Q32" i="27"/>
  <c r="Q36" i="27"/>
  <c r="Q21" i="27"/>
  <c r="Q34" i="27"/>
  <c r="Q24" i="27"/>
  <c r="Q25" i="27"/>
  <c r="Q26" i="27"/>
  <c r="Q28" i="27"/>
  <c r="Q29" i="27"/>
  <c r="Q14" i="27"/>
  <c r="Q15" i="27"/>
  <c r="Q17" i="27"/>
  <c r="Q18" i="27"/>
  <c r="Q19" i="27"/>
  <c r="Q20" i="27"/>
  <c r="Q22" i="27"/>
  <c r="D5" i="29"/>
  <c r="D6" i="29"/>
  <c r="D7" i="29"/>
  <c r="D8" i="29"/>
  <c r="C10" i="29"/>
  <c r="C11" i="29"/>
  <c r="B6" i="29"/>
  <c r="B7" i="29"/>
  <c r="B8" i="29"/>
  <c r="B10" i="29"/>
  <c r="B11" i="29"/>
  <c r="B5" i="29"/>
  <c r="P37" i="27" l="1"/>
  <c r="Q16" i="27"/>
  <c r="Q37" i="27"/>
</calcChain>
</file>

<file path=xl/sharedStrings.xml><?xml version="1.0" encoding="utf-8"?>
<sst xmlns="http://schemas.openxmlformats.org/spreadsheetml/2006/main" count="349" uniqueCount="200">
  <si>
    <t>Gestion Exigences Projet</t>
  </si>
  <si>
    <t>Chiffrage Réalisation (SF only)</t>
  </si>
  <si>
    <t>Revue et Vérification Pendant la Conception</t>
  </si>
  <si>
    <t>BU</t>
  </si>
  <si>
    <t>Client</t>
  </si>
  <si>
    <t>Cevital</t>
  </si>
  <si>
    <t>Projet</t>
  </si>
  <si>
    <t>Digitalisation usine Cevital</t>
  </si>
  <si>
    <t>Réf BPA du Devis</t>
  </si>
  <si>
    <t>S0-00xyz</t>
  </si>
  <si>
    <t>Zone de saisie</t>
  </si>
  <si>
    <t>Réf BPA du Projet</t>
  </si>
  <si>
    <t>PR-22-0xyz</t>
  </si>
  <si>
    <t>Réf Modèle Document</t>
  </si>
  <si>
    <t>MD203</t>
  </si>
  <si>
    <t>Confidentiel | Usage Client Limité</t>
  </si>
  <si>
    <t>Version Modèle Document</t>
  </si>
  <si>
    <t>V1.5</t>
  </si>
  <si>
    <t>ID</t>
  </si>
  <si>
    <t>Intitulé Exigence</t>
  </si>
  <si>
    <t>Nature</t>
  </si>
  <si>
    <t>Catégorie</t>
  </si>
  <si>
    <t>Exigence idenfiée pendant la phase</t>
  </si>
  <si>
    <t>Description de l'exigence</t>
  </si>
  <si>
    <t>Source</t>
  </si>
  <si>
    <t>Type de l'exigence</t>
  </si>
  <si>
    <t>Description de la solution ADDIXO</t>
  </si>
  <si>
    <t>Ecart entre exigence client et la solution proposée - préciser aussi les limites et hypothèses si applicable</t>
  </si>
  <si>
    <t>Validation Interne</t>
  </si>
  <si>
    <t>Validation Interne par:</t>
  </si>
  <si>
    <t>Statut Client</t>
  </si>
  <si>
    <t>HJ Dev</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</si>
  <si>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</si>
  <si>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</si>
  <si>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</si>
  <si>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</si>
  <si>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</si>
  <si>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</si>
  <si>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</si>
  <si>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Notes</t>
  </si>
  <si>
    <t>E001</t>
  </si>
  <si>
    <t xml:space="preserve">Configuration des données </t>
  </si>
  <si>
    <t>Fonctionnelle</t>
  </si>
  <si>
    <t>SF-Fonctionnelle</t>
  </si>
  <si>
    <t>Commerciale</t>
  </si>
  <si>
    <t>Configuration complète et gestion de l'usine</t>
  </si>
  <si>
    <t>Workshop/réunion client</t>
  </si>
  <si>
    <t xml:space="preserve">Standard </t>
  </si>
  <si>
    <t>La solution offre un Module Core permettant la modélisation, gestion et planification pour une usine connectée:
• Modélisation hiérarchique de l'usine: Sites, ateliers, lignes, postes, machines, stocks.
• Gestion des produits: Nomenclatures, gammes opératoires.
• Gestion des incidents et défauts: Pannes par machines, défauts par produit.
• Gestion des utilisateurs et des autorisations: Rôles et accès contrôlés.
• Gestion des équipes: Production, qualité, maintenance.
• Planification des lignes et des équipes: Cycles, équipes, calendrier de travail.
• Configuration de l'outillage: Moules, gabarits..
• etc</t>
  </si>
  <si>
    <t>RAS</t>
  </si>
  <si>
    <t>N/A</t>
  </si>
  <si>
    <t>E002</t>
  </si>
  <si>
    <t xml:space="preserve">Chargement des données </t>
  </si>
  <si>
    <t xml:space="preserve"> Automatisation de l'importation de données dans la solution</t>
  </si>
  <si>
    <t xml:space="preserve">La solution comprend un module "Intégartion SI" permettant l'intégration automatisée de données: Chargement automatique de données depuis des fichiers CSV ou des systèmes d'information clients. En supportant les entités produits, utilisateurs et outillages, avec une gestion détaillée des erreurs d'intégration. </t>
  </si>
  <si>
    <t>E003</t>
  </si>
  <si>
    <t>Intégration  des OF à partir de l'ERP</t>
  </si>
  <si>
    <t>Automatiser l'intégartion  des OF à partir de l'ERP</t>
  </si>
  <si>
    <t>Adaptation</t>
  </si>
  <si>
    <t>le module "Intégration SI" permet la lecture des Ordres de fabrication à partir de L'ERP en utilisant les webservices.
La lecture des OF peut s'effecuter automatiquement en fonction d'une fréquence choisie par le client ou en utilisant l'interface Intégration des OF pour un chargement à sa convenance.
Cette exigences nécessite un travail de collaboration entre l'équipe ADDIXO et le fournisseur ERP du Client</t>
  </si>
  <si>
    <t>E004</t>
  </si>
  <si>
    <t>Gestion et suivi  des ordres de fabrications</t>
  </si>
  <si>
    <t xml:space="preserve">Gérer et suivre les ordres de fabrications </t>
  </si>
  <si>
    <t xml:space="preserve">La solution offre une interface "Gestion des OF" sous le module "Production" permettant :
• Ajout manuel des Ordres de fabrication en spécifiant les informations associées nécessaires : Atelier , ligne , commande ,  produit , temps de cycle , quantité objectif , temps de changement de série , matière .
•Gestion centralisée des OF:
Gestion et suivi des différents statuts des OF (planifié, lancé, suspendu, changement de série, etc.)
Mise à jour en temps réel des statuts
Workflow de validation des changements de statut paramétrables
•Gestion des opérations associées à un OF:
Calcul des dates de début et fin prévues pour chaque opération
Suivi d'avancement des opérations
•Planification et ajustement :
Planification initiale des OF en fonction des données saisies 
Ajustement de la planification en cas d'aléas
Consultation en temps réel de l'impact des ajustements sur la planification globale.
</t>
  </si>
  <si>
    <t>E005</t>
  </si>
  <si>
    <t>Système de collecte de données à partir des machines</t>
  </si>
  <si>
    <t>Collecte et transmission des données des machines en temps réel</t>
  </si>
  <si>
    <t>La solution permet l'acquisition automatique et en temps réel des données de production et d'arrêt, en intégrant directement les équipements de production via des protocoles standardisés spécifiques à chaque machine. Les données collectées incluent les métriques de production en cours et les événements d'arrêt.</t>
  </si>
  <si>
    <t>E006</t>
  </si>
  <si>
    <t xml:space="preserve">Gestion et suivi de la prodution </t>
  </si>
  <si>
    <t>Déclaration manuelle de la production et des non-conformité et des arrêts en assurant un suivi en temps réel et un historique détaillé.</t>
  </si>
  <si>
    <t>La solution comprend un module de "Gestion de Production" offrant les fonctionnalités suivantes :
• Déclaration manuelle de la production : Enregistrement des quantités produites et des non-conformités pour chaque Ordre de Fabrication (OF), ligne, et produit. avec la possibilité de la déclaration par lot.
• Validation des déclarations :Workflow de validation des déclarations de production avec des niveaux de validation paramétrables 
• Rapports détaillés : Accès à des rapports détaillés sur l'historique de production, incluant les quantités produites, les non-conformités, ainsi que les performances des lignes et des opérateurs.
• Filtrage avancé : Possibilité de filtrer les données par OF, équipe, ligne, produit, et période de production.</t>
  </si>
  <si>
    <t>E007</t>
  </si>
  <si>
    <t xml:space="preserve">Contrôle Qualité </t>
  </si>
  <si>
    <t>Fournir des listes de contrôle numériques pour garantir la qualité des produits à chaque étape de la production</t>
  </si>
  <si>
    <t xml:space="preserve">la solution offre un module de "Gestion de la qualité" permettant le contrôle de la qualité produit et process , comprenant les fonctionnalités : 
• Configuration des critères de contrôle :
   Définition des critères de mesure des produits (dimensions, aspects, etc.)
   Gestion des tolérances et spécifications par critère
• Génération automatique des contrôles :
   Des fiches de contrôle produit au démarrage et à la fin de série.
   Des fiches de contrôle process (SPC) pour le suivi des déviations des critères de mesure.
•Validation et Traçabilité  : 
  Workflow de validation à multi-niveaux des contrôles .
   Archivage des résultats de contrôle
</t>
  </si>
  <si>
    <t>E008</t>
  </si>
  <si>
    <t>Alarme d'inspection qualité par fréquence</t>
  </si>
  <si>
    <t>Configuration d'alertes automatiques pour planifier et exécuter les inspections qualité selon des fréquences prédéfinies</t>
  </si>
  <si>
    <t>La solution permet d'intégrer un système d'alertes automatiques pour planifier et exécuter les inspections qualité. Ce système offre les fonctionnalités suivantes :
• Configurer les fréquences d'inspection souhaitées et le type de notification.
• Envoyer des notifications/alertes automatiques aux équipes de qualité ou aux opérateurs lorsque les inspections sont dues.
• Générer et afficher des instructions ou check-lists pour les inspections à réaliser, basées sur les critères qualité définis (fiches de suivi de la qualité de production).
• Workflow de validation des fiches de suivi.
• Historiser et suivre les fiches de suivi.</t>
  </si>
  <si>
    <t>E009</t>
  </si>
  <si>
    <t>Gestion des non-conformité</t>
  </si>
  <si>
    <t>Mise en place de processus pour surveiller et réduire les déchets de composants, de produits semi-finis et finis tout au long du processus de production</t>
  </si>
  <si>
    <t xml:space="preserve">La solution permet de gérer et de suivre les non-conformités à partir de :
• Surveillance des machines : Interfaçage avec des systèmes d'acquisition de données pour détecter automatiquement les non-conformités sur les machines en temps réel.
• Déclaration manuelle des quantités non conformes : Spécification du lieu de détection et décortication des défauts.
• Gestion des rebuts : Enregistrement des quantités non conformes pour élimination, incluant les raisons de la mise au rebut et les coûts associés.
Tout en assurant un suivi en temps réel et un historique détaillé filtré par critères tels que la date, le type de défaut, la machine ou le responsable..
</t>
  </si>
  <si>
    <t>E010</t>
  </si>
  <si>
    <t>Gestion de Rework et déchets</t>
  </si>
  <si>
    <t>Mise en place de fonctionnalités pour la gestion des rework.</t>
  </si>
  <si>
    <t>La solution propose d'ajouter une classification des Non-Conformités :
-Rework : Non-conformités à reprendre en production.
-Rebut : Non-conformités à éliminer.
• Définition :
  Lieu de Détection : Identification précise de l'endroit où la non-conformité a été détectée.
  Défauts et Quantités : Spécification des types de défauts et des quantités affectées.
• Gestion des Reworks :
   Flux de Reprise : Intégration des non-conformités reclassées dans le processus de production.
   Traçabilité : Maintien du lien avec l’ordre de fabrication initial.
• Instructions Correctives :
   Actions Correctives :Définition des mesures à prendre pour corriger les défauts.
  Tests de Revalidation : Mise en place de tests pour valider les corrections effectuées.</t>
  </si>
  <si>
    <t>E011</t>
  </si>
  <si>
    <t>Contrôle du Numéro de série</t>
  </si>
  <si>
    <t>Intégration d'un système de traçabilité permettant de
suivre et de contrôler chaque unité fabriquée via des numéros de série de composants.</t>
  </si>
  <si>
    <t xml:space="preserve">La solution propose d'intègrer une gestion de production et de qualité par numéro de série en offrant la possibilité de scanner ou saisir les numéros de série (idantifiant unique de chaque composant ou unité fabriquée) lors de la déclarations et l'enregistrement de la production/non conformité </t>
  </si>
  <si>
    <t>E012</t>
  </si>
  <si>
    <t>Renvoi des données la production et de qualité à l'ERP</t>
  </si>
  <si>
    <t>Renvoyer les données de production automatiquement vers l'ERP : SAP S4H.</t>
  </si>
  <si>
    <t>La solution permet de transmettre les données de production  vers l'ERP client  : quantité produite, quantité non conforme, durée et causes des arrêts, et durée effective de production. Ces informations sont catégorisées par Ordre de Fabrication (OF) et par ligne de production.
 La fréquence de transmission des données à l'ERP est déterminée par le client . 
Cette exigences nécessite un travail de collaboration entre l'équipe ADDIXO et le fournisseur ERP du Client</t>
  </si>
  <si>
    <t>E013</t>
  </si>
  <si>
    <t>Suivi en temps réel</t>
  </si>
  <si>
    <t>Suivi en temps réel des KPIs, incluant le suivi du takt time</t>
  </si>
  <si>
    <t>La solution offre une supervision de production en temps réel avec le module "Vue 360°" permettant de  : 
• Visualiser l'état des lignes en temps réel avec codification couleur paramétrable.
•Suivire des indicateurs clés de performance (KPI): TRS équipe et OF ,Taux de performance, disponibilité et qualité , PPM (pièces par million)
•Suivre de la progression des OF.
•Analyser des arrêts: Durées, causes et nombre d'occurrences.
•Visualiser la production et non-conformité en temps réel: Production totale et horaire par équipe , Non-conformité totale et horaire par équipe avec catégorisation par défaut qualité.</t>
  </si>
  <si>
    <t>E014</t>
  </si>
  <si>
    <t xml:space="preserve">Suivi en temps réel et historisation de rework </t>
  </si>
  <si>
    <t xml:space="preserve">Suivi en temps réel et historaisation de taux de rework </t>
  </si>
  <si>
    <t>La solution propose d'ajouter une catégorisation Rework et Rebut dans la vue 360° et le tableau de bord.
• Vue 360° :
Affichage des Catégories : Les non-conformités sont affichées avec une distinction claire entre Rework et Rebut.
Informations Détaillées : Chaque catégorie présente les détails spécifiques tels que les quantités, les défauts.
• Tableau de Bord :
Catégorisation Visuelle : Les données de Rework et Rebut sont représentées graphiquement.
Filtres Dynamiques : Les utilisateurs peuvent filtrer les non-conformités par Rework et Rebut. 
Indicateurs de Performance : KPIs spécifiques pour les taux de Rework et Rebut.</t>
  </si>
  <si>
    <t>E015</t>
  </si>
  <si>
    <t>Tableau de bord</t>
  </si>
  <si>
    <t>Analyser la performance historique des lignes de production
Analyser l'évolution des indicateurs clés au cours du temps pour chaque ligne de production.</t>
  </si>
  <si>
    <t xml:space="preserve">la solution offre un tableau de bord fournissant une vue multi-niveaux de la production en utilisant des indicateurs comme TRS, Quantité produite vs Quantité planifiée, Temps d'arrêt vs temps de production, etc.
</t>
  </si>
  <si>
    <t>E016</t>
  </si>
  <si>
    <t xml:space="preserve">Gestion de la maintenance préventive </t>
  </si>
  <si>
    <t xml:space="preserve">Intégration de fonctionnalités permettant le suivi et la planification des interventions de maintenance, assurant ainsi la disponibilité continue des équipements de production.
</t>
  </si>
  <si>
    <r>
      <rPr>
        <sz val="10"/>
        <color rgb="FF000000"/>
        <rFont val="Calibri Light"/>
        <scheme val="major"/>
      </rPr>
      <t xml:space="preserve">La solution offre un module de "Gestion de la maintenance" permettant  : 
-Le suivi en temps réel et l'historisation des arrêts machines avec les durées et les causes associées.
-L'envoi et la gestion de fiches d'intervention spécifiant les actions à mener suite à une panne des équipements .
- La planification , la gestion et le suivi des ordres de maintenance, incluant la possibilité d'arrêter la production pendant l'intervention.
</t>
    </r>
    <r>
      <rPr>
        <b/>
        <sz val="10"/>
        <color rgb="FFFF0000"/>
        <rFont val="Calibri Light"/>
        <scheme val="major"/>
      </rPr>
      <t xml:space="preserve">
</t>
    </r>
  </si>
  <si>
    <t>E017</t>
  </si>
  <si>
    <t>Liste de contrôle TPM</t>
  </si>
  <si>
    <t>Mise en place de listes de contrôle de la maintenance préventive pour suivre et exécuter les activités TPM (Total Productive Maintenance).</t>
  </si>
  <si>
    <t xml:space="preserve">La solution permet de gérer et suivre les paramètres de contrôle en offrant les fonctionalités : 
• Définition des Paramètres : Spécifier les paramètres de réglage du processus (températures, pressions, vitesses, etc.) avec les intervalles de tolérance correspondants.
• Génération Automatique de Fiches de Contrôle :
Fiches de Démarrage et de Fin de Série : Créer automatiquement des fiches de contrôle pour enregistrer les réglages initiaux et finaux.
Fiches de Suivi : Générer des fiches de suivi pour documenter et valider les réglages durant le processus.
• Validation et Suivi :
Workflow de validation des fiches .
Niveaux de validation paramétrables (opérateur, contrôleur qualité, etc.).
Maintenir un historique complet des fiches de contrôle . </t>
  </si>
  <si>
    <t>E018</t>
  </si>
  <si>
    <t>Gestion de la maintenance prédective</t>
  </si>
  <si>
    <t>Utilisation d'outils de maintenance prédictive pour anticiper les pannes potentielles et planifier la maintenance de manière proactive, contribuant ainsi à réduire les temps d'arrêt non planifiés (moteurs, vibration palier avec les solutions IoT associées)</t>
  </si>
  <si>
    <t>La solution porpose d'intègrer un module de maintenance prédictive basé sur l'analyse de données issues de capteurs et systèmes IoT connectés aux équipements critiques . Avec les fonctionnalités suivantes :
• Surveillance Continue :
Utilisation de capteurs IoT pour surveiller en temps réel les conditions de fonctionnement des moteurs et des paliers.
Collecte de données sur les vibrations, la température, les niveaux de bruit, et autres paramètres critiques.
•Analyse Avancée :
Analyse des données en temps réel et historiques pour détecter les tendances anormales et les signes précurseurs de défaillance.
Utilisation d'algorithmes d'apprentissage automatique (machine learning) pour prévoir les pannes potentielles basées sur les modèles de données.
•Alertes et Notifications :
Génération automatique d'alertes et de notifications lorsque des seuils critiques sont atteints ou lorsque des anomalies sont détectées.
Transmission des alertes aux équipes de maintenance pour une intervention proactive.
•Planification de la Maintenance :
Utilisation des prédictions de maintenance pour planifier les interventions de manière proactive
•Reporting et Suivi :
Génération de rapports détaillés sur les performances des équipements, les prédictions de pannes, et l'efficacité des actions de maintenance préventive.
Suivi continu des indicateurs clés de performance (KPI) liés à la disponibilité et à la fiabilité des équipements.</t>
  </si>
  <si>
    <t>E019</t>
  </si>
  <si>
    <t>Lecture et écriture vers  SAP PM</t>
  </si>
  <si>
    <t xml:space="preserve">Lectures et tranferst des informations de et vers SAP PM </t>
  </si>
  <si>
    <t>La solution propose d'intégrer les données relatives aux ordres de maintenance et aux interventions à partir de SAP PM via des webservices, et de renvoyer les informations de maintenance gérées dans la solution vers SAP PM. Cette exigence nécessite un travail de collaboration entre l'équipe ADDIXO et le fournisseur ERP du client.</t>
  </si>
  <si>
    <t>E020</t>
  </si>
  <si>
    <t>Lecture des Matières premières à partir de l'ERP</t>
  </si>
  <si>
    <t>Intégartion de l'ERP des matières premières</t>
  </si>
  <si>
    <t>Le module "Intégration SI" permet la lecture es données relatives aux matières premières via webservice . Cette exigences nécessite un travail de collaboration entre l'équipe ADDIXO et le fournisseur ERP du Client.</t>
  </si>
  <si>
    <t>E021</t>
  </si>
  <si>
    <t>Gestion de stock</t>
  </si>
  <si>
    <t xml:space="preserve">Fournir une solution qui assure : 
- La visibilité sur les Work In Progress
-La gestion des stocks en temps réel matière première bord de ligne, et entrée de ligne
- La gestion des demandes de réapprovisionnement automatique à partir de la ligne à l'entrepôt </t>
  </si>
  <si>
    <t>La solution offre un module de gestion de stock qui permet de :
• Configurer les zones de stockage de matières premières , produits finis  et produits semi-finis .
• Ajout manuel ou intégration des matières premières avec génération automatique des bons de réception matière.
• Définir les besoins en matières premières lors de la création/lancement des OF et génération automatique des bons de sortie matière nécessitant une validation du responsable.
• Suivi et historisation de la consommation en matières.
• Génération des bons de retour matière.
• Suivi des zones de stock intermédiaires.
• Suivi des niveaux de stock avec déclenchement des alertes de réapprovisionnement et des commandes si le seuil d'alerte de stock est atteint.</t>
  </si>
  <si>
    <t>E022</t>
  </si>
  <si>
    <t>Extraction de données</t>
  </si>
  <si>
    <t>Extraction des données de l’ensemble des données des différents modules</t>
  </si>
  <si>
    <t xml:space="preserve">La solution offre la possibilité de l'extraction flexible des données de production, qualité, maintenance, et stock dans des fichiers CSV/Excel à partir des interfaces suivantes : 
• Historique des Arrêts :Durées et causes des arrêts.
• Détail Production et Historique par Shift :Quantités conformes, rebuts, total produit, temps de cycle net et effectif, durées de changement de série, durée de production, TRS.
• Détail Qualité :Défauts et quantités non conformes.
• Résumé OF :Synthèse complète des données de production, qualité, et maintenance par ordre de fabrication (OF).
• Gestion de Stock : Matières premières disponibles et consommées.
</t>
  </si>
  <si>
    <t>E023</t>
  </si>
  <si>
    <t>Instruction de travail</t>
  </si>
  <si>
    <t>Mise à disposition de documents électroniques et d'instructions de travail pour guider les opérateurs tout au long du processus de production. Sur les postes critiques de l’unité.</t>
  </si>
  <si>
    <t>La solution offre un module "Instruction de travail" qui permet :
• Chargement : Importation des fichiers d'instructions.
• Catégorisation : Classification par qualité, maintenance, et production.
• Affectation : Attribution des instructions par ligne et produit.
• Gestion des Versions : Centralisation et gestion du versionnage des documents.
• Accessibilité : Accès en temps réel aux instructions pour les opérateurs et l'équipe qualité.</t>
  </si>
  <si>
    <t xml:space="preserve"> </t>
  </si>
  <si>
    <t>Version</t>
  </si>
  <si>
    <t>Date</t>
  </si>
  <si>
    <t>Modifications</t>
  </si>
  <si>
    <t>Auteur(s)</t>
  </si>
  <si>
    <t>Vérificateur(s)</t>
  </si>
  <si>
    <t>Approbateur</t>
  </si>
  <si>
    <t>V1.0</t>
  </si>
  <si>
    <t xml:space="preserve">Version initiale </t>
  </si>
  <si>
    <t>Siwar A.</t>
  </si>
  <si>
    <t xml:space="preserve">Mahdi B. </t>
  </si>
  <si>
    <t>Imed A.</t>
  </si>
  <si>
    <t>Exigence identifiée pendant la phase</t>
  </si>
  <si>
    <t>Oui/Non</t>
  </si>
  <si>
    <t>Statut Interne</t>
  </si>
  <si>
    <t>SE</t>
  </si>
  <si>
    <t>CdC client</t>
  </si>
  <si>
    <t>Oui</t>
  </si>
  <si>
    <t>Validée par le client</t>
  </si>
  <si>
    <t>Validée</t>
  </si>
  <si>
    <t>*** SE</t>
  </si>
  <si>
    <t>SE-TN</t>
  </si>
  <si>
    <t>Performance</t>
  </si>
  <si>
    <t>Conception</t>
  </si>
  <si>
    <t>Non</t>
  </si>
  <si>
    <t>Non validée par client</t>
  </si>
  <si>
    <t>Non validée</t>
  </si>
  <si>
    <t>SE-Processus</t>
  </si>
  <si>
    <t>SE-MA</t>
  </si>
  <si>
    <t>Reglementaire</t>
  </si>
  <si>
    <t>Réalisation</t>
  </si>
  <si>
    <t>Workshop/réunion Interne</t>
  </si>
  <si>
    <t>SE-Mécanique</t>
  </si>
  <si>
    <t>SF</t>
  </si>
  <si>
    <t>Sécurité</t>
  </si>
  <si>
    <t>Mise en œuvre</t>
  </si>
  <si>
    <t>Standards client</t>
  </si>
  <si>
    <t>SE-Electrique</t>
  </si>
  <si>
    <t>R&amp;D</t>
  </si>
  <si>
    <t>Standard Client</t>
  </si>
  <si>
    <t>Support et maintenance</t>
  </si>
  <si>
    <t>Standards ADDIXO</t>
  </si>
  <si>
    <t>SE-Soft</t>
  </si>
  <si>
    <t>LOOYAS</t>
  </si>
  <si>
    <t>Standard ADDIXO</t>
  </si>
  <si>
    <t>Reglementation</t>
  </si>
  <si>
    <t>SE-Auto</t>
  </si>
  <si>
    <t>A définir</t>
  </si>
  <si>
    <t>Demande modification</t>
  </si>
  <si>
    <t>SE-Fabrication</t>
  </si>
  <si>
    <t>SE-Intégration</t>
  </si>
  <si>
    <t>SE-Achats</t>
  </si>
  <si>
    <t>*** SF</t>
  </si>
  <si>
    <t>SF-Processus</t>
  </si>
  <si>
    <t>SF-Connectivité Machine</t>
  </si>
  <si>
    <t>SF-Intégration SI</t>
  </si>
  <si>
    <t>SF-Software</t>
  </si>
  <si>
    <t>SF-Infra IT</t>
  </si>
  <si>
    <t>*** TC</t>
  </si>
  <si>
    <t>TC-Prestations sur site client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</si>
</sst>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b/>
      <sz val="11"/>
      <color theme="2" tint="-0.89999084444715716"/>
      <name val="Calibri Light"/>
      <family val="2"/>
    </font>
    <font>
      <b/>
      <sz val="10"/>
      <color rgb="FFFF0000"/>
      <name val="Calibri Light"/>
      <family val="2"/>
      <scheme val="major"/>
    </font>
    <font>
      <sz val="4"/>
      <name val="Calibri Light"/>
      <family val="2"/>
    </font>
    <font>
      <sz val="4"/>
      <name val="Calibri Light"/>
      <family val="2"/>
      <scheme val="major"/>
    </font>
    <font>
      <sz val="10"/>
      <color rgb="FF000000"/>
      <name val="Calibri Light"/>
      <scheme val="major"/>
    </font>
    <font>
      <sz val="10"/>
      <color rgb="FF000000"/>
      <name val="Calibri Light"/>
      <family val="2"/>
    </font>
    <font>
      <sz val="10"/>
      <color rgb="FF000000"/>
      <name val="Calibri Light"/>
      <charset val="1"/>
    </font>
    <font>
      <sz val="10"/>
      <color rgb="FF000000"/>
      <name val="Calibri Light"/>
      <family val="2"/>
      <scheme val="major"/>
    </font>
    <font>
      <b/>
      <sz val="10"/>
      <color rgb="FFFF0000"/>
      <name val="Calibri Light"/>
      <scheme val="major"/>
    </font>
  </fonts>
  <fills count="6">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4" tint="0.79998168889431442"/>
        <bgColor indexed="64"/>
      </patternFill>
    </fill>
  </fills>
  <borders count="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thin">
        <color rgb="FF000000"/>
      </top>
      <bottom/>
      <diagonal/>
    </border>
  </borders>
  <cellStyleXfs count="1">
    <xf numFmtId="0" fontId="0" fillId="0" borderId="0"/>
  </cellStyleXfs>
  <cellXfs count="51">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3"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6" fillId="0" borderId="0" xfId="0" applyFont="1" applyAlignment="1">
      <alignment horizontal="left" vertical="center"/>
    </xf>
    <xf numFmtId="0" fontId="14" fillId="3" borderId="0" xfId="0" applyFont="1" applyFill="1" applyAlignment="1">
      <alignment horizontal="center" vertical="center" wrapText="1"/>
    </xf>
    <xf numFmtId="0" fontId="10" fillId="4" borderId="2" xfId="0" applyFont="1" applyFill="1" applyBorder="1" applyAlignment="1">
      <alignment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0" fillId="3" borderId="1" xfId="0" applyFont="1" applyFill="1" applyBorder="1" applyAlignment="1">
      <alignment vertical="center" wrapText="1"/>
    </xf>
    <xf numFmtId="0" fontId="10" fillId="3" borderId="2" xfId="0" applyFont="1" applyFill="1" applyBorder="1" applyAlignment="1">
      <alignment vertical="center" wrapText="1"/>
    </xf>
    <xf numFmtId="0" fontId="10" fillId="3" borderId="3" xfId="0" applyFont="1" applyFill="1" applyBorder="1" applyAlignment="1">
      <alignment vertical="center" wrapText="1"/>
    </xf>
    <xf numFmtId="0" fontId="15" fillId="0" borderId="0" xfId="0" applyFont="1" applyAlignment="1">
      <alignment wrapText="1"/>
    </xf>
    <xf numFmtId="0" fontId="10" fillId="0" borderId="0" xfId="0" applyFont="1" applyAlignment="1">
      <alignment wrapText="1"/>
    </xf>
    <xf numFmtId="0" fontId="10" fillId="0" borderId="0" xfId="0" applyFont="1" applyAlignment="1">
      <alignment vertical="center" wrapText="1"/>
    </xf>
    <xf numFmtId="0" fontId="5" fillId="0" borderId="0" xfId="0" applyFont="1" applyAlignment="1">
      <alignment horizontal="left" wrapText="1"/>
    </xf>
    <xf numFmtId="0" fontId="16" fillId="0" borderId="0" xfId="0" applyFont="1" applyAlignment="1">
      <alignment horizontal="left" vertical="center" wrapText="1"/>
    </xf>
    <xf numFmtId="0" fontId="16" fillId="0" borderId="0" xfId="0" applyFont="1" applyAlignment="1">
      <alignment horizontal="left" vertical="center"/>
    </xf>
    <xf numFmtId="0" fontId="5" fillId="0" borderId="0" xfId="0" applyFont="1"/>
    <xf numFmtId="0" fontId="17" fillId="0" borderId="0" xfId="0" applyFont="1"/>
    <xf numFmtId="0" fontId="1" fillId="0" borderId="0" xfId="0" applyFont="1"/>
    <xf numFmtId="0" fontId="11" fillId="0" borderId="0" xfId="0" applyFont="1" applyAlignment="1">
      <alignment wrapText="1"/>
    </xf>
    <xf numFmtId="0" fontId="5" fillId="5" borderId="4" xfId="0" applyFont="1" applyFill="1" applyBorder="1" applyAlignment="1">
      <alignment wrapText="1"/>
    </xf>
    <xf numFmtId="0" fontId="11" fillId="0" borderId="0" xfId="0" applyFont="1" applyAlignment="1">
      <alignment horizontal="left" wrapText="1"/>
    </xf>
    <xf numFmtId="14" fontId="3" fillId="0" borderId="0" xfId="0" applyNumberFormat="1" applyFont="1" applyAlignment="1">
      <alignment wrapText="1"/>
    </xf>
    <xf numFmtId="0" fontId="18" fillId="0" borderId="0" xfId="0" applyFont="1" applyAlignment="1">
      <alignment vertical="center" wrapText="1"/>
    </xf>
    <xf numFmtId="0" fontId="19" fillId="0" borderId="5" xfId="0" applyFont="1" applyBorder="1" applyAlignment="1">
      <alignment vertical="center" wrapText="1"/>
    </xf>
    <xf numFmtId="0" fontId="20" fillId="0" borderId="0" xfId="0" applyFont="1" applyAlignment="1">
      <alignment vertical="center"/>
    </xf>
    <xf numFmtId="0" fontId="21" fillId="0" borderId="0" xfId="0" applyFont="1" applyAlignment="1">
      <alignment vertical="center" wrapText="1"/>
    </xf>
    <xf numFmtId="0" fontId="19" fillId="0" borderId="0" xfId="0" applyFont="1" applyAlignment="1">
      <alignment vertical="center" wrapText="1"/>
    </xf>
    <xf numFmtId="0" fontId="12" fillId="2" borderId="1" xfId="0" applyFont="1" applyFill="1" applyBorder="1" applyAlignment="1">
      <alignment horizontal="center" wrapText="1"/>
    </xf>
    <xf numFmtId="0" fontId="12" fillId="2" borderId="2" xfId="0" applyFont="1" applyFill="1" applyBorder="1" applyAlignment="1">
      <alignment horizontal="center" wrapText="1"/>
    </xf>
    <xf numFmtId="0" fontId="12" fillId="2" borderId="3" xfId="0" applyFont="1" applyFill="1" applyBorder="1" applyAlignment="1">
      <alignment horizontal="center" wrapText="1"/>
    </xf>
    <xf numFmtId="0" fontId="4" fillId="3" borderId="1" xfId="0" applyFont="1" applyFill="1" applyBorder="1" applyAlignment="1">
      <alignment horizontal="center" wrapText="1"/>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4" borderId="1" xfId="0" applyFont="1" applyFill="1" applyBorder="1" applyAlignment="1">
      <alignment horizontal="center" wrapText="1"/>
    </xf>
    <xf numFmtId="0" fontId="4" fillId="4" borderId="2" xfId="0" applyFont="1" applyFill="1" applyBorder="1" applyAlignment="1">
      <alignment horizontal="center" wrapText="1"/>
    </xf>
    <xf numFmtId="0" fontId="4" fillId="4" borderId="3" xfId="0" applyFont="1" applyFill="1" applyBorder="1" applyAlignment="1">
      <alignment horizont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cellXfs>
  <cellStyles count="1">
    <cellStyle name="Normal" xfId="0" builtinId="0"/>
  </cellStyles>
  <dxfs count="54">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201706</xdr:colOff>
      <xdr:row>2</xdr:row>
      <xdr:rowOff>112059</xdr:rowOff>
    </xdr:from>
    <xdr:to>
      <xdr:col>2</xdr:col>
      <xdr:colOff>1288591</xdr:colOff>
      <xdr:row>2</xdr:row>
      <xdr:rowOff>561093</xdr:rowOff>
    </xdr:to>
    <xdr:pic>
      <xdr:nvPicPr>
        <xdr:cNvPr id="2" name="Image 1">
          <a:extLst>
            <a:ext uri="{FF2B5EF4-FFF2-40B4-BE49-F238E27FC236}">
              <a16:creationId xmlns:a16="http://schemas.microsoft.com/office/drawing/2014/main" id="{468FDDBE-FF59-4CE8-923A-218408949520}"/>
            </a:ext>
          </a:extLst>
        </xdr:cNvPr>
        <xdr:cNvPicPr/>
      </xdr:nvPicPr>
      <xdr:blipFill>
        <a:blip xmlns:r="http://schemas.openxmlformats.org/officeDocument/2006/relationships" r:embed="rId1"/>
        <a:stretch>
          <a:fillRect/>
        </a:stretch>
      </xdr:blipFill>
      <xdr:spPr>
        <a:xfrm>
          <a:off x="963706" y="560294"/>
          <a:ext cx="1495153" cy="44903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3:W37" totalsRowCount="1" headerRowDxfId="53" dataDxfId="52">
  <autoFilter ref="B13:W36" xr:uid="{DDEA2C8B-EE0D-4C55-9256-CCC64E002CE6}"/>
  <tableColumns count="22">
    <tableColumn id="1" xr3:uid="{E467E0EE-CDAA-4FF5-85A8-CDC0B23A5AD9}" name="ID" dataDxfId="50" totalsRowDxfId="51"/>
    <tableColumn id="2" xr3:uid="{E53952AC-4972-47BD-8B1D-C7EF23088D0D}" name="Intitulé Exigence" dataDxfId="48" totalsRowDxfId="49"/>
    <tableColumn id="8" xr3:uid="{B2D0BC2C-C803-4015-8FA6-70F84517BDB2}" name="Nature" dataDxfId="46" totalsRowDxfId="47"/>
    <tableColumn id="7" xr3:uid="{24F2F0ED-022E-4EC1-91D8-BFE0E4F2FD36}" name="Catégorie" dataDxfId="44" totalsRowDxfId="45"/>
    <tableColumn id="10" xr3:uid="{1FF81CF1-6D35-421C-8767-9E7FA06FEE6A}" name="Exigence idenfiée pendant la phase" dataDxfId="42" totalsRowDxfId="43"/>
    <tableColumn id="3" xr3:uid="{E7621A68-9552-4853-96A5-92A226EA42DD}" name="Description de l'exigence" dataDxfId="40" totalsRowDxfId="41"/>
    <tableColumn id="9" xr3:uid="{E6EEEC82-3576-4980-94B3-1423906CE531}" name="Source" dataDxfId="38" totalsRowDxfId="39"/>
    <tableColumn id="19" xr3:uid="{5D61DEA6-0799-4D4A-97CC-06579816D59C}" name="Type de l'exigence" dataDxfId="36" totalsRowDxfId="37"/>
    <tableColumn id="16" xr3:uid="{1441554A-79F9-4040-9CF5-AEBFF7ADF7D1}" name="Description de la solution ADDIXO" dataDxfId="34" totalsRowDxfId="35"/>
    <tableColumn id="17" xr3:uid="{D1BC9C86-C3CE-417F-AC83-FC4786A7656D}" name="Ecart entre exigence client et la solution proposée - préciser aussi les limites et hypothèses si applicable" dataDxfId="32" totalsRowDxfId="33"/>
    <tableColumn id="5" xr3:uid="{2649C3B7-E8B9-44F9-8883-E5BB6F91B4B1}" name="Validation Interne" dataDxfId="30" totalsRowDxfId="31"/>
    <tableColumn id="6" xr3:uid="{8CC493F8-0886-498D-AB98-B77300CC6510}" name="Validation Interne par:" dataDxfId="28" totalsRowDxfId="29"/>
    <tableColumn id="15" xr3:uid="{78231C60-0932-4386-925D-4C689A91C0E3}" name="Statut Client" dataDxfId="26" totalsRowDxfId="27"/>
    <tableColumn id="22" xr3:uid="{D944A0FD-E468-407F-91A6-BD8A29086A7B}" name="HJ Dev" totalsRowFunction="custom" dataDxfId="24" totalsRowDxfId="25">
      <totalsRowFormula>SUBTOTAL(109,O14:O36)</totalsRowFormula>
    </tableColumn>
    <tableColumn id="21" xr3:uid="{818C68C5-1CC3-4DC9-9BB8-2CB7816ABE9F}" name="HJ Analyse et Test" totalsRowFunction="custom" dataDxfId="22" totalsRowDxfId="23">
      <calculatedColumnFormula>Tableau3[[#This Row],[HJ Dev]]*(25%+25%)</calculatedColumnFormula>
      <totalsRowFormula>SUBTOTAL(109,P14:P36)</totalsRowFormula>
    </tableColumn>
    <tableColumn id="20" xr3:uid="{81CB5860-4285-4425-ABF9-C91F3323BF25}" name="Total HJ" totalsRowFunction="sum" dataDxfId="20" totalsRowDxfId="21">
      <calculatedColumnFormula>Tableau3[[#This Row],[HJ Analyse et Test]]+Tableau3[[#This Row],[HJ Dev]]</calculatedColumnFormula>
    </tableColumn>
    <tableColumn id="11" xr3:uid="{20685332-73A9-4B9D-874E-F1C9F770405F}" name="Description comment la conception de la solution prend en compte l'exigence client" dataDxfId="18" totalsRowDxfId="19"/>
    <tableColumn id="12" xr3:uid="{36B390F4-625A-46E1-864B-7108903FFD96}" name="Conception réalisée par:" dataDxfId="16" totalsRowDxfId="17"/>
    <tableColumn id="13" xr3:uid="{9016419E-83A5-4950-AB28-EA27A0D72FAD}" name="Revue conception réalisée par" dataDxfId="14" totalsRowDxfId="15"/>
    <tableColumn id="14" xr3:uid="{B5F29B7E-09EB-43EF-BD3D-9ADF38F7CC12}" name="Vérification de la conception réalisée par" dataDxfId="12" totalsRowDxfId="13"/>
    <tableColumn id="18" xr3:uid="{0CA25C90-64D6-43D5-90C8-CE6D70CCA638}" name="Preuve de vérification " dataDxfId="10" totalsRowDxfId="11"/>
    <tableColumn id="4" xr3:uid="{B7406A3A-A365-4F76-9A20-372573D19BC9}" name="Notes" dataDxfId="8" totalsRowDxfId="9"/>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7" dataDxfId="6">
  <autoFilter ref="B13:G18" xr:uid="{96AD1385-A1F5-4391-ABC2-C9F250557626}"/>
  <tableColumns count="6">
    <tableColumn id="1" xr3:uid="{56DA355E-F205-482A-9CF1-CA3361A1D801}" name="Version" dataDxfId="5"/>
    <tableColumn id="2" xr3:uid="{C9D8A0D7-1D6E-479B-AF74-6D39D19E4653}" name="Date" dataDxfId="4"/>
    <tableColumn id="3" xr3:uid="{79109713-8A38-4162-A269-136157905B75}" name="Modifications" dataDxfId="3"/>
    <tableColumn id="4" xr3:uid="{AC928B3E-399C-4A3D-9FB5-9CD96F5D4745}" name="Auteur(s)" dataDxfId="2"/>
    <tableColumn id="5" xr3:uid="{0D0A428D-4F18-4D4E-A0CB-4D1A5057B6E9}" name="Vérificateur(s)" dataDxfId="1"/>
    <tableColumn id="6" xr3:uid="{D81EAB57-FBCA-44D9-8F45-58AF13AA08B6}" name="Approbateur" dataDxfId="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2:W37"/>
  <sheetViews>
    <sheetView tabSelected="1" topLeftCell="E11" zoomScale="70" zoomScaleNormal="70" workbookViewId="0">
      <selection activeCell="J14" sqref="J14"/>
    </sheetView>
  </sheetViews>
  <sheetFormatPr defaultColWidth="11.42578125" defaultRowHeight="13.9"/>
  <cols>
    <col min="1" max="1" width="11.42578125" style="1"/>
    <col min="2" max="2" width="6.140625" style="1" customWidth="1"/>
    <col min="3" max="3" width="27.42578125" style="1" customWidth="1"/>
    <col min="4" max="5" width="18.28515625" style="1" customWidth="1"/>
    <col min="6" max="6" width="19.42578125" style="1" customWidth="1"/>
    <col min="7" max="7" width="56.5703125" style="1" customWidth="1"/>
    <col min="8" max="8" width="18.42578125" style="1" customWidth="1"/>
    <col min="9" max="9" width="32.28515625" style="1" customWidth="1"/>
    <col min="10" max="10" width="77.85546875" style="1" customWidth="1"/>
    <col min="11" max="11" width="33.140625" style="1" customWidth="1"/>
    <col min="12" max="13" width="13.5703125" style="1" customWidth="1"/>
    <col min="14" max="14" width="15.28515625" style="1" customWidth="1"/>
    <col min="15" max="15" width="11.85546875" style="1" customWidth="1"/>
    <col min="16" max="16" width="15.42578125" style="1" customWidth="1"/>
    <col min="17" max="17" width="13.7109375" style="1" customWidth="1"/>
    <col min="18" max="18" width="39.85546875" style="1" customWidth="1"/>
    <col min="19" max="19" width="15.7109375" style="1" customWidth="1"/>
    <col min="20" max="20" width="20.5703125" style="1" customWidth="1"/>
    <col min="21" max="21" width="20.140625" style="1" customWidth="1"/>
    <col min="22" max="22" width="15.140625" style="1" customWidth="1"/>
    <col min="23" max="23" width="30.85546875" style="1" customWidth="1"/>
    <col min="24" max="16384" width="11.42578125" style="1"/>
  </cols>
  <sheetData>
    <row r="2" spans="2:23" ht="21.75" customHeight="1">
      <c r="B2" s="42" t="s">
        <v>0</v>
      </c>
      <c r="C2" s="43"/>
      <c r="D2" s="43"/>
      <c r="E2" s="43"/>
      <c r="F2" s="43"/>
      <c r="G2" s="43"/>
      <c r="H2" s="43"/>
      <c r="I2" s="43"/>
      <c r="J2" s="43"/>
      <c r="K2" s="43"/>
      <c r="L2" s="43"/>
      <c r="M2" s="43"/>
      <c r="N2" s="44"/>
      <c r="O2" s="45" t="s">
        <v>1</v>
      </c>
      <c r="P2" s="46"/>
      <c r="Q2" s="47"/>
      <c r="R2" s="39" t="s">
        <v>2</v>
      </c>
      <c r="S2" s="40"/>
      <c r="T2" s="40"/>
      <c r="U2" s="40"/>
      <c r="V2" s="40"/>
      <c r="W2" s="41"/>
    </row>
    <row r="3" spans="2:23" ht="53.25" customHeight="1">
      <c r="C3" s="8"/>
      <c r="D3" s="8"/>
      <c r="E3" s="8"/>
      <c r="F3" s="8"/>
      <c r="G3" s="8"/>
      <c r="H3" s="8"/>
      <c r="I3" s="8"/>
      <c r="J3" s="8"/>
    </row>
    <row r="4" spans="2:23" ht="21" customHeight="1">
      <c r="B4" s="30" t="s">
        <v>3</v>
      </c>
      <c r="C4" s="8"/>
      <c r="D4" s="32"/>
      <c r="E4" s="8"/>
      <c r="F4" s="8"/>
      <c r="G4" s="8"/>
      <c r="H4" s="8"/>
      <c r="I4" s="8"/>
      <c r="J4" s="8"/>
    </row>
    <row r="5" spans="2:23" ht="21.75" customHeight="1">
      <c r="B5" s="27" t="s">
        <v>4</v>
      </c>
      <c r="D5" s="3" t="s">
        <v>5</v>
      </c>
      <c r="E5" s="3"/>
      <c r="F5" s="3"/>
      <c r="G5" s="3"/>
      <c r="H5" s="3"/>
      <c r="I5" s="3"/>
      <c r="J5" s="3"/>
    </row>
    <row r="6" spans="2:23" ht="21" customHeight="1">
      <c r="B6" s="27" t="s">
        <v>6</v>
      </c>
      <c r="D6" s="3" t="s">
        <v>7</v>
      </c>
      <c r="E6" s="3"/>
      <c r="F6" s="3"/>
      <c r="G6" s="3"/>
      <c r="H6" s="3"/>
      <c r="I6" s="3"/>
      <c r="J6" s="3"/>
    </row>
    <row r="7" spans="2:23" ht="20.45" customHeight="1">
      <c r="B7" s="27" t="s">
        <v>8</v>
      </c>
      <c r="D7" s="3" t="s">
        <v>9</v>
      </c>
      <c r="E7" s="3"/>
      <c r="F7" s="3"/>
      <c r="G7" s="31" t="s">
        <v>10</v>
      </c>
      <c r="H7" s="3"/>
      <c r="I7" s="3"/>
      <c r="J7" s="3"/>
    </row>
    <row r="8" spans="2:23" ht="21.6" customHeight="1">
      <c r="B8" s="27" t="s">
        <v>11</v>
      </c>
      <c r="D8" s="3" t="s">
        <v>12</v>
      </c>
      <c r="E8" s="3"/>
      <c r="F8" s="3"/>
      <c r="G8" s="3"/>
      <c r="H8" s="3"/>
      <c r="I8" s="3"/>
      <c r="J8" s="3"/>
    </row>
    <row r="9" spans="2:23" ht="14.45">
      <c r="C9" s="3"/>
      <c r="D9" s="24"/>
      <c r="E9" s="24"/>
      <c r="F9" s="24"/>
      <c r="G9" s="24"/>
      <c r="H9" s="24"/>
      <c r="I9" s="24"/>
      <c r="J9" s="24"/>
    </row>
    <row r="10" spans="2:23">
      <c r="B10" s="28" t="s">
        <v>13</v>
      </c>
      <c r="C10" s="29"/>
      <c r="D10" s="28" t="s">
        <v>14</v>
      </c>
      <c r="E10" s="9"/>
      <c r="F10" s="9"/>
      <c r="J10" s="21" t="s">
        <v>15</v>
      </c>
    </row>
    <row r="11" spans="2:23">
      <c r="B11" s="28" t="s">
        <v>16</v>
      </c>
      <c r="C11" s="29"/>
      <c r="D11" s="28" t="s">
        <v>17</v>
      </c>
      <c r="E11" s="9"/>
      <c r="F11" s="9"/>
    </row>
    <row r="13" spans="2:23" s="10" customFormat="1" ht="41.45">
      <c r="B13" s="18" t="s">
        <v>18</v>
      </c>
      <c r="C13" s="19" t="s">
        <v>19</v>
      </c>
      <c r="D13" s="19" t="s">
        <v>20</v>
      </c>
      <c r="E13" s="19" t="s">
        <v>21</v>
      </c>
      <c r="F13" s="19" t="s">
        <v>22</v>
      </c>
      <c r="G13" s="19" t="s">
        <v>23</v>
      </c>
      <c r="H13" s="19" t="s">
        <v>24</v>
      </c>
      <c r="I13" s="19" t="s">
        <v>25</v>
      </c>
      <c r="J13" s="19" t="s">
        <v>26</v>
      </c>
      <c r="K13" s="19" t="s">
        <v>27</v>
      </c>
      <c r="L13" s="19" t="s">
        <v>28</v>
      </c>
      <c r="M13" s="19" t="s">
        <v>29</v>
      </c>
      <c r="N13" s="20" t="s">
        <v>30</v>
      </c>
      <c r="O13" s="14" t="s">
        <v>31</v>
      </c>
      <c r="P13" s="14" t="s">
        <v>32</v>
      </c>
      <c r="Q13" s="14" t="s">
        <v>33</v>
      </c>
      <c r="R13" s="15" t="s">
        <v>34</v>
      </c>
      <c r="S13" s="16" t="s">
        <v>35</v>
      </c>
      <c r="T13" s="16" t="s">
        <v>36</v>
      </c>
      <c r="U13" s="16" t="s">
        <v>37</v>
      </c>
      <c r="V13" s="16" t="s">
        <v>38</v>
      </c>
      <c r="W13" s="17" t="s">
        <v>39</v>
      </c>
    </row>
    <row r="14" spans="2:23" s="10" customFormat="1" ht="152.44999999999999" customHeight="1">
      <c r="B14" s="10" t="s">
        <v>40</v>
      </c>
      <c r="C14" s="10" t="s">
        <v>41</v>
      </c>
      <c r="D14" s="10" t="s">
        <v>42</v>
      </c>
      <c r="E14" s="10" t="s">
        <v>43</v>
      </c>
      <c r="F14" s="10" t="s">
        <v>44</v>
      </c>
      <c r="G14" s="10" t="s">
        <v>45</v>
      </c>
      <c r="H14" s="10" t="s">
        <v>46</v>
      </c>
      <c r="I14" s="10" t="s">
        <v>47</v>
      </c>
      <c r="J14" s="10" t="s">
        <v>48</v>
      </c>
      <c r="K14" s="10" t="s">
        <v>49</v>
      </c>
      <c r="O14" s="10">
        <v>3</v>
      </c>
      <c r="P14" s="10">
        <f>Tableau3[[#This Row],[HJ Dev]]*(25%+25%)</f>
        <v>1.5</v>
      </c>
      <c r="Q14" s="10">
        <f>Tableau3[[#This Row],[HJ Analyse et Test]]+Tableau3[[#This Row],[HJ Dev]]</f>
        <v>4.5</v>
      </c>
      <c r="R14" s="10" t="s">
        <v>50</v>
      </c>
      <c r="S14" s="10" t="s">
        <v>50</v>
      </c>
      <c r="T14" s="10" t="s">
        <v>50</v>
      </c>
      <c r="U14" s="10" t="s">
        <v>50</v>
      </c>
      <c r="V14" s="10" t="s">
        <v>50</v>
      </c>
    </row>
    <row r="15" spans="2:23" s="10" customFormat="1" ht="147.75" customHeight="1">
      <c r="B15" s="10" t="s">
        <v>51</v>
      </c>
      <c r="C15" s="10" t="s">
        <v>52</v>
      </c>
      <c r="D15" s="10" t="s">
        <v>42</v>
      </c>
      <c r="E15" s="10" t="s">
        <v>43</v>
      </c>
      <c r="F15" s="10" t="s">
        <v>44</v>
      </c>
      <c r="G15" s="10" t="s">
        <v>53</v>
      </c>
      <c r="H15" s="10" t="s">
        <v>46</v>
      </c>
      <c r="I15" s="10" t="s">
        <v>47</v>
      </c>
      <c r="J15" s="10" t="s">
        <v>54</v>
      </c>
      <c r="K15" s="10" t="s">
        <v>49</v>
      </c>
      <c r="O15" s="10">
        <v>2</v>
      </c>
      <c r="P15" s="10">
        <f>Tableau3[[#This Row],[HJ Dev]]*(25%+25%)</f>
        <v>1</v>
      </c>
      <c r="Q15" s="10">
        <f>Tableau3[[#This Row],[HJ Analyse et Test]]+Tableau3[[#This Row],[HJ Dev]]</f>
        <v>3</v>
      </c>
    </row>
    <row r="16" spans="2:23" s="10" customFormat="1" ht="82.5" customHeight="1">
      <c r="B16" s="10" t="s">
        <v>55</v>
      </c>
      <c r="C16" s="10" t="s">
        <v>56</v>
      </c>
      <c r="D16" s="10" t="s">
        <v>42</v>
      </c>
      <c r="E16" s="10" t="s">
        <v>43</v>
      </c>
      <c r="F16" s="10" t="s">
        <v>44</v>
      </c>
      <c r="G16" s="10" t="s">
        <v>57</v>
      </c>
      <c r="H16" s="10" t="s">
        <v>46</v>
      </c>
      <c r="I16" s="10" t="s">
        <v>58</v>
      </c>
      <c r="J16" s="34" t="s">
        <v>59</v>
      </c>
      <c r="K16" s="10" t="s">
        <v>49</v>
      </c>
      <c r="O16" s="10">
        <v>4</v>
      </c>
      <c r="P16" s="10">
        <f>Tableau3[[#This Row],[HJ Dev]]*(25%+50%)</f>
        <v>3</v>
      </c>
      <c r="Q16" s="10">
        <f>Tableau3[[#This Row],[HJ Analyse et Test]]+Tableau3[[#This Row],[HJ Dev]]</f>
        <v>7</v>
      </c>
    </row>
    <row r="17" spans="2:23" s="10" customFormat="1" ht="219" customHeight="1">
      <c r="B17" s="10" t="s">
        <v>60</v>
      </c>
      <c r="C17" s="10" t="s">
        <v>61</v>
      </c>
      <c r="D17" s="10" t="s">
        <v>42</v>
      </c>
      <c r="E17" s="10" t="s">
        <v>43</v>
      </c>
      <c r="F17" s="10" t="s">
        <v>44</v>
      </c>
      <c r="G17" s="10" t="s">
        <v>62</v>
      </c>
      <c r="H17" s="10" t="s">
        <v>46</v>
      </c>
      <c r="I17" s="10" t="s">
        <v>47</v>
      </c>
      <c r="J17" s="34" t="s">
        <v>63</v>
      </c>
      <c r="K17" s="10" t="s">
        <v>49</v>
      </c>
      <c r="O17" s="10">
        <v>0</v>
      </c>
      <c r="P17" s="10">
        <f>Tableau3[[#This Row],[HJ Dev]]*(25%+25%)</f>
        <v>0</v>
      </c>
      <c r="Q17" s="10">
        <f>Tableau3[[#This Row],[HJ Analyse et Test]]+Tableau3[[#This Row],[HJ Dev]]</f>
        <v>0</v>
      </c>
    </row>
    <row r="18" spans="2:23" s="10" customFormat="1" ht="105.75" customHeight="1">
      <c r="B18" s="10" t="s">
        <v>64</v>
      </c>
      <c r="C18" s="10" t="s">
        <v>65</v>
      </c>
      <c r="D18" s="10" t="s">
        <v>42</v>
      </c>
      <c r="E18" s="10" t="s">
        <v>43</v>
      </c>
      <c r="F18" s="10" t="s">
        <v>44</v>
      </c>
      <c r="G18" s="10" t="s">
        <v>66</v>
      </c>
      <c r="H18" s="10" t="s">
        <v>46</v>
      </c>
      <c r="I18" s="10" t="s">
        <v>47</v>
      </c>
      <c r="J18" s="10" t="s">
        <v>67</v>
      </c>
      <c r="K18" s="10" t="s">
        <v>49</v>
      </c>
      <c r="O18" s="10">
        <v>0</v>
      </c>
      <c r="P18" s="10">
        <f>Tableau3[[#This Row],[HJ Dev]]*(25%+25%)</f>
        <v>0</v>
      </c>
      <c r="Q18" s="10">
        <f>Tableau3[[#This Row],[HJ Analyse et Test]]+Tableau3[[#This Row],[HJ Dev]]</f>
        <v>0</v>
      </c>
    </row>
    <row r="19" spans="2:23" s="10" customFormat="1" ht="134.44999999999999" customHeight="1">
      <c r="B19" s="10" t="s">
        <v>68</v>
      </c>
      <c r="C19" s="10" t="s">
        <v>69</v>
      </c>
      <c r="D19" s="10" t="s">
        <v>42</v>
      </c>
      <c r="E19" s="10" t="s">
        <v>43</v>
      </c>
      <c r="F19" s="10" t="s">
        <v>44</v>
      </c>
      <c r="G19" s="10" t="s">
        <v>70</v>
      </c>
      <c r="H19" s="10" t="s">
        <v>46</v>
      </c>
      <c r="I19" s="10" t="s">
        <v>47</v>
      </c>
      <c r="J19" s="10" t="s">
        <v>71</v>
      </c>
      <c r="K19" s="10" t="s">
        <v>49</v>
      </c>
      <c r="O19" s="10">
        <v>0</v>
      </c>
      <c r="P19" s="10">
        <f>Tableau3[[#This Row],[HJ Dev]]*(25%+25%)</f>
        <v>0</v>
      </c>
      <c r="Q19" s="10">
        <f>Tableau3[[#This Row],[HJ Analyse et Test]]+Tableau3[[#This Row],[HJ Dev]]</f>
        <v>0</v>
      </c>
    </row>
    <row r="20" spans="2:23" s="10" customFormat="1" ht="183.75" customHeight="1">
      <c r="B20" s="10" t="s">
        <v>72</v>
      </c>
      <c r="C20" s="10" t="s">
        <v>73</v>
      </c>
      <c r="D20" s="10" t="s">
        <v>42</v>
      </c>
      <c r="E20" s="10" t="s">
        <v>43</v>
      </c>
      <c r="F20" s="10" t="s">
        <v>44</v>
      </c>
      <c r="G20" s="10" t="s">
        <v>74</v>
      </c>
      <c r="H20" s="10" t="s">
        <v>46</v>
      </c>
      <c r="I20" s="10" t="s">
        <v>47</v>
      </c>
      <c r="J20" s="10" t="s">
        <v>75</v>
      </c>
      <c r="K20" s="10" t="s">
        <v>49</v>
      </c>
      <c r="O20" s="10">
        <v>0</v>
      </c>
      <c r="P20" s="10">
        <f>Tableau3[[#This Row],[HJ Dev]]*(25%+25%)</f>
        <v>0</v>
      </c>
      <c r="Q20" s="10">
        <f>Tableau3[[#This Row],[HJ Analyse et Test]]+Tableau3[[#This Row],[HJ Dev]]</f>
        <v>0</v>
      </c>
    </row>
    <row r="21" spans="2:23" ht="156" customHeight="1">
      <c r="B21" s="10" t="s">
        <v>76</v>
      </c>
      <c r="C21" s="10" t="s">
        <v>77</v>
      </c>
      <c r="D21" s="10" t="s">
        <v>42</v>
      </c>
      <c r="E21" s="10" t="s">
        <v>43</v>
      </c>
      <c r="F21" s="10" t="s">
        <v>44</v>
      </c>
      <c r="G21" s="10" t="s">
        <v>78</v>
      </c>
      <c r="H21" s="10" t="s">
        <v>46</v>
      </c>
      <c r="I21" s="10" t="s">
        <v>47</v>
      </c>
      <c r="J21" s="34" t="s">
        <v>79</v>
      </c>
      <c r="K21" s="10" t="s">
        <v>49</v>
      </c>
      <c r="L21" s="10"/>
      <c r="M21" s="10"/>
      <c r="N21" s="10"/>
      <c r="O21" s="10"/>
      <c r="P21" s="10">
        <f>Tableau3[[#This Row],[HJ Dev]]*(25%+25%)</f>
        <v>0</v>
      </c>
      <c r="Q21" s="10">
        <f>Tableau3[[#This Row],[HJ Analyse et Test]]+Tableau3[[#This Row],[HJ Dev]]</f>
        <v>0</v>
      </c>
      <c r="R21" s="10"/>
      <c r="S21" s="10"/>
      <c r="T21" s="10"/>
      <c r="U21" s="10"/>
      <c r="V21" s="10"/>
      <c r="W21" s="10"/>
    </row>
    <row r="22" spans="2:23" ht="147">
      <c r="B22" s="10" t="s">
        <v>80</v>
      </c>
      <c r="C22" s="10" t="s">
        <v>81</v>
      </c>
      <c r="D22" s="10" t="s">
        <v>42</v>
      </c>
      <c r="E22" s="10" t="s">
        <v>43</v>
      </c>
      <c r="F22" s="10" t="s">
        <v>44</v>
      </c>
      <c r="G22" s="10" t="s">
        <v>82</v>
      </c>
      <c r="H22" s="10" t="s">
        <v>46</v>
      </c>
      <c r="I22" s="10" t="s">
        <v>47</v>
      </c>
      <c r="J22" s="34" t="s">
        <v>83</v>
      </c>
      <c r="K22" s="10" t="s">
        <v>49</v>
      </c>
      <c r="L22" s="10"/>
      <c r="M22" s="10"/>
      <c r="N22" s="10"/>
      <c r="O22" s="10">
        <v>0</v>
      </c>
      <c r="P22" s="10">
        <f>Tableau3[[#This Row],[HJ Dev]]*(25%+25%)</f>
        <v>0</v>
      </c>
      <c r="Q22" s="10">
        <f>Tableau3[[#This Row],[HJ Analyse et Test]]+Tableau3[[#This Row],[HJ Dev]]</f>
        <v>0</v>
      </c>
      <c r="R22" s="10"/>
      <c r="S22" s="10"/>
      <c r="T22" s="10"/>
      <c r="U22" s="10"/>
      <c r="V22" s="10"/>
      <c r="W22" s="10"/>
    </row>
    <row r="23" spans="2:23" ht="168.6" customHeight="1">
      <c r="B23" s="10" t="s">
        <v>84</v>
      </c>
      <c r="C23" s="36" t="s">
        <v>85</v>
      </c>
      <c r="D23" s="10" t="s">
        <v>42</v>
      </c>
      <c r="E23" s="10" t="s">
        <v>43</v>
      </c>
      <c r="F23" s="10"/>
      <c r="G23" s="10" t="s">
        <v>86</v>
      </c>
      <c r="H23" s="10" t="s">
        <v>46</v>
      </c>
      <c r="I23" s="10" t="s">
        <v>58</v>
      </c>
      <c r="J23" s="34" t="s">
        <v>87</v>
      </c>
      <c r="K23" s="10" t="s">
        <v>49</v>
      </c>
      <c r="L23" s="10"/>
      <c r="M23" s="10"/>
      <c r="N23" s="10"/>
      <c r="O23" s="10">
        <v>9</v>
      </c>
      <c r="P23" s="10">
        <f>Tableau3[[#This Row],[HJ Dev]]*(25%+50%)</f>
        <v>6.75</v>
      </c>
      <c r="Q23" s="10">
        <f>Tableau3[[#This Row],[HJ Analyse et Test]]+Tableau3[[#This Row],[HJ Dev]]</f>
        <v>15.75</v>
      </c>
      <c r="R23" s="10"/>
      <c r="S23" s="10"/>
      <c r="T23" s="10"/>
      <c r="U23" s="10"/>
      <c r="V23" s="10"/>
      <c r="W23" s="10"/>
    </row>
    <row r="24" spans="2:23" ht="66" customHeight="1">
      <c r="B24" s="10" t="s">
        <v>88</v>
      </c>
      <c r="C24" s="10" t="s">
        <v>89</v>
      </c>
      <c r="D24" s="10" t="s">
        <v>42</v>
      </c>
      <c r="E24" s="10" t="s">
        <v>43</v>
      </c>
      <c r="F24" s="10" t="s">
        <v>44</v>
      </c>
      <c r="G24" s="10" t="s">
        <v>90</v>
      </c>
      <c r="H24" s="10" t="s">
        <v>46</v>
      </c>
      <c r="I24" s="10" t="s">
        <v>58</v>
      </c>
      <c r="J24" s="34" t="s">
        <v>91</v>
      </c>
      <c r="K24" s="10" t="s">
        <v>49</v>
      </c>
      <c r="L24" s="10"/>
      <c r="M24" s="10"/>
      <c r="N24" s="10"/>
      <c r="O24" s="10">
        <v>7</v>
      </c>
      <c r="P24" s="10">
        <f>Tableau3[[#This Row],[HJ Dev]]*(25%+50%)</f>
        <v>5.25</v>
      </c>
      <c r="Q24" s="10">
        <f>Tableau3[[#This Row],[HJ Analyse et Test]]+Tableau3[[#This Row],[HJ Dev]]</f>
        <v>12.25</v>
      </c>
      <c r="R24" s="10"/>
      <c r="S24" s="10"/>
      <c r="T24" s="10"/>
      <c r="U24" s="10"/>
      <c r="V24" s="10"/>
      <c r="W24" s="10"/>
    </row>
    <row r="25" spans="2:23" ht="81.75" customHeight="1">
      <c r="B25" s="10" t="s">
        <v>92</v>
      </c>
      <c r="C25" s="10" t="s">
        <v>93</v>
      </c>
      <c r="D25" s="10" t="s">
        <v>42</v>
      </c>
      <c r="E25" s="10" t="s">
        <v>43</v>
      </c>
      <c r="F25" s="10" t="s">
        <v>44</v>
      </c>
      <c r="G25" s="10" t="s">
        <v>94</v>
      </c>
      <c r="H25" s="10" t="s">
        <v>46</v>
      </c>
      <c r="I25" s="10" t="s">
        <v>58</v>
      </c>
      <c r="J25" s="34" t="s">
        <v>95</v>
      </c>
      <c r="K25" s="10" t="s">
        <v>49</v>
      </c>
      <c r="L25" s="10"/>
      <c r="M25" s="10"/>
      <c r="N25" s="10"/>
      <c r="O25" s="10">
        <v>4</v>
      </c>
      <c r="P25" s="10">
        <f>Tableau3[[#This Row],[HJ Dev]]*(25%+50%)</f>
        <v>3</v>
      </c>
      <c r="Q25" s="10">
        <f>Tableau3[[#This Row],[HJ Analyse et Test]]+Tableau3[[#This Row],[HJ Dev]]</f>
        <v>7</v>
      </c>
      <c r="R25" s="10"/>
      <c r="S25" s="10"/>
      <c r="T25" s="10"/>
      <c r="U25" s="10"/>
      <c r="V25" s="10"/>
      <c r="W25" s="10"/>
    </row>
    <row r="26" spans="2:23" ht="124.15">
      <c r="B26" s="10" t="s">
        <v>96</v>
      </c>
      <c r="C26" s="10" t="s">
        <v>97</v>
      </c>
      <c r="D26" s="10" t="s">
        <v>42</v>
      </c>
      <c r="E26" s="10" t="s">
        <v>43</v>
      </c>
      <c r="F26" s="10" t="s">
        <v>44</v>
      </c>
      <c r="G26" s="10" t="s">
        <v>98</v>
      </c>
      <c r="H26" s="10" t="s">
        <v>46</v>
      </c>
      <c r="I26" s="10" t="s">
        <v>47</v>
      </c>
      <c r="J26" s="37" t="s">
        <v>99</v>
      </c>
      <c r="K26" s="10" t="s">
        <v>49</v>
      </c>
      <c r="L26" s="10"/>
      <c r="M26" s="10"/>
      <c r="N26" s="10"/>
      <c r="O26" s="10"/>
      <c r="P26" s="10">
        <f>Tableau3[[#This Row],[HJ Dev]]*(25%+25%)</f>
        <v>0</v>
      </c>
      <c r="Q26" s="10">
        <f>Tableau3[[#This Row],[HJ Analyse et Test]]+Tableau3[[#This Row],[HJ Dev]]</f>
        <v>0</v>
      </c>
      <c r="R26" s="10"/>
      <c r="S26" s="10"/>
      <c r="T26" s="10"/>
      <c r="U26" s="10"/>
      <c r="V26" s="10"/>
      <c r="W26" s="10"/>
    </row>
    <row r="27" spans="2:23" ht="172.5" customHeight="1">
      <c r="B27" s="10" t="s">
        <v>100</v>
      </c>
      <c r="C27" s="10" t="s">
        <v>101</v>
      </c>
      <c r="D27" s="10" t="s">
        <v>42</v>
      </c>
      <c r="E27" s="10" t="s">
        <v>43</v>
      </c>
      <c r="F27" s="10" t="s">
        <v>44</v>
      </c>
      <c r="G27" s="10" t="s">
        <v>102</v>
      </c>
      <c r="H27" s="10" t="s">
        <v>46</v>
      </c>
      <c r="I27" s="10" t="s">
        <v>58</v>
      </c>
      <c r="J27" s="10" t="s">
        <v>103</v>
      </c>
      <c r="K27" s="10" t="s">
        <v>49</v>
      </c>
      <c r="L27" s="10"/>
      <c r="M27" s="10"/>
      <c r="N27" s="10"/>
      <c r="O27" s="10">
        <v>4</v>
      </c>
      <c r="P27" s="10">
        <f>Tableau3[[#This Row],[HJ Dev]]*(25%+50%)</f>
        <v>3</v>
      </c>
      <c r="Q27" s="10">
        <f>Tableau3[[#This Row],[HJ Analyse et Test]]+Tableau3[[#This Row],[HJ Dev]]</f>
        <v>7</v>
      </c>
      <c r="R27" s="10"/>
      <c r="S27" s="10"/>
      <c r="T27" s="10"/>
      <c r="U27" s="10"/>
      <c r="V27" s="10"/>
      <c r="W27" s="10"/>
    </row>
    <row r="28" spans="2:23" ht="110.1" customHeight="1">
      <c r="B28" s="10" t="s">
        <v>104</v>
      </c>
      <c r="C28" s="10" t="s">
        <v>105</v>
      </c>
      <c r="D28" s="10" t="s">
        <v>42</v>
      </c>
      <c r="E28" s="10" t="s">
        <v>43</v>
      </c>
      <c r="F28" s="10" t="s">
        <v>44</v>
      </c>
      <c r="G28" s="35" t="s">
        <v>106</v>
      </c>
      <c r="H28" s="10" t="s">
        <v>46</v>
      </c>
      <c r="I28" s="10" t="s">
        <v>47</v>
      </c>
      <c r="J28" s="37" t="s">
        <v>107</v>
      </c>
      <c r="K28" s="10" t="s">
        <v>49</v>
      </c>
      <c r="L28" s="10"/>
      <c r="M28" s="10"/>
      <c r="N28" s="10"/>
      <c r="O28" s="10"/>
      <c r="P28" s="10">
        <f>Tableau3[[#This Row],[HJ Dev]]*(25%+25%)</f>
        <v>0</v>
      </c>
      <c r="Q28" s="10">
        <f>Tableau3[[#This Row],[HJ Analyse et Test]]+Tableau3[[#This Row],[HJ Dev]]</f>
        <v>0</v>
      </c>
      <c r="R28" s="10"/>
      <c r="S28" s="10"/>
      <c r="T28" s="10"/>
      <c r="U28" s="10"/>
      <c r="V28" s="10"/>
      <c r="W28" s="10"/>
    </row>
    <row r="29" spans="2:23" ht="213.6" customHeight="1">
      <c r="B29" s="10" t="s">
        <v>108</v>
      </c>
      <c r="C29" s="10" t="s">
        <v>109</v>
      </c>
      <c r="D29" s="10" t="s">
        <v>42</v>
      </c>
      <c r="E29" s="10" t="s">
        <v>43</v>
      </c>
      <c r="F29" s="10" t="s">
        <v>44</v>
      </c>
      <c r="G29" s="10" t="s">
        <v>110</v>
      </c>
      <c r="H29" s="10" t="s">
        <v>46</v>
      </c>
      <c r="I29" s="10" t="s">
        <v>47</v>
      </c>
      <c r="J29" s="34" t="s">
        <v>111</v>
      </c>
      <c r="K29" s="10" t="s">
        <v>49</v>
      </c>
      <c r="L29" s="10"/>
      <c r="M29" s="10"/>
      <c r="N29" s="10"/>
      <c r="O29" s="10"/>
      <c r="P29" s="10">
        <f>Tableau3[[#This Row],[HJ Dev]]*(25%+25%)</f>
        <v>0</v>
      </c>
      <c r="Q29" s="10">
        <f>Tableau3[[#This Row],[HJ Analyse et Test]]+Tableau3[[#This Row],[HJ Dev]]</f>
        <v>0</v>
      </c>
      <c r="R29" s="10"/>
      <c r="S29" s="10"/>
      <c r="T29" s="10"/>
      <c r="U29" s="10"/>
      <c r="V29" s="10"/>
      <c r="W29" s="10"/>
    </row>
    <row r="30" spans="2:23" ht="213.6" customHeight="1">
      <c r="B30" s="10" t="s">
        <v>112</v>
      </c>
      <c r="C30" s="10" t="s">
        <v>113</v>
      </c>
      <c r="D30" s="10" t="s">
        <v>42</v>
      </c>
      <c r="E30" s="10" t="s">
        <v>43</v>
      </c>
      <c r="F30" s="10" t="s">
        <v>44</v>
      </c>
      <c r="G30" s="10" t="s">
        <v>114</v>
      </c>
      <c r="H30" s="10" t="s">
        <v>46</v>
      </c>
      <c r="I30" s="10" t="s">
        <v>47</v>
      </c>
      <c r="J30" s="10" t="s">
        <v>115</v>
      </c>
      <c r="K30" s="10"/>
      <c r="L30" s="10"/>
      <c r="M30" s="10"/>
      <c r="N30" s="10"/>
      <c r="O30" s="10"/>
      <c r="P30" s="10">
        <f>Tableau3[[#This Row],[HJ Dev]]*(25%+25%)</f>
        <v>0</v>
      </c>
      <c r="Q30" s="10">
        <f>Tableau3[[#This Row],[HJ Analyse et Test]]+Tableau3[[#This Row],[HJ Dev]]</f>
        <v>0</v>
      </c>
      <c r="R30" s="10"/>
      <c r="S30" s="10"/>
      <c r="T30" s="10"/>
      <c r="U30" s="10"/>
      <c r="V30" s="10"/>
      <c r="W30" s="10"/>
    </row>
    <row r="31" spans="2:23" ht="348" customHeight="1">
      <c r="B31" s="10" t="s">
        <v>116</v>
      </c>
      <c r="C31" s="10" t="s">
        <v>117</v>
      </c>
      <c r="D31" s="10" t="s">
        <v>42</v>
      </c>
      <c r="E31" s="10" t="s">
        <v>43</v>
      </c>
      <c r="F31" s="10" t="s">
        <v>44</v>
      </c>
      <c r="G31" s="35" t="s">
        <v>118</v>
      </c>
      <c r="H31" s="10" t="s">
        <v>46</v>
      </c>
      <c r="I31" s="10" t="s">
        <v>58</v>
      </c>
      <c r="J31" s="10" t="s">
        <v>119</v>
      </c>
      <c r="K31" s="10" t="s">
        <v>49</v>
      </c>
      <c r="L31" s="10"/>
      <c r="M31" s="10"/>
      <c r="N31" s="10"/>
      <c r="O31" s="10"/>
      <c r="P31" s="10">
        <f>Tableau3[[#This Row],[HJ Dev]]*(25%+50%)</f>
        <v>0</v>
      </c>
      <c r="Q31" s="10">
        <f>Tableau3[[#This Row],[HJ Analyse et Test]]+Tableau3[[#This Row],[HJ Dev]]</f>
        <v>0</v>
      </c>
      <c r="R31" s="10"/>
      <c r="S31" s="10"/>
      <c r="T31" s="10"/>
      <c r="U31" s="10"/>
      <c r="V31" s="10"/>
      <c r="W31" s="10"/>
    </row>
    <row r="32" spans="2:23" ht="131.1" customHeight="1">
      <c r="B32" s="10" t="s">
        <v>120</v>
      </c>
      <c r="C32" s="10" t="s">
        <v>121</v>
      </c>
      <c r="D32" s="10" t="s">
        <v>42</v>
      </c>
      <c r="E32" s="10" t="s">
        <v>43</v>
      </c>
      <c r="F32" s="10" t="s">
        <v>44</v>
      </c>
      <c r="G32" s="10" t="s">
        <v>122</v>
      </c>
      <c r="H32" s="10" t="s">
        <v>46</v>
      </c>
      <c r="I32" s="10" t="s">
        <v>58</v>
      </c>
      <c r="J32" s="37" t="s">
        <v>123</v>
      </c>
      <c r="K32" s="10" t="s">
        <v>49</v>
      </c>
      <c r="L32" s="10"/>
      <c r="M32" s="10"/>
      <c r="N32" s="10"/>
      <c r="O32" s="10">
        <v>8</v>
      </c>
      <c r="P32" s="10">
        <f>Tableau3[[#This Row],[HJ Dev]]*(25%+50%)</f>
        <v>6</v>
      </c>
      <c r="Q32" s="10">
        <f>Tableau3[[#This Row],[HJ Analyse et Test]]+Tableau3[[#This Row],[HJ Dev]]</f>
        <v>14</v>
      </c>
      <c r="R32" s="10"/>
      <c r="S32" s="10"/>
      <c r="T32" s="10"/>
      <c r="U32" s="10"/>
      <c r="V32" s="10"/>
      <c r="W32" s="10"/>
    </row>
    <row r="33" spans="2:23" ht="131.1" customHeight="1">
      <c r="B33" s="10" t="s">
        <v>124</v>
      </c>
      <c r="C33" s="10" t="s">
        <v>125</v>
      </c>
      <c r="D33" s="10" t="s">
        <v>42</v>
      </c>
      <c r="E33" s="10" t="s">
        <v>43</v>
      </c>
      <c r="F33" s="10" t="s">
        <v>44</v>
      </c>
      <c r="G33" s="10" t="s">
        <v>126</v>
      </c>
      <c r="H33" s="10" t="s">
        <v>46</v>
      </c>
      <c r="I33" s="10" t="s">
        <v>58</v>
      </c>
      <c r="J33" s="10" t="s">
        <v>127</v>
      </c>
      <c r="K33" s="10" t="s">
        <v>49</v>
      </c>
      <c r="L33" s="10"/>
      <c r="M33" s="10"/>
      <c r="N33" s="10"/>
      <c r="O33" s="10">
        <v>4</v>
      </c>
      <c r="P33" s="10">
        <f>Tableau3[[#This Row],[HJ Dev]]*(25%+50%)</f>
        <v>3</v>
      </c>
      <c r="Q33" s="10">
        <f>Tableau3[[#This Row],[HJ Analyse et Test]]+Tableau3[[#This Row],[HJ Dev]]</f>
        <v>7</v>
      </c>
      <c r="R33" s="10"/>
      <c r="S33" s="10"/>
      <c r="T33" s="10"/>
      <c r="U33" s="10"/>
      <c r="V33" s="10"/>
      <c r="W33" s="10"/>
    </row>
    <row r="34" spans="2:23" ht="183.6" customHeight="1">
      <c r="B34" s="10" t="s">
        <v>128</v>
      </c>
      <c r="C34" s="10" t="s">
        <v>129</v>
      </c>
      <c r="D34" s="10" t="s">
        <v>42</v>
      </c>
      <c r="E34" s="10" t="s">
        <v>43</v>
      </c>
      <c r="F34" s="10" t="s">
        <v>44</v>
      </c>
      <c r="G34" s="10" t="s">
        <v>130</v>
      </c>
      <c r="H34" s="10" t="s">
        <v>46</v>
      </c>
      <c r="I34" s="10" t="s">
        <v>47</v>
      </c>
      <c r="J34" s="10" t="s">
        <v>131</v>
      </c>
      <c r="K34" s="10" t="s">
        <v>49</v>
      </c>
      <c r="L34" s="10"/>
      <c r="M34" s="10"/>
      <c r="N34" s="10"/>
      <c r="O34" s="10"/>
      <c r="P34" s="10">
        <f>Tableau3[[#This Row],[HJ Dev]]*(25%+25%)</f>
        <v>0</v>
      </c>
      <c r="Q34" s="10">
        <f>Tableau3[[#This Row],[HJ Analyse et Test]]+Tableau3[[#This Row],[HJ Dev]]</f>
        <v>0</v>
      </c>
      <c r="R34" s="10"/>
      <c r="S34" s="10"/>
      <c r="T34" s="10"/>
      <c r="U34" s="10"/>
      <c r="V34" s="10"/>
      <c r="W34" s="10"/>
    </row>
    <row r="35" spans="2:23" ht="144" customHeight="1">
      <c r="B35" s="10" t="s">
        <v>132</v>
      </c>
      <c r="C35" s="38" t="s">
        <v>133</v>
      </c>
      <c r="D35" s="38" t="s">
        <v>42</v>
      </c>
      <c r="E35" s="38" t="s">
        <v>43</v>
      </c>
      <c r="F35" s="38" t="s">
        <v>44</v>
      </c>
      <c r="G35" s="38" t="s">
        <v>134</v>
      </c>
      <c r="H35" s="38" t="s">
        <v>46</v>
      </c>
      <c r="I35" s="10" t="s">
        <v>47</v>
      </c>
      <c r="J35" s="10" t="s">
        <v>135</v>
      </c>
      <c r="K35" s="10" t="s">
        <v>49</v>
      </c>
      <c r="L35" s="10"/>
      <c r="M35" s="10"/>
      <c r="N35" s="10"/>
      <c r="O35" s="10"/>
      <c r="P35" s="10">
        <f>Tableau3[[#This Row],[HJ Dev]]*(25%+25%)</f>
        <v>0</v>
      </c>
      <c r="Q35" s="10">
        <f>Tableau3[[#This Row],[HJ Analyse et Test]]+Tableau3[[#This Row],[HJ Dev]]</f>
        <v>0</v>
      </c>
      <c r="R35" s="10"/>
      <c r="S35" s="10"/>
      <c r="T35" s="10"/>
      <c r="U35" s="10"/>
      <c r="V35" s="10"/>
      <c r="W35" s="10"/>
    </row>
    <row r="36" spans="2:23" ht="82.9">
      <c r="B36" s="10" t="s">
        <v>136</v>
      </c>
      <c r="C36" s="10" t="s">
        <v>137</v>
      </c>
      <c r="D36" s="10" t="s">
        <v>42</v>
      </c>
      <c r="E36" s="10" t="s">
        <v>43</v>
      </c>
      <c r="F36" s="10" t="s">
        <v>44</v>
      </c>
      <c r="G36" s="35" t="s">
        <v>138</v>
      </c>
      <c r="H36" s="10" t="s">
        <v>46</v>
      </c>
      <c r="I36" s="10" t="s">
        <v>47</v>
      </c>
      <c r="J36" s="10" t="s">
        <v>139</v>
      </c>
      <c r="K36" s="10" t="s">
        <v>49</v>
      </c>
      <c r="L36" s="10"/>
      <c r="M36" s="10"/>
      <c r="N36" s="10"/>
      <c r="O36" s="10"/>
      <c r="P36" s="10">
        <f>Tableau3[[#This Row],[HJ Dev]]*(25%+25%)</f>
        <v>0</v>
      </c>
      <c r="Q36" s="10">
        <f>Tableau3[[#This Row],[HJ Analyse et Test]]+Tableau3[[#This Row],[HJ Dev]]</f>
        <v>0</v>
      </c>
      <c r="R36" s="10"/>
      <c r="S36" s="10"/>
      <c r="T36" s="10"/>
      <c r="U36" s="10"/>
      <c r="V36" s="10"/>
      <c r="W36" s="10"/>
    </row>
    <row r="37" spans="2:23">
      <c r="B37" s="10"/>
      <c r="C37" s="10"/>
      <c r="D37" s="10"/>
      <c r="E37" s="10"/>
      <c r="F37" s="10"/>
      <c r="G37" s="10"/>
      <c r="H37" s="10"/>
      <c r="I37" s="10"/>
      <c r="J37" s="10"/>
      <c r="K37" s="10"/>
      <c r="L37" s="10"/>
      <c r="M37" s="10"/>
      <c r="N37" s="10"/>
      <c r="O37" s="10">
        <f>SUBTOTAL(109,O14:O36)</f>
        <v>45</v>
      </c>
      <c r="P37" s="10">
        <f>SUBTOTAL(109,P14:P36)</f>
        <v>32.5</v>
      </c>
      <c r="Q37" s="10">
        <f>SUBTOTAL(109,Tableau3[Total HJ])</f>
        <v>77.5</v>
      </c>
      <c r="R37" s="10"/>
      <c r="S37" s="10"/>
      <c r="T37" s="10"/>
      <c r="U37" s="10"/>
      <c r="V37" s="10"/>
      <c r="W37" s="10"/>
    </row>
  </sheetData>
  <mergeCells count="3">
    <mergeCell ref="R2:W2"/>
    <mergeCell ref="B2:N2"/>
    <mergeCell ref="O2:Q2"/>
  </mergeCells>
  <phoneticPr fontId="2" type="noConversion"/>
  <dataValidations count="1">
    <dataValidation operator="greaterThanOrEqual" allowBlank="1" showInputMessage="1" showErrorMessage="1" sqref="O14:Q36" xr:uid="{10E2E794-3894-4CC1-AB1A-9BB5BF41EABB}"/>
  </dataValidations>
  <pageMargins left="0.7" right="0.7" top="0.75" bottom="0.75" header="0.3" footer="0.3"/>
  <pageSetup paperSize="9" scale="74"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count="8">
        <x14:dataValidation type="list" allowBlank="1" showInputMessage="1" showErrorMessage="1" xr:uid="{9E253E9F-6967-4CE3-BEC2-E6EF086F8550}">
          <x14:formula1>
            <xm:f>Params!$B$3:$B$10</xm:f>
          </x14:formula1>
          <xm:sqref>D4</xm:sqref>
        </x14:dataValidation>
        <x14:dataValidation type="list" allowBlank="1" showInputMessage="1" showErrorMessage="1" xr:uid="{63E576AD-8CDE-4B1B-8DEC-1BE67CC8DE6D}">
          <x14:formula1>
            <xm:f>Params!$D$3:$D$10</xm:f>
          </x14:formula1>
          <xm:sqref>F14:F17 F36 F19:F34</xm:sqref>
        </x14:dataValidation>
        <x14:dataValidation type="list" allowBlank="1" showInputMessage="1" showErrorMessage="1" xr:uid="{C43D2377-E8A5-4EC4-8F56-2516FCD07F2A}">
          <x14:formula1>
            <xm:f>Params!$E$3:$E$12</xm:f>
          </x14:formula1>
          <xm:sqref>H36 H14:H17 H19:H34</xm:sqref>
        </x14:dataValidation>
        <x14:dataValidation type="list" allowBlank="1" showInputMessage="1" showErrorMessage="1" xr:uid="{63FB3CBD-0303-4DD5-A1D9-0AE10EE7B36C}">
          <x14:formula1>
            <xm:f>Params!$C$3:$C$10</xm:f>
          </x14:formula1>
          <xm:sqref>D14:D17 D36 D19:D34</xm:sqref>
        </x14:dataValidation>
        <x14:dataValidation type="list" allowBlank="1" showInputMessage="1" showErrorMessage="1" xr:uid="{ACD971DD-EBC0-49A2-8B0F-955749BFC348}">
          <x14:formula1>
            <xm:f>Params!$I$3:$I$19</xm:f>
          </x14:formula1>
          <xm:sqref>E14:E17 E36 E19:E34</xm:sqref>
        </x14:dataValidation>
        <x14:dataValidation type="list" allowBlank="1" showInputMessage="1" showErrorMessage="1" xr:uid="{06B2A4DB-2A94-4B0B-971B-CDFF438E23BA}">
          <x14:formula1>
            <xm:f>Params!$G$3:$G$9</xm:f>
          </x14:formula1>
          <xm:sqref>N14:N36</xm:sqref>
        </x14:dataValidation>
        <x14:dataValidation type="list" allowBlank="1" showInputMessage="1" showErrorMessage="1" xr:uid="{1F2CF1C1-BE35-4DC9-A975-F49F788F3D6A}">
          <x14:formula1>
            <xm:f>Params!$H$3:$H$6</xm:f>
          </x14:formula1>
          <xm:sqref>L14:L36</xm:sqref>
        </x14:dataValidation>
        <x14:dataValidation type="list" allowBlank="1" showInputMessage="1" showErrorMessage="1" xr:uid="{DE8D2C2E-1A8E-4929-88D1-DB60E8B5E9E4}">
          <x14:formula1>
            <xm:f>Params!$J$3:$J$4</xm:f>
          </x14:formula1>
          <xm:sqref>I14:I36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6"/>
  <sheetViews>
    <sheetView zoomScale="80" zoomScaleNormal="80" workbookViewId="0">
      <selection activeCell="J14" sqref="J14"/>
    </sheetView>
  </sheetViews>
  <sheetFormatPr defaultColWidth="11.42578125" defaultRowHeight="14.45"/>
  <cols>
    <col min="1" max="1" width="12" style="2" customWidth="1"/>
    <col min="2" max="2" width="10.140625" style="2" customWidth="1"/>
    <col min="3" max="3" width="11.42578125" style="2"/>
    <col min="4" max="4" width="58.28515625" style="2" customWidth="1"/>
    <col min="5" max="5" width="15.85546875" style="2" customWidth="1"/>
    <col min="6" max="6" width="22.28515625" style="2" customWidth="1"/>
    <col min="7" max="7" width="16.5703125" style="2" customWidth="1"/>
    <col min="8" max="16384" width="11.42578125" style="2"/>
  </cols>
  <sheetData>
    <row r="2" spans="1:7" ht="15" thickBot="1"/>
    <row r="3" spans="1:7" ht="24" customHeight="1" thickBot="1">
      <c r="A3" s="2" t="s">
        <v>140</v>
      </c>
      <c r="B3" s="48" t="s">
        <v>0</v>
      </c>
      <c r="C3" s="49"/>
      <c r="D3" s="49"/>
      <c r="E3" s="49"/>
      <c r="F3" s="49"/>
      <c r="G3" s="50"/>
    </row>
    <row r="4" spans="1:7">
      <c r="B4" s="4"/>
      <c r="C4" s="5"/>
      <c r="D4" s="5"/>
      <c r="E4" s="5"/>
      <c r="F4" s="5"/>
      <c r="G4" s="5"/>
    </row>
    <row r="5" spans="1:7">
      <c r="B5" s="12" t="str">
        <f>'Gestion Exigences'!B5</f>
        <v>Client</v>
      </c>
      <c r="D5" s="12" t="str">
        <f>'Gestion Exigences'!D5</f>
        <v>Cevital</v>
      </c>
      <c r="E5" s="5"/>
      <c r="F5" s="5"/>
      <c r="G5" s="5"/>
    </row>
    <row r="6" spans="1:7">
      <c r="B6" s="12" t="str">
        <f>'Gestion Exigences'!B6</f>
        <v>Projet</v>
      </c>
      <c r="D6" s="12" t="str">
        <f>'Gestion Exigences'!D6</f>
        <v>Digitalisation usine Cevital</v>
      </c>
      <c r="E6" s="5"/>
      <c r="F6" s="5"/>
      <c r="G6" s="5"/>
    </row>
    <row r="7" spans="1:7">
      <c r="B7" s="12" t="str">
        <f>'Gestion Exigences'!B7</f>
        <v>Réf BPA du Devis</v>
      </c>
      <c r="D7" s="12" t="str">
        <f>'Gestion Exigences'!D7</f>
        <v>S0-00xyz</v>
      </c>
      <c r="E7" s="5"/>
      <c r="F7" s="5"/>
      <c r="G7" s="5"/>
    </row>
    <row r="8" spans="1:7">
      <c r="B8" s="12" t="str">
        <f>'Gestion Exigences'!B8</f>
        <v>Réf BPA du Projet</v>
      </c>
      <c r="D8" s="12" t="str">
        <f>'Gestion Exigences'!D8</f>
        <v>PR-22-0xyz</v>
      </c>
      <c r="E8" s="5"/>
      <c r="F8" s="5"/>
      <c r="G8" s="5"/>
    </row>
    <row r="9" spans="1:7">
      <c r="B9" s="4"/>
      <c r="C9" s="12"/>
      <c r="D9" s="5"/>
      <c r="E9" s="5"/>
      <c r="F9" s="5"/>
      <c r="G9" s="5"/>
    </row>
    <row r="10" spans="1:7">
      <c r="B10" s="25" t="str">
        <f>'Gestion Exigences'!B10</f>
        <v>Réf Modèle Document</v>
      </c>
      <c r="C10" s="26" t="str">
        <f>'Gestion Exigences'!D10</f>
        <v>MD203</v>
      </c>
      <c r="D10" s="5"/>
      <c r="E10" s="5"/>
      <c r="F10" s="5"/>
      <c r="G10" s="5"/>
    </row>
    <row r="11" spans="1:7">
      <c r="B11" s="25" t="str">
        <f>'Gestion Exigences'!B11</f>
        <v>Version Modèle Document</v>
      </c>
      <c r="C11" s="26" t="str">
        <f>'Gestion Exigences'!D11</f>
        <v>V1.5</v>
      </c>
      <c r="D11" s="5"/>
      <c r="E11" s="5"/>
      <c r="F11" s="5"/>
      <c r="G11" s="5"/>
    </row>
    <row r="12" spans="1:7">
      <c r="B12" s="4"/>
      <c r="C12" s="5"/>
      <c r="D12" s="5"/>
      <c r="E12" s="5"/>
      <c r="F12" s="5"/>
      <c r="G12" s="5"/>
    </row>
    <row r="13" spans="1:7">
      <c r="B13" s="13" t="s">
        <v>141</v>
      </c>
      <c r="C13" s="13" t="s">
        <v>142</v>
      </c>
      <c r="D13" s="13" t="s">
        <v>143</v>
      </c>
      <c r="E13" s="13" t="s">
        <v>144</v>
      </c>
      <c r="F13" s="13" t="s">
        <v>145</v>
      </c>
      <c r="G13" s="13" t="s">
        <v>146</v>
      </c>
    </row>
    <row r="14" spans="1:7" ht="29.45" customHeight="1">
      <c r="B14" s="6" t="s">
        <v>147</v>
      </c>
      <c r="C14" s="7">
        <v>45461</v>
      </c>
      <c r="D14" s="23" t="s">
        <v>148</v>
      </c>
      <c r="E14" s="6" t="s">
        <v>149</v>
      </c>
      <c r="F14" s="22" t="s">
        <v>150</v>
      </c>
      <c r="G14" s="6" t="s">
        <v>151</v>
      </c>
    </row>
    <row r="15" spans="1:7">
      <c r="C15" s="33"/>
    </row>
    <row r="16" spans="1:7">
      <c r="C16" s="33"/>
    </row>
  </sheetData>
  <mergeCells count="1">
    <mergeCell ref="B3:G3"/>
  </mergeCells>
  <pageMargins left="0.7" right="0.7" top="0.75" bottom="0.75" header="0.3" footer="0.3"/>
  <pageSetup paperSize="9" scale="95"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J22"/>
  <sheetViews>
    <sheetView topLeftCell="D1" workbookViewId="0">
      <selection activeCell="E19" sqref="E19:E20"/>
    </sheetView>
  </sheetViews>
  <sheetFormatPr defaultColWidth="11.42578125" defaultRowHeight="13.9"/>
  <cols>
    <col min="1" max="2" width="11.42578125" style="10"/>
    <col min="3" max="4" width="19.7109375" style="10" customWidth="1"/>
    <col min="5" max="5" width="23.85546875" style="10" customWidth="1"/>
    <col min="6" max="6" width="14.42578125" style="10" customWidth="1"/>
    <col min="7" max="7" width="23.85546875" style="10" customWidth="1"/>
    <col min="8" max="8" width="25.140625" style="10" customWidth="1"/>
    <col min="9" max="9" width="20.42578125" style="10" customWidth="1"/>
    <col min="10" max="16384" width="11.42578125" style="10"/>
  </cols>
  <sheetData>
    <row r="2" spans="2:10" ht="27.6">
      <c r="B2" s="11" t="s">
        <v>3</v>
      </c>
      <c r="C2" s="11" t="s">
        <v>20</v>
      </c>
      <c r="D2" s="11" t="s">
        <v>152</v>
      </c>
      <c r="E2" s="11" t="s">
        <v>24</v>
      </c>
      <c r="F2" s="11" t="s">
        <v>153</v>
      </c>
      <c r="G2" s="11" t="s">
        <v>30</v>
      </c>
      <c r="H2" s="11" t="s">
        <v>154</v>
      </c>
      <c r="I2" s="11" t="s">
        <v>21</v>
      </c>
      <c r="J2" s="11" t="s">
        <v>25</v>
      </c>
    </row>
    <row r="3" spans="2:10">
      <c r="B3" s="10" t="s">
        <v>155</v>
      </c>
      <c r="C3" s="10" t="s">
        <v>42</v>
      </c>
      <c r="D3" s="10" t="s">
        <v>44</v>
      </c>
      <c r="E3" s="10" t="s">
        <v>156</v>
      </c>
      <c r="F3" s="10" t="s">
        <v>157</v>
      </c>
      <c r="G3" s="10" t="s">
        <v>158</v>
      </c>
      <c r="H3" s="10" t="s">
        <v>159</v>
      </c>
      <c r="I3" s="10" t="s">
        <v>160</v>
      </c>
      <c r="J3" s="10" t="s">
        <v>47</v>
      </c>
    </row>
    <row r="4" spans="2:10">
      <c r="B4" s="10" t="s">
        <v>161</v>
      </c>
      <c r="C4" s="10" t="s">
        <v>162</v>
      </c>
      <c r="D4" s="10" t="s">
        <v>163</v>
      </c>
      <c r="E4" s="10" t="s">
        <v>46</v>
      </c>
      <c r="F4" s="10" t="s">
        <v>164</v>
      </c>
      <c r="G4" s="10" t="s">
        <v>165</v>
      </c>
      <c r="H4" s="10" t="s">
        <v>166</v>
      </c>
      <c r="I4" s="10" t="s">
        <v>167</v>
      </c>
      <c r="J4" s="10" t="s">
        <v>58</v>
      </c>
    </row>
    <row r="5" spans="2:10">
      <c r="B5" s="10" t="s">
        <v>168</v>
      </c>
      <c r="C5" s="10" t="s">
        <v>169</v>
      </c>
      <c r="D5" s="10" t="s">
        <v>170</v>
      </c>
      <c r="E5" s="10" t="s">
        <v>171</v>
      </c>
      <c r="F5" s="10" t="s">
        <v>50</v>
      </c>
      <c r="G5" s="10" t="s">
        <v>50</v>
      </c>
      <c r="H5" s="10" t="s">
        <v>50</v>
      </c>
      <c r="I5" s="10" t="s">
        <v>172</v>
      </c>
    </row>
    <row r="6" spans="2:10">
      <c r="B6" s="10" t="s">
        <v>173</v>
      </c>
      <c r="C6" s="10" t="s">
        <v>174</v>
      </c>
      <c r="D6" s="10" t="s">
        <v>175</v>
      </c>
      <c r="E6" s="10" t="s">
        <v>176</v>
      </c>
      <c r="I6" s="10" t="s">
        <v>177</v>
      </c>
    </row>
    <row r="7" spans="2:10">
      <c r="B7" s="10" t="s">
        <v>178</v>
      </c>
      <c r="C7" s="10" t="s">
        <v>179</v>
      </c>
      <c r="D7" s="10" t="s">
        <v>180</v>
      </c>
      <c r="E7" s="10" t="s">
        <v>181</v>
      </c>
      <c r="I7" s="10" t="s">
        <v>182</v>
      </c>
    </row>
    <row r="8" spans="2:10">
      <c r="B8" s="10" t="s">
        <v>183</v>
      </c>
      <c r="C8" s="10" t="s">
        <v>184</v>
      </c>
      <c r="E8" s="10" t="s">
        <v>185</v>
      </c>
      <c r="I8" s="10" t="s">
        <v>186</v>
      </c>
    </row>
    <row r="9" spans="2:10">
      <c r="B9" s="10" t="s">
        <v>187</v>
      </c>
      <c r="E9" s="10" t="s">
        <v>188</v>
      </c>
      <c r="I9" s="10" t="s">
        <v>189</v>
      </c>
    </row>
    <row r="10" spans="2:10">
      <c r="I10" s="10" t="s">
        <v>190</v>
      </c>
    </row>
    <row r="11" spans="2:10">
      <c r="I11" s="10" t="s">
        <v>191</v>
      </c>
    </row>
    <row r="13" spans="2:10">
      <c r="I13" s="10" t="s">
        <v>192</v>
      </c>
    </row>
    <row r="14" spans="2:10">
      <c r="I14" s="10" t="s">
        <v>193</v>
      </c>
    </row>
    <row r="15" spans="2:10">
      <c r="I15" s="10" t="s">
        <v>43</v>
      </c>
    </row>
    <row r="16" spans="2:10">
      <c r="I16" s="10" t="s">
        <v>194</v>
      </c>
    </row>
    <row r="17" spans="9:9">
      <c r="I17" s="10" t="s">
        <v>195</v>
      </c>
    </row>
    <row r="18" spans="9:9">
      <c r="I18" s="10" t="s">
        <v>196</v>
      </c>
    </row>
    <row r="19" spans="9:9">
      <c r="I19" s="10" t="s">
        <v>197</v>
      </c>
    </row>
    <row r="21" spans="9:9">
      <c r="I21" s="10" t="s">
        <v>198</v>
      </c>
    </row>
    <row r="22" spans="9:9" ht="27.6">
      <c r="I22" s="10" t="s">
        <v>199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SharedWithUsers xmlns="43b908ec-9e92-424c-a4ad-3174bac6e888">
      <UserInfo>
        <DisplayName/>
        <AccountId xsi:nil="true"/>
        <AccountType/>
      </UserInfo>
    </SharedWithUsers>
    <lcf76f155ced4ddcb4097134ff3c332f xmlns="5f2f9e80-f74a-40c7-b145-b94d8e4966f0">
      <Terms xmlns="http://schemas.microsoft.com/office/infopath/2007/PartnerControls"/>
    </lcf76f155ced4ddcb4097134ff3c332f>
    <TaxCatchAll xmlns="43b908ec-9e92-424c-a4ad-3174bac6e888"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E5F7DB-2FDC-4F17-A10F-53AC74C11625}"/>
</file>

<file path=customXml/itemProps2.xml><?xml version="1.0" encoding="utf-8"?>
<ds:datastoreItem xmlns:ds="http://schemas.openxmlformats.org/officeDocument/2006/customXml" ds:itemID="{9B89664E-D280-46CF-839D-1B1F21208920}"/>
</file>

<file path=customXml/itemProps3.xml><?xml version="1.0" encoding="utf-8"?>
<ds:datastoreItem xmlns:ds="http://schemas.openxmlformats.org/officeDocument/2006/customXml" ds:itemID="{85503822-DF13-4051-A489-72B75648E37A}"/>
</file>

<file path=customXml/itemProps4.xml><?xml version="1.0" encoding="utf-8"?>
<ds:datastoreItem xmlns:ds="http://schemas.openxmlformats.org/officeDocument/2006/customXml" ds:itemID="{431C8B5B-7A06-4686-9F8A-E8F24EECD8B3}"/>
</file>

<file path=docProps/app.xml><?xml version="1.0" encoding="utf-8"?>
<Properties xmlns="http://schemas.openxmlformats.org/officeDocument/2006/extended-properties" xmlns:vt="http://schemas.openxmlformats.org/officeDocument/2006/docPropsVTypes">
  <Application>Microsoft Excel Online</Application>
  <Manager/>
  <Company>DACTEM</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Siwar Abbes</cp:lastModifiedBy>
  <cp:revision/>
  <dcterms:created xsi:type="dcterms:W3CDTF">2000-07-05T17:03:55Z</dcterms:created>
  <dcterms:modified xsi:type="dcterms:W3CDTF">2025-07-01T14:46:32Z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Order">
    <vt:r8>12812100</vt:r8>
  </property>
  <property fmtid="{D5CDD505-2E9C-101B-9397-08002B2CF9AE}" pid="12" name="_ColorHex">
    <vt:lpwstr/>
  </property>
  <property fmtid="{D5CDD505-2E9C-101B-9397-08002B2CF9AE}" pid="13" name="_ColorTag">
    <vt:lpwstr/>
  </property>
  <property fmtid="{D5CDD505-2E9C-101B-9397-08002B2CF9AE}" pid="14" name="_Emoji">
    <vt:lpwstr/>
  </property>
</Properties>
</file>