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momsoftware.sharepoint.com/sites/Commercial/Documents partages/06 Prospects/043 Ecoporté/20 Rendement des opérateurs/2 Préparation Offre/"/>
    </mc:Choice>
  </mc:AlternateContent>
  <xr:revisionPtr revIDLastSave="16" documentId="14_{0F990078-26F7-4969-98CB-5941F3B349F0}" xr6:coauthVersionLast="47" xr6:coauthVersionMax="47" xr10:uidLastSave="{3C41E1A7-577B-4802-AE9C-4D7C3B84AE69}"/>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Exigences'!$D$2:$J$21</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27" l="1"/>
  <c r="Q19" i="27"/>
  <c r="O26" i="27"/>
  <c r="P24" i="27"/>
  <c r="Q24" i="27" s="1"/>
  <c r="P22" i="27"/>
  <c r="Q22" i="27" s="1"/>
  <c r="P23" i="27"/>
  <c r="Q23" i="27" s="1"/>
  <c r="P20" i="27"/>
  <c r="Q20" i="27" s="1"/>
  <c r="P25" i="27"/>
  <c r="Q25" i="27" s="1"/>
  <c r="P17" i="27"/>
  <c r="Q17" i="27" s="1"/>
  <c r="P16" i="27"/>
  <c r="Q16" i="27" s="1"/>
  <c r="D8" i="29" l="1"/>
  <c r="D9" i="29"/>
  <c r="B6" i="29"/>
  <c r="D6" i="29"/>
  <c r="B7" i="29"/>
  <c r="D7" i="29"/>
  <c r="B8" i="29"/>
  <c r="B9" i="29"/>
  <c r="B11" i="29"/>
  <c r="D5" i="29"/>
  <c r="B5" i="29"/>
  <c r="P15" i="27"/>
  <c r="P18" i="27"/>
  <c r="P21" i="27"/>
  <c r="P26" i="27" l="1"/>
  <c r="Q15" i="27"/>
  <c r="Q18" i="27"/>
  <c r="Q21" i="27"/>
  <c r="Q26" i="27" l="1"/>
</calcChain>
</file>

<file path=xl/sharedStrings.xml><?xml version="1.0" encoding="utf-8"?>
<sst xmlns="http://schemas.openxmlformats.org/spreadsheetml/2006/main" count="221" uniqueCount="132">
  <si>
    <t>Gestion Exigences Projet</t>
  </si>
  <si>
    <t>Chiffrage Réalisation/Analyse/Test</t>
  </si>
  <si>
    <t>Revue et Vérification Pendant la Conception</t>
  </si>
  <si>
    <t>BU</t>
  </si>
  <si>
    <t xml:space="preserve">SF </t>
  </si>
  <si>
    <t>Client</t>
  </si>
  <si>
    <t>TBC</t>
  </si>
  <si>
    <t>Projet</t>
  </si>
  <si>
    <t>Confidentiel | Usage Client Limité</t>
  </si>
  <si>
    <t>Réf BPA du Devis</t>
  </si>
  <si>
    <t>Réf BPA du Projet</t>
  </si>
  <si>
    <t>MD203:V1.1</t>
  </si>
  <si>
    <t>Id exigence</t>
  </si>
  <si>
    <t>Objectif client</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</si>
  <si>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</si>
  <si>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</si>
  <si>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</si>
  <si>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</si>
  <si>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</si>
  <si>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</si>
  <si>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</si>
  <si>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</si>
  <si>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</si>
  <si>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</si>
  <si>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</si>
  <si>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</si>
  <si>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</si>
  <si>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</si>
  <si>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</si>
  <si>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</si>
  <si>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</si>
  <si>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</si>
  <si>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</si>
  <si>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</si>
  <si>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</si>
  <si>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gestion des opérateurs et de plannification</t>
  </si>
  <si>
    <t>Configuration</t>
  </si>
  <si>
    <t>Fonctionnelle</t>
  </si>
  <si>
    <t>SF-Fonctionnelle</t>
  </si>
  <si>
    <t>Commerciale</t>
  </si>
  <si>
    <t>Modèlisation complète et gestion de l'usine Ecoporté</t>
  </si>
  <si>
    <t>Workshop/réunion client</t>
  </si>
  <si>
    <t>La solution offre un Module Core permettant la modélisation, gestion et planification pour une usine connectée:
• Modélisation hiérarchique de l'usine: Ateliers, lignes, postes, machines.
• Gestion des produits
• Gestion des utilisateurs et des autorisations: Rôles et accès contrôlés.
• Gestion des équipes 
• Planification des lignes et des équipes: Cycles, équipes, calendrier de travail.
• Configuration et affectation des capteurs et des signals TOR .</t>
  </si>
  <si>
    <t>Standard</t>
  </si>
  <si>
    <t>N/A</t>
  </si>
  <si>
    <t>E002</t>
  </si>
  <si>
    <t xml:space="preserve">Chargement des OF planifiés à partir de l'ERP </t>
  </si>
  <si>
    <t>Chargement des OF planifiés à partir de l'ERP  à travers webservices</t>
  </si>
  <si>
    <t>SF-Intégration SI</t>
  </si>
  <si>
    <t>Lecture des OF planifiés à travers webservices.</t>
  </si>
  <si>
    <t>Adaptation webservice de chargement des OF planifiés à partir de l'ERP SAGE X3.
Cette exigence nécessite un travail de collaboration entre l'équipe MOMSOFT et l'équipe ERP.</t>
  </si>
  <si>
    <t>Adaptation</t>
  </si>
  <si>
    <t>E003</t>
  </si>
  <si>
    <t>Gestion et suivi  des ordres de fabrications</t>
  </si>
  <si>
    <t xml:space="preserve">Gérer et suivre les ordres de fabrications </t>
  </si>
  <si>
    <t>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t>
  </si>
  <si>
    <t>E004</t>
  </si>
  <si>
    <t>Détection automatique de la production</t>
  </si>
  <si>
    <t>Remontée des données machines</t>
  </si>
  <si>
    <t>SF-Connectivité Machine</t>
  </si>
  <si>
    <t>Récupérer les quantités de production</t>
  </si>
  <si>
    <t>La solution proposée consiste à installler des capteurs pour détecter la production.</t>
  </si>
  <si>
    <t>detection de production par poste</t>
  </si>
  <si>
    <t>E005</t>
  </si>
  <si>
    <t>Affichage des données machines</t>
  </si>
  <si>
    <t>Afficher la quantité produite par shift dans un compteur installé sur la ligne</t>
  </si>
  <si>
    <t>La solution propose d'installer un compteur LED  par qui permet d'afficher le nombre de pièces détectées par le capteur et d'initialiser le compte chaque nouvelle shift</t>
  </si>
  <si>
    <t>E006</t>
  </si>
  <si>
    <t>Gestion de la consommation des ordres de fabrications</t>
  </si>
  <si>
    <t>Permettre la consommation des quantités de produits semi-finis déclarées</t>
  </si>
  <si>
    <t>Ajouter la section  "Consomation PSF" au niveau du modal de création de l'OF.</t>
  </si>
  <si>
    <t>E007</t>
  </si>
  <si>
    <t>Suivi de rendement en temps réel</t>
  </si>
  <si>
    <t>Visualisation des données et de rendement</t>
  </si>
  <si>
    <t>Suivre les quantités produites en temps réel et le taux de rendement des opérateurs par poste</t>
  </si>
  <si>
    <t>La solution propose un tableau de bord temps réel simplifié qui affiche les quantités produites et les taux de rendement des postes. Ce tableau peut être filtré pour afficher seulement les données du poste concernées.</t>
  </si>
  <si>
    <t>E008</t>
  </si>
  <si>
    <t>Gestion et suivi de la production</t>
  </si>
  <si>
    <t>La solution comprend un module de "Gestion de Production" offrant les fonctionnalités suivantes :
• Déclaration manuelle et automatiques de la production : Enregistrement des quantités produites et des non-conformités pour chaque Ordre de Fabrication (OF), ligne, et produit. avec la possibilité de la déclaration par lot.
• Validation des déclarations :Workflow de validation des déclarations de production avec des niveaux de validation paramétrables 
• Rapports détaillés : Accès à des rapports détaillés sur l'historique de production, incluant les quantités produites, les non-conformités, ainsi que les performances des lignes et des opérateurs.
• Filtrage avancé : Possibilité de filtrer les données par OF, équipe, ligne, produit, et période de production.</t>
  </si>
  <si>
    <t>E009</t>
  </si>
  <si>
    <t>Suivi de la production par opérateur</t>
  </si>
  <si>
    <t>La solution offre un module "Détails production"  permettant de suivre la production déclarée automatiquement par machine, opérateur, produit et OF .
Adaptation :
Ajouter l'option du filtrage des données de production par produit, opérateur
Ajouter les champs d'affichage des données de la production ( quantité produite , opérateur ) selon le filtre pré-sélectionné</t>
  </si>
  <si>
    <t>E010</t>
  </si>
  <si>
    <t>Suivi  de la consommation des ordres de fabrications</t>
  </si>
  <si>
    <t>Ajouter un bouton d'action au niveau de l'interface "Historique production" assurant l'affichage des quantitées de produits semi fini consommées déclarées, afin de déclarer les quantités produites de l'OF correspondant.</t>
  </si>
  <si>
    <t>E011</t>
  </si>
  <si>
    <t>Exportation des données de production</t>
  </si>
  <si>
    <t>Exportation dans des fichiers Excel</t>
  </si>
  <si>
    <t>Workshop/réunion Interne</t>
  </si>
  <si>
    <t>La solution offre l'option d'exporter les données dans un fichier excel.</t>
  </si>
  <si>
    <t xml:space="preserve"> </t>
  </si>
  <si>
    <t>Version</t>
  </si>
  <si>
    <t>Date</t>
  </si>
  <si>
    <t>Modifications</t>
  </si>
  <si>
    <t>Auteur(s)</t>
  </si>
  <si>
    <t>Vérificateur(s)</t>
  </si>
  <si>
    <t>Approbateur</t>
  </si>
  <si>
    <t>Overhead Analyse</t>
  </si>
  <si>
    <t>Overhead Test</t>
  </si>
  <si>
    <t>Objectifs client</t>
  </si>
  <si>
    <t>Exigence identifiée pendant la phase</t>
  </si>
  <si>
    <t>Oui/Non</t>
  </si>
  <si>
    <t>Statut Interne</t>
  </si>
  <si>
    <t>A liste dans params</t>
  </si>
  <si>
    <t>CdC client</t>
  </si>
  <si>
    <t>Oui</t>
  </si>
  <si>
    <t>Validée par le client</t>
  </si>
  <si>
    <t>Validée</t>
  </si>
  <si>
    <t>*** SF</t>
  </si>
  <si>
    <t>Services</t>
  </si>
  <si>
    <t>Performance</t>
  </si>
  <si>
    <t>Conception</t>
  </si>
  <si>
    <t>Non</t>
  </si>
  <si>
    <t>Non validée par client</t>
  </si>
  <si>
    <t>Non validée</t>
  </si>
  <si>
    <t>SF-Processus</t>
  </si>
  <si>
    <t>A définir</t>
  </si>
  <si>
    <t>Reglementaire</t>
  </si>
  <si>
    <t>Réalisation</t>
  </si>
  <si>
    <t>Sécurité</t>
  </si>
  <si>
    <t>Mise en œuvre</t>
  </si>
  <si>
    <t>Standards client</t>
  </si>
  <si>
    <t>Standard Client</t>
  </si>
  <si>
    <t>Support et maintenance</t>
  </si>
  <si>
    <t>Standards MOMSOFT</t>
  </si>
  <si>
    <t>Standard MOMSOFT</t>
  </si>
  <si>
    <t>Reglementation</t>
  </si>
  <si>
    <t>SF-Software</t>
  </si>
  <si>
    <t>Demande modification</t>
  </si>
  <si>
    <t>SF-Infra IT</t>
  </si>
  <si>
    <t>*** Services</t>
  </si>
  <si>
    <t>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</si>
</sst>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
      <sz val="10"/>
      <color theme="0"/>
      <name val="Calibri Light"/>
      <family val="2"/>
      <scheme val="major"/>
    </font>
    <font>
      <b/>
      <sz val="12"/>
      <color theme="0"/>
      <name val="Calibri Light"/>
      <family val="2"/>
    </font>
    <font>
      <b/>
      <sz val="11"/>
      <color theme="0"/>
      <name val="Calibri Light"/>
      <family val="2"/>
    </font>
    <font>
      <b/>
      <sz val="10"/>
      <color theme="0"/>
      <name val="Calibri Light"/>
      <family val="2"/>
      <scheme val="major"/>
    </font>
    <font>
      <sz val="10"/>
      <name val="Calibri Light"/>
      <family val="2"/>
    </font>
    <font>
      <sz val="3"/>
      <name val="Calibri Light"/>
      <family val="2"/>
    </font>
  </fonts>
  <fills count="6">
    <fill>
      <patternFill patternType="none"/>
    </fill>
    <fill>
      <patternFill patternType="gray125"/>
    </fill>
    <fill>
      <patternFill patternType="solid">
        <fgColor rgb="FF00E0B1"/>
        <bgColor indexed="64"/>
      </patternFill>
    </fill>
    <fill>
      <patternFill patternType="solid">
        <fgColor rgb="FF00425A"/>
        <bgColor indexed="64"/>
      </patternFill>
    </fill>
    <fill>
      <patternFill patternType="solid">
        <fgColor rgb="FF00B8FF"/>
        <bgColor indexed="64"/>
      </patternFill>
    </fill>
    <fill>
      <patternFill patternType="solid">
        <fgColor rgb="FFFF7F0B"/>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rgb="FF00425A"/>
      </left>
      <right/>
      <top style="medium">
        <color rgb="FF00425A"/>
      </top>
      <bottom/>
      <diagonal/>
    </border>
    <border>
      <left/>
      <right/>
      <top style="medium">
        <color rgb="FF00425A"/>
      </top>
      <bottom/>
      <diagonal/>
    </border>
    <border>
      <left style="medium">
        <color rgb="FF00425A"/>
      </left>
      <right/>
      <top/>
      <bottom/>
      <diagonal/>
    </border>
    <border>
      <left/>
      <right style="medium">
        <color rgb="FF00425A"/>
      </right>
      <top/>
      <bottom/>
      <diagonal/>
    </border>
    <border>
      <left style="medium">
        <color rgb="FF00425A"/>
      </left>
      <right/>
      <top style="medium">
        <color rgb="FF00425A"/>
      </top>
      <bottom style="medium">
        <color indexed="64"/>
      </bottom>
      <diagonal/>
    </border>
    <border>
      <left/>
      <right/>
      <top style="medium">
        <color rgb="FF00425A"/>
      </top>
      <bottom style="medium">
        <color indexed="64"/>
      </bottom>
      <diagonal/>
    </border>
    <border>
      <left/>
      <right style="medium">
        <color rgb="FF00425A"/>
      </right>
      <top style="medium">
        <color rgb="FF00425A"/>
      </top>
      <bottom style="medium">
        <color indexed="64"/>
      </bottom>
      <diagonal/>
    </border>
  </borders>
  <cellStyleXfs count="1">
    <xf numFmtId="0" fontId="0" fillId="0" borderId="0"/>
  </cellStyleXfs>
  <cellXfs count="50">
    <xf numFmtId="0" fontId="0" fillId="0" borderId="0" xfId="0"/>
    <xf numFmtId="0" fontId="1" fillId="0" borderId="0" xfId="0" applyFont="1" applyAlignment="1">
      <alignment wrapText="1"/>
    </xf>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left" vertical="center"/>
    </xf>
    <xf numFmtId="0" fontId="8" fillId="0" borderId="0" xfId="0" applyFont="1" applyAlignment="1">
      <alignment wrapText="1"/>
    </xf>
    <xf numFmtId="0" fontId="8" fillId="0" borderId="0" xfId="0" applyFont="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6" fillId="2" borderId="0" xfId="0" applyFont="1" applyFill="1" applyAlignment="1">
      <alignment horizontal="center" vertical="center" wrapText="1"/>
    </xf>
    <xf numFmtId="0" fontId="18" fillId="0" borderId="0" xfId="0" applyFont="1" applyAlignment="1">
      <alignment vertical="center" wrapText="1"/>
    </xf>
    <xf numFmtId="14" fontId="18" fillId="0" borderId="0" xfId="0" applyNumberFormat="1" applyFont="1" applyAlignment="1">
      <alignment vertical="center" wrapText="1"/>
    </xf>
    <xf numFmtId="14" fontId="1" fillId="0" borderId="0" xfId="0" applyNumberFormat="1" applyFont="1" applyAlignment="1">
      <alignment wrapText="1"/>
    </xf>
    <xf numFmtId="0" fontId="17" fillId="2" borderId="0" xfId="0" applyFont="1" applyFill="1" applyAlignment="1">
      <alignmen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9" fontId="1" fillId="0" borderId="0" xfId="0" applyNumberFormat="1" applyFont="1" applyAlignment="1">
      <alignment vertical="center" wrapText="1"/>
    </xf>
    <xf numFmtId="0" fontId="1" fillId="0" borderId="0" xfId="0" applyFont="1" applyAlignment="1">
      <alignment vertical="center"/>
    </xf>
    <xf numFmtId="0" fontId="19" fillId="0" borderId="0" xfId="0" applyFont="1" applyAlignment="1">
      <alignment horizontal="left" vertical="center"/>
    </xf>
    <xf numFmtId="0" fontId="14" fillId="4" borderId="4" xfId="0" applyFont="1" applyFill="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4" fillId="5" borderId="9" xfId="0" applyFont="1" applyFill="1" applyBorder="1" applyAlignment="1">
      <alignment vertical="center" wrapText="1"/>
    </xf>
    <xf numFmtId="0" fontId="14" fillId="5" borderId="10" xfId="0" applyFont="1" applyFill="1" applyBorder="1" applyAlignment="1">
      <alignment vertical="center" wrapText="1"/>
    </xf>
    <xf numFmtId="0" fontId="14" fillId="5" borderId="11" xfId="0" applyFont="1" applyFill="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horizontal="left" vertical="center" wrapText="1"/>
    </xf>
    <xf numFmtId="0" fontId="13" fillId="0" borderId="0" xfId="0" applyFont="1" applyAlignment="1">
      <alignment vertical="center"/>
    </xf>
    <xf numFmtId="0" fontId="11" fillId="0" borderId="0" xfId="0" applyFont="1" applyAlignment="1">
      <alignmen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cellXfs>
  <cellStyles count="1">
    <cellStyle name="Normal" xfId="0" builtinId="0"/>
  </cellStyles>
  <dxfs count="55">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0"/>
        <name val="Calibri Light"/>
        <family val="2"/>
        <scheme val="none"/>
      </font>
      <fill>
        <patternFill patternType="solid">
          <fgColor indexed="64"/>
          <bgColor rgb="FF00E0B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right style="medium">
          <color rgb="FF00425A"/>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border diagonalUp="0" diagonalDown="0" outline="0">
        <left/>
        <right style="medium">
          <color rgb="FF00425A"/>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theme="0"/>
        <name val="Calibri Light"/>
        <family val="2"/>
        <scheme val="major"/>
      </font>
      <fill>
        <patternFill>
          <fgColor indexed="64"/>
          <bgColor rgb="FF00E0B1"/>
        </patternFill>
      </fill>
      <alignment horizontal="general" vertical="center" textRotation="0" wrapText="1" indent="0" justifyLastLine="0" shrinkToFit="0" readingOrder="0"/>
    </dxf>
  </dxfs>
  <tableStyles count="0" defaultTableStyle="TableStyleMedium2" defaultPivotStyle="PivotStyleLight16"/>
  <colors>
    <mruColors>
      <color rgb="FF00425A"/>
      <color rgb="FF00E0B1"/>
      <color rgb="FFFF7F0B"/>
      <color rgb="FF00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62754</xdr:colOff>
      <xdr:row>2</xdr:row>
      <xdr:rowOff>188259</xdr:rowOff>
    </xdr:from>
    <xdr:to>
      <xdr:col>2</xdr:col>
      <xdr:colOff>1353671</xdr:colOff>
      <xdr:row>2</xdr:row>
      <xdr:rowOff>807328</xdr:rowOff>
    </xdr:to>
    <xdr:pic>
      <xdr:nvPicPr>
        <xdr:cNvPr id="3" name="Image 2">
          <a:extLst>
            <a:ext uri="{FF2B5EF4-FFF2-40B4-BE49-F238E27FC236}">
              <a16:creationId xmlns:a16="http://schemas.microsoft.com/office/drawing/2014/main" id="{B796DF62-C2DE-4317-5F4D-42BBC1577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648" y="645459"/>
          <a:ext cx="1712258" cy="622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4:W26" totalsRowCount="1" headerRowDxfId="54" dataDxfId="53" totalsRowDxfId="52">
  <autoFilter ref="B14:W25" xr:uid="{DDEA2C8B-EE0D-4C55-9256-CCC64E002CE6}"/>
  <tableColumns count="22">
    <tableColumn id="1" xr3:uid="{E467E0EE-CDAA-4FF5-85A8-CDC0B23A5AD9}" name="Id exigence" dataDxfId="51" totalsRowDxfId="50"/>
    <tableColumn id="23" xr3:uid="{DB65C818-8EF5-4DCC-9DA7-4CD05A291796}" name="Objectif client" dataDxfId="49" totalsRowDxfId="48"/>
    <tableColumn id="2" xr3:uid="{E53952AC-4972-47BD-8B1D-C7EF23088D0D}" name="Intitulé Exigence" dataDxfId="47" totalsRowDxfId="46"/>
    <tableColumn id="8" xr3:uid="{B2D0BC2C-C803-4015-8FA6-70F84517BDB2}" name="Nature" dataDxfId="45" totalsRowDxfId="44"/>
    <tableColumn id="7" xr3:uid="{24F2F0ED-022E-4EC1-91D8-BFE0E4F2FD36}" name="Catégorie" dataDxfId="43" totalsRowDxfId="42"/>
    <tableColumn id="10" xr3:uid="{1FF81CF1-6D35-421C-8767-9E7FA06FEE6A}" name="Exigence idenfiée pendant la phase" dataDxfId="41" totalsRowDxfId="40"/>
    <tableColumn id="3" xr3:uid="{E7621A68-9552-4853-96A5-92A226EA42DD}" name="Description de l'exigence" dataDxfId="39" totalsRowDxfId="38"/>
    <tableColumn id="9" xr3:uid="{E6EEEC82-3576-4980-94B3-1423906CE531}" name="Source" dataDxfId="37" totalsRowDxfId="36"/>
    <tableColumn id="16" xr3:uid="{1441554A-79F9-4040-9CF5-AEBFF7ADF7D1}" name="Desciption de la solution MOMSOFT" dataDxfId="35" totalsRowDxfId="34"/>
    <tableColumn id="17" xr3:uid="{D1BC9C86-C3CE-417F-AC83-FC4786A7656D}" name="Ecart entre exigence client et la solution proposée - préciser aussi les limites et hypothèses si applicable" dataDxfId="33" totalsRowDxfId="32"/>
    <tableColumn id="5" xr3:uid="{2649C3B7-E8B9-44F9-8883-E5BB6F91B4B1}" name="Validation Interne"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sum" dataDxfId="25" totalsRowDxfId="24"/>
    <tableColumn id="21" xr3:uid="{818C68C5-1CC3-4DC9-9BB8-2CB7816ABE9F}" name="HJ Analyse et Test" totalsRowFunction="sum" dataDxfId="23" totalsRowDxfId="22">
      <calculatedColumnFormula>Tableau3[[#This Row],[HJ Dev]]*(25%+25%)</calculatedColumnFormula>
    </tableColumn>
    <tableColumn id="20" xr3:uid="{81CB5860-4285-4425-ABF9-C91F3323BF25}" name="Total HJ" totalsRowFunction="sum" dataDxfId="21" totalsRowDxfId="20">
      <calculatedColumnFormula>Tableau3[[#This Row],[HJ Analyse et Test]]+Tableau3[[#This Row],[HJ Dev]]</calculatedColumn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26"/>
  <sheetViews>
    <sheetView tabSelected="1" topLeftCell="A20" zoomScaleNormal="100" workbookViewId="0">
      <selection activeCell="E20" sqref="E20"/>
    </sheetView>
  </sheetViews>
  <sheetFormatPr baseColWidth="10" defaultColWidth="11.453125" defaultRowHeight="12.75" customHeight="1" x14ac:dyDescent="0.25"/>
  <cols>
    <col min="1" max="1" width="11.453125" style="5"/>
    <col min="2" max="2" width="6.26953125" style="5" customWidth="1"/>
    <col min="3" max="3" width="37.26953125" style="5" customWidth="1"/>
    <col min="4" max="4" width="39.26953125" style="5" customWidth="1"/>
    <col min="5" max="6" width="18.26953125" style="5" customWidth="1"/>
    <col min="7" max="7" width="22.453125" style="5" customWidth="1"/>
    <col min="8" max="8" width="56.54296875" style="5" customWidth="1"/>
    <col min="9" max="9" width="18.453125" style="5" customWidth="1"/>
    <col min="10" max="10" width="56.54296875" style="5" customWidth="1"/>
    <col min="11" max="11" width="33.26953125" style="5" customWidth="1"/>
    <col min="12" max="13" width="13.54296875" style="5" customWidth="1"/>
    <col min="14" max="14" width="15.26953125" style="5" customWidth="1"/>
    <col min="15" max="15" width="11.7265625" style="5" customWidth="1"/>
    <col min="16" max="16" width="15.453125" style="5" customWidth="1"/>
    <col min="17" max="17" width="13.7265625" style="5" customWidth="1"/>
    <col min="18" max="18" width="39.7265625" style="5" customWidth="1"/>
    <col min="19" max="19" width="15.7265625" style="5" customWidth="1"/>
    <col min="20" max="20" width="20.54296875" style="5" customWidth="1"/>
    <col min="21" max="21" width="20.26953125" style="5" customWidth="1"/>
    <col min="22" max="22" width="15.26953125" style="5" customWidth="1"/>
    <col min="23" max="23" width="30.7265625" style="5" customWidth="1"/>
    <col min="24" max="16384" width="11.453125" style="5"/>
  </cols>
  <sheetData>
    <row r="1" spans="2:23" ht="13" x14ac:dyDescent="0.25"/>
    <row r="2" spans="2:23" ht="33" customHeight="1" x14ac:dyDescent="0.25">
      <c r="B2" s="41" t="s">
        <v>0</v>
      </c>
      <c r="C2" s="42"/>
      <c r="D2" s="42"/>
      <c r="E2" s="42"/>
      <c r="F2" s="42"/>
      <c r="G2" s="42"/>
      <c r="H2" s="42"/>
      <c r="I2" s="42"/>
      <c r="J2" s="42"/>
      <c r="K2" s="42"/>
      <c r="L2" s="42"/>
      <c r="M2" s="42"/>
      <c r="N2" s="43"/>
      <c r="O2" s="44" t="s">
        <v>1</v>
      </c>
      <c r="P2" s="45"/>
      <c r="Q2" s="46"/>
      <c r="R2" s="38" t="s">
        <v>2</v>
      </c>
      <c r="S2" s="39"/>
      <c r="T2" s="39"/>
      <c r="U2" s="39"/>
      <c r="V2" s="39"/>
      <c r="W2" s="40"/>
    </row>
    <row r="3" spans="2:23" ht="66" customHeight="1" x14ac:dyDescent="0.25">
      <c r="D3" s="30"/>
      <c r="E3" s="30"/>
      <c r="F3" s="30"/>
      <c r="G3" s="30"/>
      <c r="H3" s="30"/>
      <c r="I3" s="30"/>
      <c r="J3" s="30"/>
    </row>
    <row r="4" spans="2:23" ht="24.75" customHeight="1" x14ac:dyDescent="0.25">
      <c r="D4" s="30"/>
      <c r="E4" s="30"/>
      <c r="F4" s="30"/>
      <c r="G4" s="30"/>
      <c r="H4" s="30"/>
      <c r="I4" s="30"/>
      <c r="J4" s="30"/>
    </row>
    <row r="5" spans="2:23" ht="21" customHeight="1" x14ac:dyDescent="0.25">
      <c r="B5" s="6" t="s">
        <v>3</v>
      </c>
      <c r="C5" s="6"/>
      <c r="D5" s="31" t="s">
        <v>4</v>
      </c>
      <c r="F5" s="30"/>
      <c r="G5" s="30"/>
      <c r="H5" s="30"/>
      <c r="I5" s="30"/>
      <c r="J5" s="30"/>
    </row>
    <row r="6" spans="2:23" ht="21.75" customHeight="1" x14ac:dyDescent="0.25">
      <c r="B6" s="32" t="s">
        <v>5</v>
      </c>
      <c r="C6" s="32"/>
      <c r="D6" s="33" t="s">
        <v>6</v>
      </c>
      <c r="F6" s="33"/>
      <c r="H6" s="33"/>
      <c r="I6" s="33"/>
      <c r="J6" s="33"/>
    </row>
    <row r="7" spans="2:23" ht="21" customHeight="1" x14ac:dyDescent="0.25">
      <c r="B7" s="32" t="s">
        <v>7</v>
      </c>
      <c r="C7" s="32"/>
      <c r="D7" s="33" t="s">
        <v>6</v>
      </c>
      <c r="F7" s="33"/>
      <c r="H7" s="34" t="s">
        <v>8</v>
      </c>
      <c r="I7" s="33"/>
      <c r="J7" s="33"/>
    </row>
    <row r="8" spans="2:23" ht="20.65" customHeight="1" x14ac:dyDescent="0.25">
      <c r="B8" s="32" t="s">
        <v>9</v>
      </c>
      <c r="C8" s="32"/>
      <c r="D8" s="33" t="s">
        <v>6</v>
      </c>
      <c r="F8" s="33"/>
      <c r="G8" s="33"/>
      <c r="H8" s="33"/>
      <c r="I8" s="33"/>
      <c r="J8" s="33"/>
    </row>
    <row r="9" spans="2:23" ht="21.65" customHeight="1" x14ac:dyDescent="0.25">
      <c r="B9" s="32" t="s">
        <v>10</v>
      </c>
      <c r="C9" s="32"/>
      <c r="D9" s="33" t="s">
        <v>6</v>
      </c>
      <c r="F9" s="33"/>
      <c r="G9" s="33"/>
      <c r="H9" s="33"/>
      <c r="I9" s="33"/>
      <c r="J9" s="33"/>
    </row>
    <row r="10" spans="2:23" ht="14.5" x14ac:dyDescent="0.25">
      <c r="D10" s="33"/>
      <c r="E10" s="35"/>
      <c r="F10" s="35"/>
      <c r="G10" s="35"/>
      <c r="H10" s="35"/>
      <c r="I10" s="35"/>
      <c r="J10" s="35"/>
    </row>
    <row r="11" spans="2:23" ht="13" x14ac:dyDescent="0.25">
      <c r="B11" s="36" t="s">
        <v>11</v>
      </c>
      <c r="C11" s="36"/>
      <c r="D11" s="20"/>
      <c r="E11" s="36"/>
      <c r="F11" s="37"/>
      <c r="G11" s="37"/>
    </row>
    <row r="12" spans="2:23" ht="13" x14ac:dyDescent="0.25">
      <c r="B12" s="36"/>
      <c r="C12" s="36"/>
      <c r="D12" s="20"/>
      <c r="E12" s="36"/>
      <c r="F12" s="37"/>
      <c r="G12" s="37"/>
    </row>
    <row r="13" spans="2:23" ht="13" x14ac:dyDescent="0.25"/>
    <row r="14" spans="2:23" ht="42" customHeight="1" x14ac:dyDescent="0.25">
      <c r="B14" s="17" t="s">
        <v>12</v>
      </c>
      <c r="C14" s="18" t="s">
        <v>13</v>
      </c>
      <c r="D14" s="10" t="s">
        <v>14</v>
      </c>
      <c r="E14" s="10" t="s">
        <v>15</v>
      </c>
      <c r="F14" s="10" t="s">
        <v>16</v>
      </c>
      <c r="G14" s="10" t="s">
        <v>17</v>
      </c>
      <c r="H14" s="10" t="s">
        <v>18</v>
      </c>
      <c r="I14" s="10" t="s">
        <v>19</v>
      </c>
      <c r="J14" s="10" t="s">
        <v>20</v>
      </c>
      <c r="K14" s="10" t="s">
        <v>21</v>
      </c>
      <c r="L14" s="10" t="s">
        <v>22</v>
      </c>
      <c r="M14" s="10" t="s">
        <v>23</v>
      </c>
      <c r="N14" s="11" t="s">
        <v>24</v>
      </c>
      <c r="O14" s="22" t="s">
        <v>25</v>
      </c>
      <c r="P14" s="22" t="s">
        <v>26</v>
      </c>
      <c r="Q14" s="22" t="s">
        <v>27</v>
      </c>
      <c r="R14" s="27" t="s">
        <v>28</v>
      </c>
      <c r="S14" s="28" t="s">
        <v>29</v>
      </c>
      <c r="T14" s="28" t="s">
        <v>30</v>
      </c>
      <c r="U14" s="28" t="s">
        <v>31</v>
      </c>
      <c r="V14" s="28" t="s">
        <v>32</v>
      </c>
      <c r="W14" s="29" t="s">
        <v>33</v>
      </c>
    </row>
    <row r="15" spans="2:23" ht="181.5" customHeight="1" x14ac:dyDescent="0.25">
      <c r="B15" s="5" t="s">
        <v>34</v>
      </c>
      <c r="C15" s="5" t="s">
        <v>35</v>
      </c>
      <c r="D15" s="5" t="s">
        <v>36</v>
      </c>
      <c r="E15" s="5" t="s">
        <v>37</v>
      </c>
      <c r="F15" s="5" t="s">
        <v>38</v>
      </c>
      <c r="G15" s="5" t="s">
        <v>39</v>
      </c>
      <c r="H15" s="5" t="s">
        <v>40</v>
      </c>
      <c r="I15" s="5" t="s">
        <v>41</v>
      </c>
      <c r="J15" s="5" t="s">
        <v>42</v>
      </c>
      <c r="K15" s="5" t="s">
        <v>43</v>
      </c>
      <c r="O15" s="23">
        <v>0</v>
      </c>
      <c r="P15" s="24">
        <f>Tableau3[[#This Row],[HJ Dev]]*(25%+25%)</f>
        <v>0</v>
      </c>
      <c r="Q15" s="24">
        <f>Tableau3[[#This Row],[HJ Analyse et Test]]+Tableau3[[#This Row],[HJ Dev]]</f>
        <v>0</v>
      </c>
      <c r="R15" s="25" t="s">
        <v>44</v>
      </c>
      <c r="S15" s="5" t="s">
        <v>44</v>
      </c>
      <c r="T15" s="5" t="s">
        <v>44</v>
      </c>
      <c r="U15" s="5" t="s">
        <v>44</v>
      </c>
      <c r="V15" s="5" t="s">
        <v>44</v>
      </c>
      <c r="W15" s="26"/>
    </row>
    <row r="16" spans="2:23" ht="36" customHeight="1" x14ac:dyDescent="0.25">
      <c r="B16" s="5" t="s">
        <v>45</v>
      </c>
      <c r="C16" s="5" t="s">
        <v>46</v>
      </c>
      <c r="D16" s="5" t="s">
        <v>47</v>
      </c>
      <c r="E16" s="5" t="s">
        <v>37</v>
      </c>
      <c r="F16" s="5" t="s">
        <v>48</v>
      </c>
      <c r="G16" s="5" t="s">
        <v>39</v>
      </c>
      <c r="H16" s="5" t="s">
        <v>49</v>
      </c>
      <c r="I16" s="5" t="s">
        <v>41</v>
      </c>
      <c r="J16" s="5" t="s">
        <v>50</v>
      </c>
      <c r="K16" s="5" t="s">
        <v>51</v>
      </c>
      <c r="O16" s="25">
        <v>3</v>
      </c>
      <c r="P16" s="5">
        <f>Tableau3[[#This Row],[HJ Dev]]*(25%+25%)</f>
        <v>1.5</v>
      </c>
      <c r="Q16" s="26">
        <f>Tableau3[[#This Row],[HJ Analyse et Test]]+Tableau3[[#This Row],[HJ Dev]]</f>
        <v>4.5</v>
      </c>
      <c r="R16" s="25"/>
      <c r="W16" s="26"/>
    </row>
    <row r="17" spans="2:23" ht="117.75" customHeight="1" x14ac:dyDescent="0.25">
      <c r="B17" s="5" t="s">
        <v>52</v>
      </c>
      <c r="C17" s="5" t="s">
        <v>53</v>
      </c>
      <c r="D17" s="5" t="s">
        <v>54</v>
      </c>
      <c r="E17" s="5" t="s">
        <v>37</v>
      </c>
      <c r="F17" s="5" t="s">
        <v>38</v>
      </c>
      <c r="G17" s="5" t="s">
        <v>39</v>
      </c>
      <c r="H17" s="5" t="s">
        <v>43</v>
      </c>
      <c r="I17" s="5" t="s">
        <v>41</v>
      </c>
      <c r="J17" s="5" t="s">
        <v>55</v>
      </c>
      <c r="K17" s="5" t="s">
        <v>43</v>
      </c>
      <c r="O17" s="25">
        <v>0</v>
      </c>
      <c r="P17" s="5">
        <f>Tableau3[[#This Row],[HJ Dev]]*(25%+25%)</f>
        <v>0</v>
      </c>
      <c r="Q17" s="26">
        <f>Tableau3[[#This Row],[HJ Analyse et Test]]+Tableau3[[#This Row],[HJ Dev]]</f>
        <v>0</v>
      </c>
      <c r="R17" s="25"/>
      <c r="W17" s="26"/>
    </row>
    <row r="18" spans="2:23" ht="58.5" customHeight="1" x14ac:dyDescent="0.25">
      <c r="B18" s="5" t="s">
        <v>56</v>
      </c>
      <c r="C18" s="5" t="s">
        <v>57</v>
      </c>
      <c r="D18" s="5" t="s">
        <v>58</v>
      </c>
      <c r="E18" s="5" t="s">
        <v>37</v>
      </c>
      <c r="F18" s="5" t="s">
        <v>59</v>
      </c>
      <c r="G18" s="5" t="s">
        <v>39</v>
      </c>
      <c r="H18" s="5" t="s">
        <v>60</v>
      </c>
      <c r="I18" s="5" t="s">
        <v>41</v>
      </c>
      <c r="J18" s="5" t="s">
        <v>61</v>
      </c>
      <c r="K18" s="5" t="s">
        <v>51</v>
      </c>
      <c r="O18" s="25">
        <v>1</v>
      </c>
      <c r="P18" s="5">
        <f>Tableau3[[#This Row],[HJ Dev]]*(25%+25%)</f>
        <v>0.5</v>
      </c>
      <c r="Q18" s="5">
        <f>Tableau3[[#This Row],[HJ Analyse et Test]]+Tableau3[[#This Row],[HJ Dev]]</f>
        <v>1.5</v>
      </c>
      <c r="R18" s="25"/>
      <c r="W18" s="26" t="s">
        <v>62</v>
      </c>
    </row>
    <row r="19" spans="2:23" ht="58.5" customHeight="1" x14ac:dyDescent="0.25">
      <c r="B19" s="5" t="s">
        <v>63</v>
      </c>
      <c r="C19" s="5" t="s">
        <v>57</v>
      </c>
      <c r="D19" s="5" t="s">
        <v>64</v>
      </c>
      <c r="E19" s="5" t="s">
        <v>37</v>
      </c>
      <c r="F19" s="5" t="s">
        <v>59</v>
      </c>
      <c r="G19" s="5" t="s">
        <v>39</v>
      </c>
      <c r="H19" s="5" t="s">
        <v>65</v>
      </c>
      <c r="I19" s="5" t="s">
        <v>41</v>
      </c>
      <c r="J19" s="5" t="s">
        <v>66</v>
      </c>
      <c r="K19" s="5" t="s">
        <v>51</v>
      </c>
      <c r="O19" s="25">
        <v>3</v>
      </c>
      <c r="P19" s="5">
        <f>Tableau3[[#This Row],[HJ Dev]]*(25%+25%)</f>
        <v>1.5</v>
      </c>
      <c r="Q19" s="26">
        <f>Tableau3[[#This Row],[HJ Analyse et Test]]+Tableau3[[#This Row],[HJ Dev]]</f>
        <v>4.5</v>
      </c>
      <c r="R19" s="25"/>
      <c r="W19" s="26"/>
    </row>
    <row r="20" spans="2:23" ht="186.4" customHeight="1" x14ac:dyDescent="0.25">
      <c r="B20" s="5" t="s">
        <v>67</v>
      </c>
      <c r="C20" s="5" t="s">
        <v>68</v>
      </c>
      <c r="D20" s="5" t="s">
        <v>68</v>
      </c>
      <c r="E20" s="5" t="s">
        <v>37</v>
      </c>
      <c r="F20" s="5" t="s">
        <v>38</v>
      </c>
      <c r="G20" s="5" t="s">
        <v>39</v>
      </c>
      <c r="H20" s="5" t="s">
        <v>69</v>
      </c>
      <c r="I20" s="5" t="s">
        <v>41</v>
      </c>
      <c r="J20" s="5" t="s">
        <v>70</v>
      </c>
      <c r="K20" s="5" t="s">
        <v>51</v>
      </c>
      <c r="O20" s="25">
        <v>1</v>
      </c>
      <c r="P20" s="5">
        <f>Tableau3[[#This Row],[HJ Dev]]*(25%+25%)</f>
        <v>0.5</v>
      </c>
      <c r="Q20" s="26">
        <f>Tableau3[[#This Row],[HJ Analyse et Test]]+Tableau3[[#This Row],[HJ Dev]]</f>
        <v>1.5</v>
      </c>
      <c r="R20" s="25"/>
      <c r="W20" s="26"/>
    </row>
    <row r="21" spans="2:23" ht="121.9" customHeight="1" x14ac:dyDescent="0.25">
      <c r="B21" s="5" t="s">
        <v>71</v>
      </c>
      <c r="C21" s="5" t="s">
        <v>72</v>
      </c>
      <c r="D21" s="5" t="s">
        <v>73</v>
      </c>
      <c r="E21" s="5" t="s">
        <v>37</v>
      </c>
      <c r="F21" s="5" t="s">
        <v>38</v>
      </c>
      <c r="G21" s="5" t="s">
        <v>39</v>
      </c>
      <c r="H21" s="5" t="s">
        <v>74</v>
      </c>
      <c r="I21" s="5" t="s">
        <v>41</v>
      </c>
      <c r="J21" s="5" t="s">
        <v>75</v>
      </c>
      <c r="K21" s="5" t="s">
        <v>51</v>
      </c>
      <c r="O21" s="25">
        <v>0</v>
      </c>
      <c r="P21" s="5">
        <f>Tableau3[[#This Row],[HJ Dev]]*(25%+25%)</f>
        <v>0</v>
      </c>
      <c r="Q21" s="5">
        <f>Tableau3[[#This Row],[HJ Analyse et Test]]+Tableau3[[#This Row],[HJ Dev]]</f>
        <v>0</v>
      </c>
      <c r="R21" s="25"/>
      <c r="W21" s="26"/>
    </row>
    <row r="22" spans="2:23" ht="88.9" customHeight="1" x14ac:dyDescent="0.25">
      <c r="B22" s="5" t="s">
        <v>76</v>
      </c>
      <c r="C22" s="5" t="s">
        <v>77</v>
      </c>
      <c r="D22" s="5" t="s">
        <v>77</v>
      </c>
      <c r="E22" s="5" t="s">
        <v>37</v>
      </c>
      <c r="F22" s="5" t="s">
        <v>38</v>
      </c>
      <c r="G22" s="5" t="s">
        <v>39</v>
      </c>
      <c r="H22" s="5" t="s">
        <v>77</v>
      </c>
      <c r="I22" s="5" t="s">
        <v>41</v>
      </c>
      <c r="J22" s="5" t="s">
        <v>78</v>
      </c>
      <c r="K22" s="5" t="s">
        <v>43</v>
      </c>
      <c r="O22" s="25">
        <v>0</v>
      </c>
      <c r="P22" s="5">
        <f>Tableau3[[#This Row],[HJ Dev]]*(25%+25%)</f>
        <v>0</v>
      </c>
      <c r="Q22" s="26">
        <f>Tableau3[[#This Row],[HJ Analyse et Test]]+Tableau3[[#This Row],[HJ Dev]]</f>
        <v>0</v>
      </c>
      <c r="R22" s="25"/>
      <c r="W22" s="26"/>
    </row>
    <row r="23" spans="2:23" ht="65.650000000000006" customHeight="1" x14ac:dyDescent="0.25">
      <c r="B23" s="5" t="s">
        <v>79</v>
      </c>
      <c r="C23" s="5" t="s">
        <v>77</v>
      </c>
      <c r="D23" s="5" t="s">
        <v>80</v>
      </c>
      <c r="E23" s="5" t="s">
        <v>37</v>
      </c>
      <c r="F23" s="5" t="s">
        <v>38</v>
      </c>
      <c r="G23" s="5" t="s">
        <v>39</v>
      </c>
      <c r="H23" s="5" t="s">
        <v>80</v>
      </c>
      <c r="I23" s="5" t="s">
        <v>41</v>
      </c>
      <c r="J23" s="5" t="s">
        <v>81</v>
      </c>
      <c r="K23" s="5" t="s">
        <v>51</v>
      </c>
      <c r="O23" s="25">
        <v>2</v>
      </c>
      <c r="P23" s="5">
        <f>Tableau3[[#This Row],[HJ Dev]]*(25%+25%)</f>
        <v>1</v>
      </c>
      <c r="Q23" s="26">
        <f>Tableau3[[#This Row],[HJ Analyse et Test]]+Tableau3[[#This Row],[HJ Dev]]</f>
        <v>3</v>
      </c>
      <c r="R23" s="25"/>
      <c r="W23" s="26"/>
    </row>
    <row r="24" spans="2:23" ht="56.65" customHeight="1" x14ac:dyDescent="0.25">
      <c r="B24" s="5" t="s">
        <v>82</v>
      </c>
      <c r="C24" s="5" t="s">
        <v>83</v>
      </c>
      <c r="D24" s="5" t="s">
        <v>83</v>
      </c>
      <c r="E24" s="5" t="s">
        <v>37</v>
      </c>
      <c r="F24" s="5" t="s">
        <v>38</v>
      </c>
      <c r="G24" s="5" t="s">
        <v>39</v>
      </c>
      <c r="H24" s="5" t="s">
        <v>69</v>
      </c>
      <c r="I24" s="5" t="s">
        <v>41</v>
      </c>
      <c r="J24" s="5" t="s">
        <v>84</v>
      </c>
      <c r="K24" s="5" t="s">
        <v>51</v>
      </c>
      <c r="O24" s="25">
        <v>2</v>
      </c>
      <c r="P24" s="5">
        <f>Tableau3[[#This Row],[HJ Dev]]*(25%+25%)</f>
        <v>1</v>
      </c>
      <c r="Q24" s="26">
        <f>Tableau3[[#This Row],[HJ Analyse et Test]]+Tableau3[[#This Row],[HJ Dev]]</f>
        <v>3</v>
      </c>
      <c r="R24" s="25"/>
      <c r="W24" s="26"/>
    </row>
    <row r="25" spans="2:23" ht="199.9" customHeight="1" x14ac:dyDescent="0.25">
      <c r="B25" s="5" t="s">
        <v>85</v>
      </c>
      <c r="C25" s="5" t="s">
        <v>86</v>
      </c>
      <c r="D25" s="5" t="s">
        <v>86</v>
      </c>
      <c r="E25" s="5" t="s">
        <v>37</v>
      </c>
      <c r="F25" s="5" t="s">
        <v>38</v>
      </c>
      <c r="G25" s="5" t="s">
        <v>39</v>
      </c>
      <c r="H25" s="5" t="s">
        <v>87</v>
      </c>
      <c r="I25" s="5" t="s">
        <v>88</v>
      </c>
      <c r="J25" s="5" t="s">
        <v>89</v>
      </c>
      <c r="K25" s="5" t="s">
        <v>43</v>
      </c>
      <c r="O25" s="25">
        <v>0</v>
      </c>
      <c r="P25" s="5">
        <f>Tableau3[[#This Row],[HJ Dev]]*(25%+25%)</f>
        <v>0</v>
      </c>
      <c r="Q25" s="26">
        <f>Tableau3[[#This Row],[HJ Analyse et Test]]+Tableau3[[#This Row],[HJ Dev]]</f>
        <v>0</v>
      </c>
      <c r="R25" s="25"/>
      <c r="W25" s="26"/>
    </row>
    <row r="26" spans="2:23" ht="12.75" customHeight="1" x14ac:dyDescent="0.25">
      <c r="O26" s="5">
        <f>SUBTOTAL(109,Tableau3[HJ Dev])</f>
        <v>12</v>
      </c>
      <c r="P26" s="5">
        <f>SUBTOTAL(109,Tableau3[HJ Analyse et Test])</f>
        <v>6</v>
      </c>
      <c r="Q26" s="5">
        <f>SUBTOTAL(109,Tableau3[Total HJ])</f>
        <v>18</v>
      </c>
    </row>
  </sheetData>
  <mergeCells count="3">
    <mergeCell ref="R2:W2"/>
    <mergeCell ref="B2:N2"/>
    <mergeCell ref="O2:Q2"/>
  </mergeCells>
  <phoneticPr fontId="2" type="noConversion"/>
  <dataValidations count="1">
    <dataValidation type="whole" operator="greaterThanOrEqual" allowBlank="1" showInputMessage="1" showErrorMessage="1" sqref="O15:Q25"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9E253E9F-6967-4CE3-BEC2-E6EF086F8550}">
          <x14:formula1>
            <xm:f>Params!$C$6:$C$13</xm:f>
          </x14:formula1>
          <xm:sqref>D5</xm:sqref>
        </x14:dataValidation>
        <x14:dataValidation type="list" allowBlank="1" showInputMessage="1" showErrorMessage="1" xr:uid="{63E576AD-8CDE-4B1B-8DEC-1BE67CC8DE6D}">
          <x14:formula1>
            <xm:f>Params!$E$6:$E$13</xm:f>
          </x14:formula1>
          <xm:sqref>G15:G25</xm:sqref>
        </x14:dataValidation>
        <x14:dataValidation type="list" allowBlank="1" showInputMessage="1" showErrorMessage="1" xr:uid="{C43D2377-E8A5-4EC4-8F56-2516FCD07F2A}">
          <x14:formula1>
            <xm:f>Params!$F$6:$F$15</xm:f>
          </x14:formula1>
          <xm:sqref>I15:I25</xm:sqref>
        </x14:dataValidation>
        <x14:dataValidation type="list" allowBlank="1" showInputMessage="1" showErrorMessage="1" xr:uid="{06B2A4DB-2A94-4B0B-971B-CDFF438E23BA}">
          <x14:formula1>
            <xm:f>Params!$H$6:$H$12</xm:f>
          </x14:formula1>
          <xm:sqref>N15:N25</xm:sqref>
        </x14:dataValidation>
        <x14:dataValidation type="list" allowBlank="1" showInputMessage="1" showErrorMessage="1" xr:uid="{1F2CF1C1-BE35-4DC9-A975-F49F788F3D6A}">
          <x14:formula1>
            <xm:f>Params!$I$6:$I$9</xm:f>
          </x14:formula1>
          <xm:sqref>L15:L25</xm:sqref>
        </x14:dataValidation>
        <x14:dataValidation type="list" allowBlank="1" showInputMessage="1" showErrorMessage="1" xr:uid="{63FB3CBD-0303-4DD5-A1D9-0AE10EE7B36C}">
          <x14:formula1>
            <xm:f>Params!$D$6:$D$13</xm:f>
          </x14:formula1>
          <xm:sqref>E15:E25</xm:sqref>
        </x14:dataValidation>
        <x14:dataValidation type="list" allowBlank="1" showInputMessage="1" showErrorMessage="1" xr:uid="{ACD971DD-EBC0-49A2-8B0F-955749BFC348}">
          <x14:formula1>
            <xm:f>Params!$J$6:$J$15</xm:f>
          </x14:formula1>
          <xm:sqref>F15:F25</xm:sqref>
        </x14:dataValidation>
        <x14:dataValidation type="list" allowBlank="1" showInputMessage="1" showErrorMessage="1" xr:uid="{F0C8D940-31FB-46AC-BA21-E6883C924C85}">
          <x14:formula1>
            <xm:f>Params!$B$6:$B$19</xm:f>
          </x14:formula1>
          <xm:sqref>C15:C25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8"/>
  <sheetViews>
    <sheetView zoomScale="80" zoomScaleNormal="80" workbookViewId="0">
      <selection activeCell="D25" sqref="D25"/>
    </sheetView>
  </sheetViews>
  <sheetFormatPr baseColWidth="10" defaultColWidth="11.453125" defaultRowHeight="14.5" x14ac:dyDescent="0.35"/>
  <cols>
    <col min="1" max="1" width="12" style="2" customWidth="1"/>
    <col min="2" max="2" width="10.26953125" style="2" customWidth="1"/>
    <col min="3" max="3" width="11.453125" style="2"/>
    <col min="4" max="4" width="58.26953125" style="2" customWidth="1"/>
    <col min="5" max="5" width="15.7265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90</v>
      </c>
      <c r="B3" s="47" t="s">
        <v>0</v>
      </c>
      <c r="C3" s="48"/>
      <c r="D3" s="48"/>
      <c r="E3" s="48"/>
      <c r="F3" s="48"/>
      <c r="G3" s="49"/>
    </row>
    <row r="4" spans="1:7" x14ac:dyDescent="0.35">
      <c r="B4" s="3"/>
      <c r="C4" s="4"/>
      <c r="D4" s="4"/>
      <c r="E4" s="4"/>
      <c r="F4" s="4"/>
      <c r="G4" s="4"/>
    </row>
    <row r="5" spans="1:7" x14ac:dyDescent="0.35">
      <c r="B5" s="7" t="str">
        <f>'Gestion Exigences'!B5</f>
        <v>BU</v>
      </c>
      <c r="C5" s="7"/>
      <c r="D5" s="7" t="str">
        <f>'Gestion Exigences'!D5</f>
        <v xml:space="preserve">SF </v>
      </c>
      <c r="E5" s="4"/>
      <c r="F5" s="4"/>
      <c r="G5" s="4"/>
    </row>
    <row r="6" spans="1:7" x14ac:dyDescent="0.35">
      <c r="B6" s="7" t="str">
        <f>'Gestion Exigences'!B6</f>
        <v>Client</v>
      </c>
      <c r="C6" s="7"/>
      <c r="D6" s="7" t="str">
        <f>'Gestion Exigences'!D6</f>
        <v>TBC</v>
      </c>
      <c r="E6" s="4"/>
      <c r="F6" s="4"/>
      <c r="G6" s="4"/>
    </row>
    <row r="7" spans="1:7" x14ac:dyDescent="0.35">
      <c r="B7" s="7" t="str">
        <f>'Gestion Exigences'!B7</f>
        <v>Projet</v>
      </c>
      <c r="C7" s="7"/>
      <c r="D7" s="7" t="str">
        <f>'Gestion Exigences'!D7</f>
        <v>TBC</v>
      </c>
      <c r="E7" s="4"/>
      <c r="F7" s="4"/>
      <c r="G7" s="4"/>
    </row>
    <row r="8" spans="1:7" x14ac:dyDescent="0.35">
      <c r="B8" s="7" t="str">
        <f>'Gestion Exigences'!B8</f>
        <v>Réf BPA du Devis</v>
      </c>
      <c r="C8" s="7"/>
      <c r="D8" s="7" t="str">
        <f>'Gestion Exigences'!D8</f>
        <v>TBC</v>
      </c>
      <c r="E8" s="4"/>
      <c r="F8" s="4"/>
      <c r="G8" s="4"/>
    </row>
    <row r="9" spans="1:7" x14ac:dyDescent="0.35">
      <c r="B9" s="7" t="str">
        <f>'Gestion Exigences'!B9</f>
        <v>Réf BPA du Projet</v>
      </c>
      <c r="C9" s="7"/>
      <c r="D9" s="7" t="str">
        <f>'Gestion Exigences'!D9</f>
        <v>TBC</v>
      </c>
      <c r="E9" s="4"/>
      <c r="F9" s="4"/>
      <c r="G9" s="4"/>
    </row>
    <row r="10" spans="1:7" x14ac:dyDescent="0.35">
      <c r="B10" s="7"/>
      <c r="C10" s="7"/>
      <c r="D10" s="7"/>
      <c r="E10" s="4"/>
      <c r="F10" s="4"/>
      <c r="G10" s="4"/>
    </row>
    <row r="11" spans="1:7" x14ac:dyDescent="0.35">
      <c r="B11" s="21" t="str">
        <f>'Gestion Exigences'!B11</f>
        <v>MD203:V1.1</v>
      </c>
      <c r="C11" s="21"/>
      <c r="D11" s="7"/>
      <c r="E11" s="4"/>
      <c r="F11" s="4"/>
      <c r="G11" s="4"/>
    </row>
    <row r="12" spans="1:7" x14ac:dyDescent="0.35">
      <c r="B12" s="3"/>
      <c r="C12" s="4"/>
      <c r="D12" s="4"/>
      <c r="E12" s="4"/>
      <c r="F12" s="4"/>
      <c r="G12" s="4"/>
    </row>
    <row r="13" spans="1:7" x14ac:dyDescent="0.35">
      <c r="B13" s="12" t="s">
        <v>91</v>
      </c>
      <c r="C13" s="12" t="s">
        <v>92</v>
      </c>
      <c r="D13" s="12" t="s">
        <v>93</v>
      </c>
      <c r="E13" s="12" t="s">
        <v>94</v>
      </c>
      <c r="F13" s="12" t="s">
        <v>95</v>
      </c>
      <c r="G13" s="12" t="s">
        <v>96</v>
      </c>
    </row>
    <row r="14" spans="1:7" ht="29.65" customHeight="1" x14ac:dyDescent="0.35">
      <c r="B14" s="13"/>
      <c r="C14" s="14"/>
      <c r="D14" s="9"/>
      <c r="E14" s="13"/>
      <c r="F14" s="8"/>
      <c r="G14" s="13"/>
    </row>
    <row r="15" spans="1:7" x14ac:dyDescent="0.35">
      <c r="B15" s="1"/>
      <c r="C15" s="15"/>
      <c r="D15" s="1"/>
      <c r="E15" s="1"/>
      <c r="F15" s="1"/>
      <c r="G15" s="1"/>
    </row>
    <row r="16" spans="1:7" x14ac:dyDescent="0.35">
      <c r="B16" s="1"/>
      <c r="C16" s="15"/>
      <c r="D16" s="1"/>
      <c r="E16" s="1"/>
      <c r="F16" s="1"/>
      <c r="G16" s="1"/>
    </row>
    <row r="17" spans="2:7" x14ac:dyDescent="0.35">
      <c r="B17" s="1"/>
      <c r="C17" s="1"/>
      <c r="D17" s="1"/>
      <c r="E17" s="1"/>
      <c r="F17" s="1"/>
      <c r="G17" s="1"/>
    </row>
    <row r="18" spans="2:7" x14ac:dyDescent="0.35">
      <c r="B18" s="1"/>
      <c r="C18" s="1"/>
      <c r="D18" s="1"/>
      <c r="E18" s="1"/>
      <c r="F18" s="1"/>
      <c r="G18" s="1"/>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15"/>
  <sheetViews>
    <sheetView topLeftCell="A12" workbookViewId="0">
      <selection activeCell="B16" sqref="B16"/>
    </sheetView>
  </sheetViews>
  <sheetFormatPr baseColWidth="10" defaultColWidth="11.453125" defaultRowHeight="13" x14ac:dyDescent="0.25"/>
  <cols>
    <col min="1" max="3" width="11.453125" style="5"/>
    <col min="4" max="5" width="19.7265625" style="5" customWidth="1"/>
    <col min="6" max="6" width="23.7265625" style="5" customWidth="1"/>
    <col min="7" max="7" width="14.453125" style="5" customWidth="1"/>
    <col min="8" max="8" width="23.7265625" style="5" customWidth="1"/>
    <col min="9" max="9" width="25.26953125" style="5" customWidth="1"/>
    <col min="10" max="10" width="20.453125" style="5" customWidth="1"/>
    <col min="11" max="16384" width="11.453125" style="5"/>
  </cols>
  <sheetData>
    <row r="2" spans="2:10" x14ac:dyDescent="0.25">
      <c r="B2" s="20" t="s">
        <v>97</v>
      </c>
      <c r="C2" s="20"/>
      <c r="D2" s="19">
        <v>0.25</v>
      </c>
    </row>
    <row r="3" spans="2:10" x14ac:dyDescent="0.25">
      <c r="B3" s="20" t="s">
        <v>98</v>
      </c>
      <c r="C3" s="20"/>
      <c r="D3" s="19">
        <v>0.25</v>
      </c>
    </row>
    <row r="5" spans="2:10" ht="26" x14ac:dyDescent="0.25">
      <c r="B5" s="16" t="s">
        <v>99</v>
      </c>
      <c r="C5" s="16" t="s">
        <v>3</v>
      </c>
      <c r="D5" s="16" t="s">
        <v>15</v>
      </c>
      <c r="E5" s="16" t="s">
        <v>100</v>
      </c>
      <c r="F5" s="16" t="s">
        <v>19</v>
      </c>
      <c r="G5" s="16" t="s">
        <v>101</v>
      </c>
      <c r="H5" s="16" t="s">
        <v>24</v>
      </c>
      <c r="I5" s="16" t="s">
        <v>102</v>
      </c>
      <c r="J5" s="16" t="s">
        <v>16</v>
      </c>
    </row>
    <row r="6" spans="2:10" ht="26" x14ac:dyDescent="0.25">
      <c r="B6" s="5" t="s">
        <v>103</v>
      </c>
      <c r="C6" s="5" t="s">
        <v>4</v>
      </c>
      <c r="D6" s="5" t="s">
        <v>37</v>
      </c>
      <c r="E6" s="5" t="s">
        <v>39</v>
      </c>
      <c r="F6" s="5" t="s">
        <v>104</v>
      </c>
      <c r="G6" s="5" t="s">
        <v>105</v>
      </c>
      <c r="H6" s="5" t="s">
        <v>106</v>
      </c>
      <c r="I6" s="5" t="s">
        <v>107</v>
      </c>
      <c r="J6" s="5" t="s">
        <v>108</v>
      </c>
    </row>
    <row r="7" spans="2:10" ht="52" x14ac:dyDescent="0.25">
      <c r="B7" s="5" t="s">
        <v>35</v>
      </c>
      <c r="C7" s="5" t="s">
        <v>109</v>
      </c>
      <c r="D7" s="5" t="s">
        <v>110</v>
      </c>
      <c r="E7" s="5" t="s">
        <v>111</v>
      </c>
      <c r="F7" s="5" t="s">
        <v>41</v>
      </c>
      <c r="G7" s="5" t="s">
        <v>112</v>
      </c>
      <c r="H7" s="5" t="s">
        <v>113</v>
      </c>
      <c r="I7" s="5" t="s">
        <v>114</v>
      </c>
      <c r="J7" s="5" t="s">
        <v>115</v>
      </c>
    </row>
    <row r="8" spans="2:10" ht="52" x14ac:dyDescent="0.25">
      <c r="B8" s="5" t="s">
        <v>57</v>
      </c>
      <c r="C8" s="5" t="s">
        <v>116</v>
      </c>
      <c r="D8" s="5" t="s">
        <v>117</v>
      </c>
      <c r="E8" s="5" t="s">
        <v>118</v>
      </c>
      <c r="F8" s="5" t="s">
        <v>88</v>
      </c>
      <c r="G8" s="5" t="s">
        <v>44</v>
      </c>
      <c r="H8" s="5" t="s">
        <v>44</v>
      </c>
      <c r="I8" s="5" t="s">
        <v>44</v>
      </c>
      <c r="J8" s="5" t="s">
        <v>38</v>
      </c>
    </row>
    <row r="9" spans="2:10" ht="39" x14ac:dyDescent="0.25">
      <c r="B9" s="5" t="s">
        <v>86</v>
      </c>
      <c r="D9" s="5" t="s">
        <v>119</v>
      </c>
      <c r="E9" s="5" t="s">
        <v>120</v>
      </c>
      <c r="F9" s="5" t="s">
        <v>121</v>
      </c>
      <c r="J9" s="5" t="s">
        <v>59</v>
      </c>
    </row>
    <row r="10" spans="2:10" ht="39" x14ac:dyDescent="0.25">
      <c r="B10" s="5" t="s">
        <v>72</v>
      </c>
      <c r="D10" s="5" t="s">
        <v>122</v>
      </c>
      <c r="E10" s="5" t="s">
        <v>123</v>
      </c>
      <c r="F10" s="5" t="s">
        <v>124</v>
      </c>
      <c r="J10" s="5" t="s">
        <v>48</v>
      </c>
    </row>
    <row r="11" spans="2:10" ht="52" x14ac:dyDescent="0.25">
      <c r="B11" s="5" t="s">
        <v>46</v>
      </c>
      <c r="D11" s="5" t="s">
        <v>125</v>
      </c>
      <c r="F11" s="5" t="s">
        <v>126</v>
      </c>
      <c r="J11" s="5" t="s">
        <v>127</v>
      </c>
    </row>
    <row r="12" spans="2:10" ht="52" x14ac:dyDescent="0.25">
      <c r="B12" s="5" t="s">
        <v>53</v>
      </c>
      <c r="F12" s="5" t="s">
        <v>128</v>
      </c>
      <c r="J12" s="5" t="s">
        <v>129</v>
      </c>
    </row>
    <row r="13" spans="2:10" ht="39" x14ac:dyDescent="0.25">
      <c r="B13" s="5" t="s">
        <v>77</v>
      </c>
    </row>
    <row r="14" spans="2:10" ht="65" x14ac:dyDescent="0.25">
      <c r="B14" s="5" t="s">
        <v>68</v>
      </c>
      <c r="J14" s="5" t="s">
        <v>130</v>
      </c>
    </row>
    <row r="15" spans="2:10" ht="65" x14ac:dyDescent="0.25">
      <c r="B15" s="5" t="s">
        <v>83</v>
      </c>
      <c r="J15" s="5" t="s">
        <v>131</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8AE19939-7D21-4DED-B205-B21A8B5F6F74}"/>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5f2f9e80-f74a-40c7-b145-b94d8e4966f0"/>
    <ds:schemaRef ds:uri="43b908ec-9e92-424c-a4ad-3174bac6e8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2025-08-20T23:33:58Z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