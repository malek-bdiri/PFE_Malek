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mc:AlternateContent xmlns:mc="http://schemas.openxmlformats.org/markup-compatibility/2006">
    <mc:Choice Requires="x15">
      <x15ac:absPath xmlns:x15ac="http://schemas.microsoft.com/office/spreadsheetml/2010/11/ac" url="https://momsoftware.sharepoint.com/sites/Commercial/Documents partages/06 Prospects/021 APEM/22 Digitalisation StandUp Meeting/2 Préparation Offre/"/>
    </mc:Choice>
  </mc:AlternateContent>
  <xr:revisionPtr revIDLastSave="5" documentId="8_{78DBCE08-C13D-4C8D-BF80-51DC72F6B9B0}" xr6:coauthVersionLast="47" xr6:coauthVersionMax="47" xr10:uidLastSave="{A5B08DBF-E22A-4C25-A3F2-98E645A78F53}"/>
  <bookViews>
    <workbookView xWindow="-108" yWindow="-108" windowWidth="23256" windowHeight="12456" tabRatio="620" firstSheet="1"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Exigences'!$C$2:$I$14</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27" l="1"/>
  <c r="O24" i="27"/>
  <c r="O25" i="27"/>
  <c r="O26" i="27"/>
  <c r="O27" i="27"/>
  <c r="O28" i="27"/>
  <c r="O29" i="27"/>
  <c r="O30" i="27"/>
  <c r="P30" i="27" s="1"/>
  <c r="O31" i="27"/>
  <c r="O32" i="27"/>
  <c r="O33" i="27"/>
  <c r="P33" i="27" s="1"/>
  <c r="O34" i="27"/>
  <c r="O35" i="27"/>
  <c r="P35" i="27" s="1"/>
  <c r="O36" i="27"/>
  <c r="P36" i="27" s="1"/>
  <c r="O37" i="27"/>
  <c r="P37" i="27" s="1"/>
  <c r="O38" i="27"/>
  <c r="P38" i="27" s="1"/>
  <c r="O22" i="27"/>
  <c r="P31" i="27"/>
  <c r="P32" i="27"/>
  <c r="P34" i="27"/>
  <c r="P22" i="27" l="1"/>
  <c r="P23" i="27"/>
  <c r="P24" i="27"/>
  <c r="P25" i="27"/>
  <c r="P26" i="27"/>
  <c r="P27" i="27"/>
  <c r="P28" i="27"/>
  <c r="P29" i="27"/>
  <c r="O15" i="27"/>
  <c r="P15" i="27" s="1"/>
  <c r="O16" i="27"/>
  <c r="P16" i="27" s="1"/>
  <c r="O17" i="27"/>
  <c r="P17" i="27" s="1"/>
  <c r="O18" i="27"/>
  <c r="P18" i="27" s="1"/>
  <c r="O19" i="27"/>
  <c r="P19" i="27" s="1"/>
  <c r="O20" i="27"/>
  <c r="P20" i="27" s="1"/>
  <c r="O21" i="27"/>
  <c r="P21" i="27" s="1"/>
  <c r="O12" i="27"/>
  <c r="P12" i="27" s="1"/>
  <c r="O13" i="27"/>
  <c r="P13" i="27" s="1"/>
  <c r="O14" i="27"/>
  <c r="P14" i="27" s="1"/>
  <c r="D5" i="29"/>
  <c r="D6" i="29"/>
  <c r="D7" i="29"/>
  <c r="D8" i="29"/>
  <c r="C10" i="29"/>
  <c r="C11" i="29"/>
  <c r="B6" i="29"/>
  <c r="B7" i="29"/>
  <c r="B8" i="29"/>
  <c r="B10" i="29"/>
  <c r="B11" i="29"/>
  <c r="B5" i="29"/>
  <c r="N39" i="27"/>
  <c r="P39" i="27"/>
  <c r="P44" i="27"/>
</calcChain>
</file>

<file path=xl/sharedStrings.xml><?xml version="1.0" encoding="utf-8"?>
<sst xmlns="http://schemas.openxmlformats.org/spreadsheetml/2006/main" count="231" uniqueCount="154">
  <si>
    <t>Client</t>
  </si>
  <si>
    <t>Secteur</t>
  </si>
  <si>
    <t>Nombre de ligne de production</t>
  </si>
  <si>
    <t>Nombre de machine</t>
  </si>
  <si>
    <t>Nombre de poste manuel</t>
  </si>
  <si>
    <t>Gestion Exigences Projet</t>
  </si>
  <si>
    <t>Chiffrage Réalisation (SF only)</t>
  </si>
  <si>
    <t>Revue et Vérification Pendant la Conception</t>
  </si>
  <si>
    <t>BU</t>
  </si>
  <si>
    <t>SF</t>
  </si>
  <si>
    <t>APEM</t>
  </si>
  <si>
    <t>Projet</t>
  </si>
  <si>
    <t>Digitalisation Stand Up Meeting</t>
  </si>
  <si>
    <t>Réf Modèle Document</t>
  </si>
  <si>
    <t>MD203</t>
  </si>
  <si>
    <t>Confidentiel | Usage Client Limité</t>
  </si>
  <si>
    <t>Version Modèle Document</t>
  </si>
  <si>
    <t>V1.5</t>
  </si>
  <si>
    <t>ID</t>
  </si>
  <si>
    <t>Exigence</t>
  </si>
  <si>
    <t>Nature</t>
  </si>
  <si>
    <t>Catégorie</t>
  </si>
  <si>
    <t>Exigence idenfiée pendant la phase</t>
  </si>
  <si>
    <t>Description de l'exigence</t>
  </si>
  <si>
    <t>Source</t>
  </si>
  <si>
    <t>Desciption de la solution MOMSOFT</t>
  </si>
  <si>
    <t>Ecart</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</si>
  <si>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</si>
  <si>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</si>
  <si>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</si>
  <si>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</si>
  <si>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</si>
  <si>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</si>
  <si>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</si>
  <si>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</si>
  <si>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</si>
  <si>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</si>
  <si>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</si>
  <si>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</si>
  <si>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</si>
  <si>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</si>
  <si>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Fonctionnelle</t>
  </si>
  <si>
    <t>SF-Fonctionnelle</t>
  </si>
  <si>
    <t>Commerciale</t>
  </si>
  <si>
    <t>Configurer les donnnées nécessaires de l'usine</t>
  </si>
  <si>
    <t>Workshop/réunion client</t>
  </si>
  <si>
    <t>La solution comprend un Module Core permettant la modélisation, la gestion et la planification d'une usine connectée :
•Modélisation hiérarchique de l’usine : Sites, ateliers, lignes de production, stations, machines
•Gestion des produits
•Gestion des incidents et des défauts
•Gestion des utilisateurs et des autorisations : Rôles et accès contrôlés
•Gestion des équipes
•Planification des lignes et des équipes</t>
  </si>
  <si>
    <t>Validée</t>
  </si>
  <si>
    <t>Mahdi B.</t>
  </si>
  <si>
    <t>N/A</t>
  </si>
  <si>
    <t>E002</t>
  </si>
  <si>
    <t>Importation des données</t>
  </si>
  <si>
    <t>Automatiser la configuration des données</t>
  </si>
  <si>
    <t>la solution intègre un Module d’Intégration SI pour l’automatisation des échanges de données, incluant :
•Importation automatique de données à partir de fichiers CSV ou des systèmes d’information clients
•Intégration des principales entités : Produits, utilisateurs, outillages
•Gestion détaillée des erreurs pour une intégration fluide</t>
  </si>
  <si>
    <t>E003</t>
  </si>
  <si>
    <t>Pilotage de l'îlot : Suivi de la performance</t>
  </si>
  <si>
    <t xml:space="preserve">Digitaliser la partie Suivi de la performance du tableau de bord Pilotage de l'ilot. </t>
  </si>
  <si>
    <t>Suivi de la Performance
Ajouter un graphique de suivi de la performance affichant le nombre d'heures réalisées par rapport à l'objectif horaire</t>
  </si>
  <si>
    <t>E004</t>
  </si>
  <si>
    <t>Pilotage de l'îlot : Suivi 5S</t>
  </si>
  <si>
    <t xml:space="preserve">Digitaliser la partie Suivi 5S du tableau de bord Pilotage de l'ilot. </t>
  </si>
  <si>
    <t>Tableau de Bord 5S
•Ajouter la possibilité de charger et afficher des images dans le tableau de bord 5S pour intégrer les standards des îlots
•Afficher le score 5S hebdomadaire par atelier
•Créer, mettre à jour et suivre les actions issues des évaluations 5S</t>
  </si>
  <si>
    <t>E005</t>
  </si>
  <si>
    <t>Pilotage de l'îlot : Suivi QRQC</t>
  </si>
  <si>
    <t>Digitaliser la partie Suivi QRQC du tableau de bord Pilotage de l'ilot.</t>
  </si>
  <si>
    <t>Tableau de Bord QRQC (Quick Response Quality Control)
•Afficher le nombre de QRQC (ouverts, en cours, traités, etc.)
•Présenter le nombre de QRQC par niveau de criticité
•Offrir un accès rapide aux fiches QRQC depuis le tableau de bord
•Créer, mettre à jour et suivre les actions issues des QRQC</t>
  </si>
  <si>
    <t>E006</t>
  </si>
  <si>
    <t>Pilotage de l'îlot : Tour de terrain</t>
  </si>
  <si>
    <t>Digitaliser la partie Tour du terrain du tableau de bord Pilotage de l'ilot.</t>
  </si>
  <si>
    <t>Checklist et Suivi Gemba Walk
•Ajouter une checklist Gemba Walk
•Afficher des statistiques basées sur la checklist
•Mettre en place un tableau de bord des postes de production et de leur statut (Contrôlé, À contrôler)
•Créer, mettre à jour et suivre les actions issues des évaluations Gemba Walk</t>
  </si>
  <si>
    <t>E007</t>
  </si>
  <si>
    <t>Suivi d'activité : KPI du mois</t>
  </si>
  <si>
    <t>Digitaliser la partie KPI du mois du tableau de bord Suivi de l'activité.</t>
  </si>
  <si>
    <t>Tableaux de Bord KPI : Sécurité, Environnement, Qualité et OTD
Ajouter un graphique Sécurité/Environnement dans la section KPI mensuelle :
•Présente le nombre d’accidents avec arrêt (APEM TN) et les incidents environnementaux (SACEMA) dans toutes les usines du groupe
•Données issues du système ERP
Ajouter un graphique de Performance Qualité :
•Affiche le PPM mensuel vs. l’objectif PPM vs. la moyenne PPM sur 12 mois glissants
•Données issues du système ERP
Ajouter un graphique de suivi OTD (On-Time Delivery) :
•Les dates de fin planifiées sont extraites d’un fichier Excel chargé chaque semaine
•Les dates de fin réelles sont issues du système ERP
Afficher la Marge sur coût direct et les Ventes Sacema, avec des données issues de l’ERP</t>
  </si>
  <si>
    <t>E008</t>
  </si>
  <si>
    <t>Suivi d'activité : KPI de la semaine</t>
  </si>
  <si>
    <t>Digitaliser la partie KPI de la semaine</t>
  </si>
  <si>
    <t>Ajouter le graphique Nombre d'incidents sécurité et environnement : données saisies manuellement
Ajouter le graphique Nombre d'OF refusé ; données saisies manuellement.
Ajouter le graphique Taux de respect engagement : OTD : OF clôturé à l'heure / OF Planifé.
Ajouter le graphique Nombre d'heure non productivres : Données saisies manuellement.</t>
  </si>
  <si>
    <t>E009</t>
  </si>
  <si>
    <t>Gestion de tâches</t>
  </si>
  <si>
    <t>Digitaliser la gestion des tâches</t>
  </si>
  <si>
    <t>Gestion des Tâches (Adaptation du Module Standard de Smart Factory)
Ajouts et modifications :
•Ajouter un type de tâche "Suggestion d’amélioration"
•Ajouter "Réclamation client" comme source de tâche
•Limiter la planification des tâches à 2 semaines pour les tâches de priorité haute et moyenne
•Une tâche ne peut être reportée qu’une seule fois après sa création</t>
  </si>
  <si>
    <t>E010</t>
  </si>
  <si>
    <t>Instructions de travail</t>
  </si>
  <si>
    <t>Permettre d'afficher des instructions de travail au niveau du Tableau de bord</t>
  </si>
  <si>
    <t>Intégration des Instructions de Travail
Permettre la sélection et l’affichage d’un fichier depuis le module Instructions de Travail dans le tableau de bord</t>
  </si>
  <si>
    <t xml:space="preserve">Ajouter le groupe d'indicateur Sécurité et Environnement </t>
  </si>
  <si>
    <t>Méthode standard Chargement Excel</t>
  </si>
  <si>
    <t>Fichier Standard SF</t>
  </si>
  <si>
    <t>Chargement des données à partir de l'ERP par webservice : A l'appui d'un bouton ou automatiquement selon une fréquence</t>
  </si>
  <si>
    <t>avec nouveau service</t>
  </si>
  <si>
    <t>Ajouter le groupe d'indicateur Quality performance PPM</t>
  </si>
  <si>
    <t>Ajouter le groupe d'indicateur Delays du groupe</t>
  </si>
  <si>
    <t>Avec traitement fichier Excel date fin planifié et Webservice Date fin réelle</t>
  </si>
  <si>
    <t>Ajouter le groupe d'indicateur Costs</t>
  </si>
  <si>
    <t>Paramètrage de l'affichage des indicateurs groupes</t>
  </si>
  <si>
    <t>Ajouter le bloc d'indicateur Production tracking</t>
  </si>
  <si>
    <t>Ajouter le groupe d'indicateur Delays</t>
  </si>
  <si>
    <t>Ajouter le groupe d'indicateur 6s</t>
  </si>
  <si>
    <t>Ajouter le groupe d'indicateur QRQC</t>
  </si>
  <si>
    <t>Ajouter le groupe d'indicateur Gemba Walk</t>
  </si>
  <si>
    <t xml:space="preserve">Adapter le groupe d'indicateur Sécurité et Environnement </t>
  </si>
  <si>
    <t>Adapter le groupe Quality</t>
  </si>
  <si>
    <t>Adapter le groupe Cost</t>
  </si>
  <si>
    <t>Configuration des Vues par Entités</t>
  </si>
  <si>
    <t>Configuration de la période de filtrage par défaut</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</si>
  <si>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</si>
  <si>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</si>
  <si>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</si>
  <si>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</si>
  <si>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</si>
  <si>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</si>
  <si>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</si>
  <si>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</si>
  <si>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</si>
  <si>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</si>
  <si>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</si>
  <si>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</si>
  <si>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</si>
  <si>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</si>
  <si>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</si>
  <si>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Exigence identifiée pendant la phase</t>
  </si>
  <si>
    <t>Oui/Non</t>
  </si>
  <si>
    <t>Statut Interne</t>
  </si>
  <si>
    <t>CdC client</t>
  </si>
  <si>
    <t>Oui</t>
  </si>
  <si>
    <t>Validée par le client</t>
  </si>
  <si>
    <t>*** SF</t>
  </si>
  <si>
    <t>R&amp;D</t>
  </si>
  <si>
    <t>Performance</t>
  </si>
  <si>
    <t>Conception</t>
  </si>
  <si>
    <t>Non</t>
  </si>
  <si>
    <t>Non validée par client</t>
  </si>
  <si>
    <t>Non validée</t>
  </si>
  <si>
    <t>SF-Processus</t>
  </si>
  <si>
    <t>A définir</t>
  </si>
  <si>
    <t>Reglementaire</t>
  </si>
  <si>
    <t>Réalisation</t>
  </si>
  <si>
    <t>Workshop/réunion Interne</t>
  </si>
  <si>
    <t>Sécurité</t>
  </si>
  <si>
    <t>Mise en œuvre</t>
  </si>
  <si>
    <t>Standards client</t>
  </si>
  <si>
    <t>SF-Connectivité Machine</t>
  </si>
  <si>
    <t>Standard Client</t>
  </si>
  <si>
    <t>Support et maintenance</t>
  </si>
  <si>
    <t>Standards MOMSOFT</t>
  </si>
  <si>
    <t>SF-Intégration SI</t>
  </si>
  <si>
    <t>Standard MOMSOFT</t>
  </si>
  <si>
    <t>Reglementation</t>
  </si>
  <si>
    <t>SF-Software</t>
  </si>
  <si>
    <t>Demande modification</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</si>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</sst>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 fillId="5" borderId="1" xfId="0" applyFont="1" applyFill="1" applyBorder="1" applyAlignment="1">
      <alignment vertical="center" wrapText="1"/>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V39" totalsRowCount="1" headerRowDxfId="51" dataDxfId="50">
  <autoFilter ref="B11:V38" xr:uid="{DDEA2C8B-EE0D-4C55-9256-CCC64E002CE6}"/>
  <tableColumns count="21">
    <tableColumn id="1" xr3:uid="{E467E0EE-CDAA-4FF5-85A8-CDC0B23A5AD9}" name="ID" dataDxfId="48" totalsRowDxfId="49"/>
    <tableColumn id="2" xr3:uid="{E53952AC-4972-47BD-8B1D-C7EF23088D0D}" name="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MOMSOFT" dataDxfId="34" totalsRowDxfId="35"/>
    <tableColumn id="17" xr3:uid="{D1BC9C86-C3CE-417F-AC83-FC4786A7656D}" name="Ecart"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defaultColWidth="11.42578125" defaultRowHeight="13.15"/>
  <sheetData>
    <row r="6" spans="2:2">
      <c r="B6" t="s">
        <v>0</v>
      </c>
    </row>
    <row r="7" spans="2:2">
      <c r="B7" t="s">
        <v>1</v>
      </c>
    </row>
    <row r="8" spans="2:2">
      <c r="B8" t="s">
        <v>2</v>
      </c>
    </row>
    <row r="9" spans="2:2">
      <c r="B9" t="s">
        <v>3</v>
      </c>
    </row>
    <row r="10" spans="2:2">
      <c r="B10"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47"/>
  <sheetViews>
    <sheetView tabSelected="1" topLeftCell="G38" zoomScale="85" zoomScaleNormal="85" workbookViewId="0">
      <selection activeCell="A41" sqref="A39:XFD41"/>
    </sheetView>
  </sheetViews>
  <sheetFormatPr defaultColWidth="11.42578125" defaultRowHeight="13.9"/>
  <cols>
    <col min="1" max="1" width="11.42578125" style="1"/>
    <col min="2" max="2" width="6.28515625" style="1" customWidth="1"/>
    <col min="3" max="3" width="29.28515625" style="1" customWidth="1"/>
    <col min="4" max="4" width="32.7109375" style="1" bestFit="1" customWidth="1"/>
    <col min="5" max="5" width="18.28515625" style="1" customWidth="1"/>
    <col min="6" max="6" width="19.42578125" style="1" customWidth="1"/>
    <col min="7" max="7" width="49.7109375" style="1" customWidth="1"/>
    <col min="8" max="8" width="18.42578125" style="1" customWidth="1"/>
    <col min="9" max="9" width="114.28515625" style="1" customWidth="1"/>
    <col min="10" max="10" width="21" style="1" customWidth="1"/>
    <col min="11" max="12" width="13.5703125" style="1" hidden="1" customWidth="1"/>
    <col min="13" max="13" width="15.28515625" style="1" hidden="1" customWidth="1"/>
    <col min="14" max="14" width="11.7109375" style="1" customWidth="1"/>
    <col min="15" max="15" width="15.42578125" style="1" customWidth="1"/>
    <col min="16" max="16" width="13.7109375" style="1" customWidth="1"/>
    <col min="17" max="17" width="39.7109375" style="1" customWidth="1"/>
    <col min="18" max="18" width="15.7109375" style="1" customWidth="1"/>
    <col min="19" max="19" width="20.5703125" style="1" customWidth="1"/>
    <col min="20" max="20" width="20.28515625" style="1" customWidth="1"/>
    <col min="21" max="21" width="15.28515625" style="1" customWidth="1"/>
    <col min="22" max="22" width="58" style="1" customWidth="1"/>
    <col min="23" max="16384" width="11.42578125" style="1"/>
  </cols>
  <sheetData>
    <row r="1" spans="2:22" ht="14.45" thickBot="1"/>
    <row r="2" spans="2:22" ht="21.75" customHeight="1" thickBot="1">
      <c r="B2" s="36" t="s">
        <v>5</v>
      </c>
      <c r="C2" s="37"/>
      <c r="D2" s="37"/>
      <c r="E2" s="37"/>
      <c r="F2" s="37"/>
      <c r="G2" s="37"/>
      <c r="H2" s="37"/>
      <c r="I2" s="37"/>
      <c r="J2" s="37"/>
      <c r="K2" s="37"/>
      <c r="L2" s="37"/>
      <c r="M2" s="38"/>
      <c r="N2" s="39" t="s">
        <v>6</v>
      </c>
      <c r="O2" s="40"/>
      <c r="P2" s="41"/>
      <c r="Q2" s="33" t="s">
        <v>7</v>
      </c>
      <c r="R2" s="34"/>
      <c r="S2" s="34"/>
      <c r="T2" s="34"/>
      <c r="U2" s="34"/>
      <c r="V2" s="35"/>
    </row>
    <row r="3" spans="2:22" ht="53.25" customHeight="1">
      <c r="C3" s="8"/>
      <c r="D3" s="8"/>
      <c r="E3" s="8"/>
      <c r="F3" s="8"/>
      <c r="G3" s="8"/>
      <c r="H3" s="8"/>
      <c r="I3" s="8"/>
    </row>
    <row r="4" spans="2:22" ht="21" customHeight="1">
      <c r="B4" s="23" t="s">
        <v>8</v>
      </c>
      <c r="C4" s="8"/>
      <c r="D4" s="24"/>
      <c r="E4" s="8"/>
      <c r="F4" s="8"/>
      <c r="G4" s="8" t="s">
        <v>9</v>
      </c>
      <c r="H4" s="8"/>
      <c r="I4" s="8"/>
    </row>
    <row r="5" spans="2:22" ht="21.75" customHeight="1">
      <c r="B5" s="20" t="s">
        <v>0</v>
      </c>
      <c r="D5" s="3" t="s">
        <v>10</v>
      </c>
      <c r="E5" s="3"/>
      <c r="F5" s="3"/>
    </row>
    <row r="6" spans="2:22" ht="21" customHeight="1">
      <c r="B6" s="20" t="s">
        <v>11</v>
      </c>
      <c r="D6" s="3" t="s">
        <v>12</v>
      </c>
      <c r="E6" s="3"/>
      <c r="F6" s="3"/>
    </row>
    <row r="7" spans="2:22" ht="14.45">
      <c r="C7" s="3"/>
      <c r="D7" s="17"/>
      <c r="E7" s="17"/>
      <c r="F7" s="17"/>
      <c r="G7" s="17"/>
      <c r="H7" s="17"/>
      <c r="I7" s="17"/>
    </row>
    <row r="8" spans="2:22">
      <c r="B8" s="21" t="s">
        <v>13</v>
      </c>
      <c r="C8" s="22"/>
      <c r="D8" s="21" t="s">
        <v>14</v>
      </c>
      <c r="E8" s="9"/>
      <c r="F8" s="9"/>
      <c r="I8" s="14" t="s">
        <v>15</v>
      </c>
    </row>
    <row r="9" spans="2:22">
      <c r="B9" s="21" t="s">
        <v>16</v>
      </c>
      <c r="C9" s="22"/>
      <c r="D9" s="21" t="s">
        <v>17</v>
      </c>
      <c r="E9" s="9"/>
      <c r="F9" s="9"/>
    </row>
    <row r="10" spans="2:22" ht="14.45" thickBot="1"/>
    <row r="11" spans="2:22" s="10" customFormat="1" ht="28.15" thickBot="1">
      <c r="B11" s="26" t="s">
        <v>18</v>
      </c>
      <c r="C11" s="27" t="s">
        <v>19</v>
      </c>
      <c r="D11" s="27" t="s">
        <v>20</v>
      </c>
      <c r="E11" s="27" t="s">
        <v>21</v>
      </c>
      <c r="F11" s="27" t="s">
        <v>22</v>
      </c>
      <c r="G11" s="27" t="s">
        <v>23</v>
      </c>
      <c r="H11" s="27" t="s">
        <v>24</v>
      </c>
      <c r="I11" s="27" t="s">
        <v>25</v>
      </c>
      <c r="J11" s="27" t="s">
        <v>26</v>
      </c>
      <c r="K11" s="27" t="s">
        <v>27</v>
      </c>
      <c r="L11" s="27" t="s">
        <v>28</v>
      </c>
      <c r="M11" s="28" t="s">
        <v>29</v>
      </c>
      <c r="N11" s="27" t="s">
        <v>30</v>
      </c>
      <c r="O11" s="27" t="s">
        <v>31</v>
      </c>
      <c r="P11" s="27" t="s">
        <v>32</v>
      </c>
      <c r="Q11" s="29" t="s">
        <v>33</v>
      </c>
      <c r="R11" s="30" t="s">
        <v>34</v>
      </c>
      <c r="S11" s="30" t="s">
        <v>35</v>
      </c>
      <c r="T11" s="30" t="s">
        <v>36</v>
      </c>
      <c r="U11" s="30" t="s">
        <v>37</v>
      </c>
      <c r="V11" s="31" t="s">
        <v>38</v>
      </c>
    </row>
    <row r="12" spans="2:22" s="10" customFormat="1" ht="103.9" customHeight="1">
      <c r="B12" s="10" t="s">
        <v>39</v>
      </c>
      <c r="C12" s="10" t="s">
        <v>40</v>
      </c>
      <c r="D12" s="10" t="s">
        <v>41</v>
      </c>
      <c r="E12" s="10" t="s">
        <v>42</v>
      </c>
      <c r="F12" s="10" t="s">
        <v>43</v>
      </c>
      <c r="G12" s="10" t="s">
        <v>44</v>
      </c>
      <c r="H12" s="10" t="s">
        <v>45</v>
      </c>
      <c r="I12" s="10" t="s">
        <v>46</v>
      </c>
      <c r="K12" s="10" t="s">
        <v>47</v>
      </c>
      <c r="L12" s="10" t="s">
        <v>48</v>
      </c>
      <c r="N12" s="10">
        <v>0</v>
      </c>
      <c r="O12" s="10">
        <f>Tableau3[[#This Row],[HJ Dev]]*(25%+25%)</f>
        <v>0</v>
      </c>
      <c r="P12" s="10">
        <f>Tableau3[[#This Row],[HJ Analyse et Test]]+Tableau3[[#This Row],[HJ Dev]]</f>
        <v>0</v>
      </c>
      <c r="Q12" s="10" t="s">
        <v>49</v>
      </c>
      <c r="R12" s="10" t="s">
        <v>49</v>
      </c>
      <c r="S12" s="10" t="s">
        <v>49</v>
      </c>
      <c r="T12" s="10" t="s">
        <v>49</v>
      </c>
      <c r="U12" s="10" t="s">
        <v>49</v>
      </c>
    </row>
    <row r="13" spans="2:22" s="10" customFormat="1" ht="55.15">
      <c r="B13" s="10" t="s">
        <v>50</v>
      </c>
      <c r="C13" s="10" t="s">
        <v>51</v>
      </c>
      <c r="D13" s="10" t="s">
        <v>41</v>
      </c>
      <c r="E13" s="10" t="s">
        <v>42</v>
      </c>
      <c r="F13" s="10" t="s">
        <v>43</v>
      </c>
      <c r="G13" s="10" t="s">
        <v>52</v>
      </c>
      <c r="H13" s="10" t="s">
        <v>45</v>
      </c>
      <c r="I13" s="10" t="s">
        <v>53</v>
      </c>
      <c r="K13" s="10" t="s">
        <v>47</v>
      </c>
      <c r="L13" s="10" t="s">
        <v>48</v>
      </c>
      <c r="N13" s="10">
        <v>0</v>
      </c>
      <c r="O13" s="10">
        <f>Tableau3[[#This Row],[HJ Dev]]*(25%+25%)</f>
        <v>0</v>
      </c>
      <c r="P13" s="10">
        <f>Tableau3[[#This Row],[HJ Analyse et Test]]+Tableau3[[#This Row],[HJ Dev]]</f>
        <v>0</v>
      </c>
    </row>
    <row r="14" spans="2:22" s="10" customFormat="1" ht="27.6">
      <c r="B14" s="10" t="s">
        <v>54</v>
      </c>
      <c r="C14" s="10" t="s">
        <v>55</v>
      </c>
      <c r="D14" s="10" t="s">
        <v>41</v>
      </c>
      <c r="E14" s="10" t="s">
        <v>42</v>
      </c>
      <c r="F14" s="10" t="s">
        <v>43</v>
      </c>
      <c r="G14" s="10" t="s">
        <v>56</v>
      </c>
      <c r="H14" s="10" t="s">
        <v>45</v>
      </c>
      <c r="I14" s="10" t="s">
        <v>57</v>
      </c>
      <c r="J14" s="32"/>
      <c r="K14" s="10" t="s">
        <v>47</v>
      </c>
      <c r="L14" s="10" t="s">
        <v>48</v>
      </c>
      <c r="N14" s="10">
        <v>0</v>
      </c>
      <c r="O14" s="10">
        <f>Tableau3[[#This Row],[HJ Dev]]*(25%+25%)</f>
        <v>0</v>
      </c>
      <c r="P14" s="10">
        <f>Tableau3[[#This Row],[HJ Analyse et Test]]+Tableau3[[#This Row],[HJ Dev]]</f>
        <v>0</v>
      </c>
    </row>
    <row r="15" spans="2:22" s="10" customFormat="1" ht="55.15">
      <c r="B15" s="10" t="s">
        <v>58</v>
      </c>
      <c r="C15" s="10" t="s">
        <v>59</v>
      </c>
      <c r="D15" s="10" t="s">
        <v>41</v>
      </c>
      <c r="E15" s="10" t="s">
        <v>42</v>
      </c>
      <c r="F15" s="10" t="s">
        <v>43</v>
      </c>
      <c r="G15" s="10" t="s">
        <v>60</v>
      </c>
      <c r="H15" s="10" t="s">
        <v>45</v>
      </c>
      <c r="I15" s="10" t="s">
        <v>61</v>
      </c>
      <c r="K15" s="10" t="s">
        <v>47</v>
      </c>
      <c r="L15" s="10" t="s">
        <v>48</v>
      </c>
      <c r="N15" s="10">
        <v>0</v>
      </c>
      <c r="O15" s="10">
        <f>Tableau3[[#This Row],[HJ Dev]]*(25%+25%)</f>
        <v>0</v>
      </c>
      <c r="P15" s="10">
        <f>Tableau3[[#This Row],[HJ Analyse et Test]]+Tableau3[[#This Row],[HJ Dev]]</f>
        <v>0</v>
      </c>
    </row>
    <row r="16" spans="2:22" s="10" customFormat="1" ht="69">
      <c r="B16" s="10" t="s">
        <v>62</v>
      </c>
      <c r="C16" s="10" t="s">
        <v>63</v>
      </c>
      <c r="D16" s="10" t="s">
        <v>41</v>
      </c>
      <c r="E16" s="10" t="s">
        <v>42</v>
      </c>
      <c r="F16" s="10" t="s">
        <v>43</v>
      </c>
      <c r="G16" s="10" t="s">
        <v>64</v>
      </c>
      <c r="H16" s="10" t="s">
        <v>45</v>
      </c>
      <c r="I16" s="10" t="s">
        <v>65</v>
      </c>
      <c r="K16" s="10" t="s">
        <v>47</v>
      </c>
      <c r="L16" s="10" t="s">
        <v>48</v>
      </c>
      <c r="N16" s="10">
        <v>0</v>
      </c>
      <c r="O16" s="10">
        <f>Tableau3[[#This Row],[HJ Dev]]*(25%+25%)</f>
        <v>0</v>
      </c>
      <c r="P16" s="10">
        <f>Tableau3[[#This Row],[HJ Analyse et Test]]+Tableau3[[#This Row],[HJ Dev]]</f>
        <v>0</v>
      </c>
    </row>
    <row r="17" spans="2:22" ht="69">
      <c r="B17" s="10" t="s">
        <v>66</v>
      </c>
      <c r="C17" s="10" t="s">
        <v>67</v>
      </c>
      <c r="D17" s="10" t="s">
        <v>41</v>
      </c>
      <c r="E17" s="10" t="s">
        <v>42</v>
      </c>
      <c r="F17" s="10" t="s">
        <v>43</v>
      </c>
      <c r="G17" s="10" t="s">
        <v>68</v>
      </c>
      <c r="H17" s="10" t="s">
        <v>45</v>
      </c>
      <c r="I17" s="10" t="s">
        <v>69</v>
      </c>
      <c r="J17" s="10"/>
      <c r="K17" s="10" t="s">
        <v>47</v>
      </c>
      <c r="L17" s="10" t="s">
        <v>48</v>
      </c>
      <c r="M17" s="10"/>
      <c r="N17" s="10">
        <v>0</v>
      </c>
      <c r="O17" s="10">
        <f>Tableau3[[#This Row],[HJ Dev]]*(25%+25%)</f>
        <v>0</v>
      </c>
      <c r="P17" s="10">
        <f>Tableau3[[#This Row],[HJ Analyse et Test]]+Tableau3[[#This Row],[HJ Dev]]</f>
        <v>0</v>
      </c>
      <c r="Q17" s="10"/>
      <c r="R17" s="10"/>
      <c r="S17" s="10"/>
      <c r="T17" s="10"/>
      <c r="U17" s="10"/>
      <c r="V17" s="10"/>
    </row>
    <row r="18" spans="2:22" ht="182.45" customHeight="1">
      <c r="B18" s="10" t="s">
        <v>70</v>
      </c>
      <c r="C18" s="10" t="s">
        <v>71</v>
      </c>
      <c r="D18" s="10" t="s">
        <v>41</v>
      </c>
      <c r="E18" s="10" t="s">
        <v>42</v>
      </c>
      <c r="F18" s="10" t="s">
        <v>43</v>
      </c>
      <c r="G18" s="10" t="s">
        <v>72</v>
      </c>
      <c r="H18" s="10" t="s">
        <v>45</v>
      </c>
      <c r="I18" s="10" t="s">
        <v>73</v>
      </c>
      <c r="J18" s="10"/>
      <c r="K18" s="10" t="s">
        <v>47</v>
      </c>
      <c r="L18" s="10" t="s">
        <v>48</v>
      </c>
      <c r="M18" s="10"/>
      <c r="N18" s="10">
        <v>0</v>
      </c>
      <c r="O18" s="10">
        <f>Tableau3[[#This Row],[HJ Dev]]*(25%+25%)</f>
        <v>0</v>
      </c>
      <c r="P18" s="10">
        <f>Tableau3[[#This Row],[HJ Analyse et Test]]+Tableau3[[#This Row],[HJ Dev]]</f>
        <v>0</v>
      </c>
      <c r="Q18" s="10"/>
      <c r="R18" s="10"/>
      <c r="S18" s="10"/>
      <c r="T18" s="10"/>
      <c r="U18" s="10"/>
      <c r="V18" s="10"/>
    </row>
    <row r="19" spans="2:22" ht="76.900000000000006" customHeight="1">
      <c r="B19" s="10" t="s">
        <v>74</v>
      </c>
      <c r="C19" s="10" t="s">
        <v>75</v>
      </c>
      <c r="D19" s="10" t="s">
        <v>41</v>
      </c>
      <c r="E19" s="10" t="s">
        <v>42</v>
      </c>
      <c r="F19" s="10" t="s">
        <v>43</v>
      </c>
      <c r="G19" s="10" t="s">
        <v>76</v>
      </c>
      <c r="H19" s="10" t="s">
        <v>45</v>
      </c>
      <c r="I19" s="10" t="s">
        <v>77</v>
      </c>
      <c r="J19" s="10"/>
      <c r="K19" s="10" t="s">
        <v>47</v>
      </c>
      <c r="L19" s="10" t="s">
        <v>48</v>
      </c>
      <c r="M19" s="10"/>
      <c r="N19" s="10">
        <v>0</v>
      </c>
      <c r="O19" s="10">
        <f>Tableau3[[#This Row],[HJ Dev]]*(25%+25%)</f>
        <v>0</v>
      </c>
      <c r="P19" s="10">
        <f>Tableau3[[#This Row],[HJ Analyse et Test]]+Tableau3[[#This Row],[HJ Dev]]</f>
        <v>0</v>
      </c>
      <c r="Q19" s="10"/>
      <c r="R19" s="10"/>
      <c r="S19" s="10"/>
      <c r="T19" s="10"/>
      <c r="U19" s="10"/>
      <c r="V19" s="10"/>
    </row>
    <row r="20" spans="2:22" ht="106.15" customHeight="1">
      <c r="B20" s="10" t="s">
        <v>78</v>
      </c>
      <c r="C20" s="10" t="s">
        <v>79</v>
      </c>
      <c r="D20" s="10" t="s">
        <v>41</v>
      </c>
      <c r="E20" s="10" t="s">
        <v>42</v>
      </c>
      <c r="F20" s="10" t="s">
        <v>43</v>
      </c>
      <c r="G20" s="10" t="s">
        <v>80</v>
      </c>
      <c r="H20" s="10" t="s">
        <v>45</v>
      </c>
      <c r="I20" s="10" t="s">
        <v>81</v>
      </c>
      <c r="J20" s="10"/>
      <c r="K20" s="10" t="s">
        <v>47</v>
      </c>
      <c r="L20" s="10" t="s">
        <v>48</v>
      </c>
      <c r="M20" s="10"/>
      <c r="N20" s="10">
        <v>0</v>
      </c>
      <c r="O20" s="10">
        <f>Tableau3[[#This Row],[HJ Dev]]*(25%+25%)</f>
        <v>0</v>
      </c>
      <c r="P20" s="10">
        <f>Tableau3[[#This Row],[HJ Analyse et Test]]+Tableau3[[#This Row],[HJ Dev]]</f>
        <v>0</v>
      </c>
      <c r="Q20" s="10"/>
      <c r="R20" s="10"/>
      <c r="S20" s="10"/>
      <c r="T20" s="10"/>
      <c r="U20" s="10"/>
      <c r="V20" s="10"/>
    </row>
    <row r="21" spans="2:22" ht="76.900000000000006" customHeight="1">
      <c r="B21" s="10" t="s">
        <v>82</v>
      </c>
      <c r="C21" s="10" t="s">
        <v>83</v>
      </c>
      <c r="D21" s="10" t="s">
        <v>41</v>
      </c>
      <c r="E21" s="10" t="s">
        <v>42</v>
      </c>
      <c r="F21" s="10" t="s">
        <v>43</v>
      </c>
      <c r="G21" s="10" t="s">
        <v>84</v>
      </c>
      <c r="H21" s="10" t="s">
        <v>45</v>
      </c>
      <c r="I21" s="10" t="s">
        <v>85</v>
      </c>
      <c r="J21" s="32"/>
      <c r="K21" s="10" t="s">
        <v>47</v>
      </c>
      <c r="L21" s="10" t="s">
        <v>48</v>
      </c>
      <c r="M21" s="10"/>
      <c r="N21" s="10">
        <v>3</v>
      </c>
      <c r="O21" s="10">
        <f>Tableau3[[#This Row],[HJ Dev]]*(25%+25%)</f>
        <v>1.5</v>
      </c>
      <c r="P21" s="10">
        <f>Tableau3[[#This Row],[HJ Analyse et Test]]+Tableau3[[#This Row],[HJ Dev]]</f>
        <v>4.5</v>
      </c>
      <c r="Q21" s="10"/>
      <c r="R21" s="10"/>
      <c r="S21" s="10"/>
      <c r="T21" s="10"/>
      <c r="U21" s="10"/>
      <c r="V21" s="10"/>
    </row>
    <row r="22" spans="2:22" ht="76.900000000000006" customHeight="1">
      <c r="B22" s="10"/>
      <c r="C22" s="10"/>
      <c r="D22" s="10"/>
      <c r="E22" s="10"/>
      <c r="F22" s="10"/>
      <c r="G22" s="10"/>
      <c r="H22" s="10"/>
      <c r="I22" s="10" t="s">
        <v>86</v>
      </c>
      <c r="J22" s="10"/>
      <c r="K22" s="10"/>
      <c r="L22" s="10"/>
      <c r="M22" s="10"/>
      <c r="N22" s="10">
        <v>1.5</v>
      </c>
      <c r="O22" s="10">
        <f>Tableau3[[#This Row],[HJ Dev]]*0.5</f>
        <v>0.75</v>
      </c>
      <c r="P22" s="10">
        <f>Tableau3[[#This Row],[HJ Analyse et Test]]+Tableau3[[#This Row],[HJ Dev]]</f>
        <v>2.25</v>
      </c>
      <c r="Q22" s="10"/>
      <c r="R22" s="10"/>
      <c r="S22" s="10"/>
      <c r="T22" s="10"/>
      <c r="U22" s="10"/>
      <c r="V22" s="10"/>
    </row>
    <row r="23" spans="2:22" ht="76.900000000000006" customHeight="1">
      <c r="B23" s="10"/>
      <c r="C23" s="10"/>
      <c r="D23" s="10"/>
      <c r="E23" s="10"/>
      <c r="F23" s="10"/>
      <c r="G23" s="10"/>
      <c r="H23" s="10"/>
      <c r="I23" s="10" t="s">
        <v>87</v>
      </c>
      <c r="J23" s="10" t="s">
        <v>88</v>
      </c>
      <c r="K23" s="10"/>
      <c r="L23" s="10"/>
      <c r="M23" s="10"/>
      <c r="N23" s="10">
        <v>3</v>
      </c>
      <c r="O23" s="10">
        <f>Tableau3[[#This Row],[HJ Dev]]*0.5</f>
        <v>1.5</v>
      </c>
      <c r="P23" s="10">
        <f>Tableau3[[#This Row],[HJ Analyse et Test]]+Tableau3[[#This Row],[HJ Dev]]</f>
        <v>4.5</v>
      </c>
      <c r="Q23" s="10"/>
      <c r="R23" s="10"/>
      <c r="S23" s="10"/>
      <c r="T23" s="10"/>
      <c r="U23" s="10"/>
      <c r="V23" s="10"/>
    </row>
    <row r="24" spans="2:22" ht="76.900000000000006" customHeight="1">
      <c r="B24" s="10"/>
      <c r="C24" s="10"/>
      <c r="D24" s="10"/>
      <c r="E24" s="10"/>
      <c r="F24" s="10"/>
      <c r="G24" s="10"/>
      <c r="H24" s="10"/>
      <c r="I24" s="10" t="s">
        <v>89</v>
      </c>
      <c r="J24" s="10"/>
      <c r="K24" s="10"/>
      <c r="L24" s="10"/>
      <c r="M24" s="10"/>
      <c r="N24" s="10">
        <v>4</v>
      </c>
      <c r="O24" s="10">
        <f>Tableau3[[#This Row],[HJ Dev]]*0.5</f>
        <v>2</v>
      </c>
      <c r="P24" s="10">
        <f>Tableau3[[#This Row],[HJ Analyse et Test]]+Tableau3[[#This Row],[HJ Dev]]</f>
        <v>6</v>
      </c>
      <c r="Q24" s="10"/>
      <c r="R24" s="10"/>
      <c r="S24" s="10"/>
      <c r="T24" s="10"/>
      <c r="U24" s="10"/>
      <c r="V24" s="10" t="s">
        <v>90</v>
      </c>
    </row>
    <row r="25" spans="2:22" ht="76.900000000000006" customHeight="1">
      <c r="B25" s="10"/>
      <c r="C25" s="10"/>
      <c r="D25" s="10"/>
      <c r="E25" s="10"/>
      <c r="F25" s="10"/>
      <c r="G25" s="10"/>
      <c r="H25" s="10"/>
      <c r="I25" s="10" t="s">
        <v>91</v>
      </c>
      <c r="J25" s="10"/>
      <c r="K25" s="10"/>
      <c r="L25" s="10"/>
      <c r="M25" s="10"/>
      <c r="N25" s="10">
        <v>1</v>
      </c>
      <c r="O25" s="10">
        <f>Tableau3[[#This Row],[HJ Dev]]*0.5</f>
        <v>0.5</v>
      </c>
      <c r="P25" s="10">
        <f>Tableau3[[#This Row],[HJ Analyse et Test]]+Tableau3[[#This Row],[HJ Dev]]</f>
        <v>1.5</v>
      </c>
      <c r="Q25" s="10"/>
      <c r="R25" s="10"/>
      <c r="S25" s="10"/>
      <c r="T25" s="10"/>
      <c r="U25" s="10"/>
      <c r="V25" s="10"/>
    </row>
    <row r="26" spans="2:22" ht="76.900000000000006" customHeight="1">
      <c r="B26" s="10"/>
      <c r="C26" s="10"/>
      <c r="D26" s="10"/>
      <c r="E26" s="10"/>
      <c r="F26" s="10"/>
      <c r="G26" s="10"/>
      <c r="H26" s="10"/>
      <c r="I26" s="10" t="s">
        <v>92</v>
      </c>
      <c r="J26" s="10"/>
      <c r="K26" s="10"/>
      <c r="L26" s="10"/>
      <c r="M26" s="10"/>
      <c r="N26" s="10">
        <v>1</v>
      </c>
      <c r="O26" s="10">
        <f>Tableau3[[#This Row],[HJ Dev]]*0.5</f>
        <v>0.5</v>
      </c>
      <c r="P26" s="10">
        <f>Tableau3[[#This Row],[HJ Analyse et Test]]+Tableau3[[#This Row],[HJ Dev]]</f>
        <v>1.5</v>
      </c>
      <c r="Q26" s="10"/>
      <c r="R26" s="10"/>
      <c r="S26" s="10"/>
      <c r="T26" s="10"/>
      <c r="U26" s="10"/>
      <c r="V26" s="10" t="s">
        <v>93</v>
      </c>
    </row>
    <row r="27" spans="2:22" ht="76.900000000000006" customHeight="1">
      <c r="B27" s="10"/>
      <c r="C27" s="10"/>
      <c r="D27" s="10"/>
      <c r="E27" s="10"/>
      <c r="F27" s="10"/>
      <c r="G27" s="10"/>
      <c r="H27" s="10"/>
      <c r="I27" s="10" t="s">
        <v>94</v>
      </c>
      <c r="J27" s="10"/>
      <c r="K27" s="10"/>
      <c r="L27" s="10"/>
      <c r="M27" s="10"/>
      <c r="N27" s="10">
        <v>2</v>
      </c>
      <c r="O27" s="10">
        <f>Tableau3[[#This Row],[HJ Dev]]*0.5</f>
        <v>1</v>
      </c>
      <c r="P27" s="10">
        <f>Tableau3[[#This Row],[HJ Analyse et Test]]+Tableau3[[#This Row],[HJ Dev]]</f>
        <v>3</v>
      </c>
      <c r="Q27" s="10"/>
      <c r="R27" s="10"/>
      <c r="S27" s="10"/>
      <c r="T27" s="10"/>
      <c r="U27" s="10"/>
      <c r="V27" s="10"/>
    </row>
    <row r="28" spans="2:22" ht="76.900000000000006" customHeight="1">
      <c r="B28" s="10"/>
      <c r="C28" s="10"/>
      <c r="D28" s="10"/>
      <c r="E28" s="10"/>
      <c r="F28" s="10"/>
      <c r="G28" s="10"/>
      <c r="H28" s="10"/>
      <c r="I28" s="10" t="s">
        <v>95</v>
      </c>
      <c r="J28" s="10"/>
      <c r="K28" s="10"/>
      <c r="L28" s="10"/>
      <c r="M28" s="10"/>
      <c r="N28" s="10">
        <v>0.5</v>
      </c>
      <c r="O28" s="10">
        <f>Tableau3[[#This Row],[HJ Dev]]*0.5</f>
        <v>0.25</v>
      </c>
      <c r="P28" s="10">
        <f>Tableau3[[#This Row],[HJ Analyse et Test]]+Tableau3[[#This Row],[HJ Dev]]</f>
        <v>0.75</v>
      </c>
      <c r="Q28" s="10"/>
      <c r="R28" s="10"/>
      <c r="S28" s="10"/>
      <c r="T28" s="10"/>
      <c r="U28" s="10"/>
      <c r="V28" s="10"/>
    </row>
    <row r="29" spans="2:22" ht="76.900000000000006" customHeight="1">
      <c r="B29" s="10"/>
      <c r="C29" s="10"/>
      <c r="D29" s="10"/>
      <c r="E29" s="10"/>
      <c r="F29" s="10"/>
      <c r="G29" s="10"/>
      <c r="H29" s="10"/>
      <c r="I29" s="10" t="s">
        <v>96</v>
      </c>
      <c r="J29" s="10"/>
      <c r="K29" s="10"/>
      <c r="L29" s="10"/>
      <c r="M29" s="10"/>
      <c r="N29" s="10">
        <v>2.5</v>
      </c>
      <c r="O29" s="10">
        <f>Tableau3[[#This Row],[HJ Dev]]*0.5</f>
        <v>1.25</v>
      </c>
      <c r="P29" s="10">
        <f>Tableau3[[#This Row],[HJ Analyse et Test]]+Tableau3[[#This Row],[HJ Dev]]</f>
        <v>3.75</v>
      </c>
      <c r="Q29" s="10"/>
      <c r="R29" s="10"/>
      <c r="S29" s="10"/>
      <c r="T29" s="10"/>
      <c r="U29" s="10"/>
      <c r="V29" s="10"/>
    </row>
    <row r="30" spans="2:22" ht="76.900000000000006" customHeight="1">
      <c r="B30" s="10"/>
      <c r="C30" s="10"/>
      <c r="D30" s="10"/>
      <c r="E30" s="10"/>
      <c r="F30" s="10"/>
      <c r="G30" s="10"/>
      <c r="H30" s="10"/>
      <c r="I30" s="10" t="s">
        <v>97</v>
      </c>
      <c r="J30" s="10"/>
      <c r="K30" s="10"/>
      <c r="L30" s="10"/>
      <c r="M30" s="10"/>
      <c r="N30" s="10">
        <v>3</v>
      </c>
      <c r="O30" s="10">
        <f>Tableau3[[#This Row],[HJ Dev]]*0.5</f>
        <v>1.5</v>
      </c>
      <c r="P30" s="10">
        <f>Tableau3[[#This Row],[HJ Analyse et Test]]+Tableau3[[#This Row],[HJ Dev]]</f>
        <v>4.5</v>
      </c>
      <c r="Q30" s="10"/>
      <c r="R30" s="10"/>
      <c r="S30" s="10"/>
      <c r="T30" s="10"/>
      <c r="U30" s="10"/>
      <c r="V30" s="10"/>
    </row>
    <row r="31" spans="2:22" ht="76.900000000000006" customHeight="1">
      <c r="B31" s="10"/>
      <c r="C31" s="10"/>
      <c r="D31" s="10"/>
      <c r="E31" s="10"/>
      <c r="F31" s="10"/>
      <c r="G31" s="10"/>
      <c r="H31" s="10"/>
      <c r="I31" s="10" t="s">
        <v>98</v>
      </c>
      <c r="J31" s="10"/>
      <c r="K31" s="10"/>
      <c r="L31" s="10"/>
      <c r="M31" s="10"/>
      <c r="N31" s="10">
        <v>3</v>
      </c>
      <c r="O31" s="10">
        <f>Tableau3[[#This Row],[HJ Dev]]*0.5</f>
        <v>1.5</v>
      </c>
      <c r="P31" s="10">
        <f>Tableau3[[#This Row],[HJ Analyse et Test]]+Tableau3[[#This Row],[HJ Dev]]</f>
        <v>4.5</v>
      </c>
      <c r="Q31" s="10"/>
      <c r="R31" s="10"/>
      <c r="S31" s="10"/>
      <c r="T31" s="10"/>
      <c r="U31" s="10"/>
      <c r="V31" s="10"/>
    </row>
    <row r="32" spans="2:22" ht="76.900000000000006" customHeight="1">
      <c r="B32" s="10"/>
      <c r="C32" s="10"/>
      <c r="D32" s="10"/>
      <c r="E32" s="10"/>
      <c r="F32" s="10"/>
      <c r="G32" s="10"/>
      <c r="H32" s="10"/>
      <c r="I32" s="10" t="s">
        <v>99</v>
      </c>
      <c r="J32" s="10"/>
      <c r="K32" s="10"/>
      <c r="L32" s="10"/>
      <c r="M32" s="10"/>
      <c r="N32" s="10">
        <v>4</v>
      </c>
      <c r="O32" s="10">
        <f>Tableau3[[#This Row],[HJ Dev]]*0.5</f>
        <v>2</v>
      </c>
      <c r="P32" s="10">
        <f>Tableau3[[#This Row],[HJ Analyse et Test]]+Tableau3[[#This Row],[HJ Dev]]</f>
        <v>6</v>
      </c>
      <c r="Q32" s="10"/>
      <c r="R32" s="10"/>
      <c r="S32" s="10"/>
      <c r="T32" s="10"/>
      <c r="U32" s="10"/>
      <c r="V32" s="10"/>
    </row>
    <row r="33" spans="2:22" ht="76.900000000000006" customHeight="1">
      <c r="B33" s="10"/>
      <c r="C33" s="10"/>
      <c r="D33" s="10"/>
      <c r="E33" s="10"/>
      <c r="F33" s="10"/>
      <c r="G33" s="10"/>
      <c r="H33" s="10"/>
      <c r="I33" s="10" t="s">
        <v>100</v>
      </c>
      <c r="J33" s="10"/>
      <c r="K33" s="10"/>
      <c r="L33" s="10"/>
      <c r="M33" s="10"/>
      <c r="N33" s="10">
        <v>3</v>
      </c>
      <c r="O33" s="10">
        <f>Tableau3[[#This Row],[HJ Dev]]*0.5</f>
        <v>1.5</v>
      </c>
      <c r="P33" s="10">
        <f>Tableau3[[#This Row],[HJ Analyse et Test]]+Tableau3[[#This Row],[HJ Dev]]</f>
        <v>4.5</v>
      </c>
      <c r="Q33" s="10"/>
      <c r="R33" s="10"/>
      <c r="S33" s="10"/>
      <c r="T33" s="10"/>
      <c r="U33" s="10"/>
      <c r="V33" s="10"/>
    </row>
    <row r="34" spans="2:22" ht="76.900000000000006" customHeight="1">
      <c r="B34" s="10"/>
      <c r="C34" s="10"/>
      <c r="D34" s="10"/>
      <c r="E34" s="10"/>
      <c r="F34" s="10"/>
      <c r="G34" s="10"/>
      <c r="H34" s="10"/>
      <c r="I34" s="10" t="s">
        <v>101</v>
      </c>
      <c r="J34" s="10"/>
      <c r="K34" s="10"/>
      <c r="L34" s="10"/>
      <c r="M34" s="10"/>
      <c r="N34" s="10">
        <v>1.5</v>
      </c>
      <c r="O34" s="10">
        <f>Tableau3[[#This Row],[HJ Dev]]*0.5</f>
        <v>0.75</v>
      </c>
      <c r="P34" s="10">
        <f>Tableau3[[#This Row],[HJ Analyse et Test]]+Tableau3[[#This Row],[HJ Dev]]</f>
        <v>2.25</v>
      </c>
      <c r="Q34" s="10"/>
      <c r="R34" s="10"/>
      <c r="S34" s="10"/>
      <c r="T34" s="10"/>
      <c r="U34" s="10"/>
      <c r="V34" s="10"/>
    </row>
    <row r="35" spans="2:22" ht="76.900000000000006" customHeight="1">
      <c r="B35" s="10"/>
      <c r="C35" s="10"/>
      <c r="D35" s="10"/>
      <c r="E35" s="10"/>
      <c r="F35" s="10"/>
      <c r="G35" s="10"/>
      <c r="H35" s="10"/>
      <c r="I35" s="10" t="s">
        <v>102</v>
      </c>
      <c r="J35" s="10"/>
      <c r="K35" s="10"/>
      <c r="L35" s="10"/>
      <c r="M35" s="10"/>
      <c r="N35" s="10">
        <v>3</v>
      </c>
      <c r="O35" s="10">
        <f>Tableau3[[#This Row],[HJ Dev]]*0.5</f>
        <v>1.5</v>
      </c>
      <c r="P35" s="10">
        <f>Tableau3[[#This Row],[HJ Analyse et Test]]+Tableau3[[#This Row],[HJ Dev]]</f>
        <v>4.5</v>
      </c>
      <c r="Q35" s="10"/>
      <c r="R35" s="10"/>
      <c r="S35" s="10"/>
      <c r="T35" s="10"/>
      <c r="U35" s="10"/>
      <c r="V35" s="10"/>
    </row>
    <row r="36" spans="2:22" ht="76.900000000000006" customHeight="1">
      <c r="B36" s="10"/>
      <c r="C36" s="10"/>
      <c r="D36" s="10"/>
      <c r="E36" s="10"/>
      <c r="F36" s="10"/>
      <c r="G36" s="10"/>
      <c r="H36" s="10"/>
      <c r="I36" s="10" t="s">
        <v>103</v>
      </c>
      <c r="J36" s="10"/>
      <c r="K36" s="10"/>
      <c r="L36" s="10"/>
      <c r="M36" s="10"/>
      <c r="N36" s="10">
        <v>2</v>
      </c>
      <c r="O36" s="10">
        <f>Tableau3[[#This Row],[HJ Dev]]*0.5</f>
        <v>1</v>
      </c>
      <c r="P36" s="10">
        <f>Tableau3[[#This Row],[HJ Analyse et Test]]+Tableau3[[#This Row],[HJ Dev]]</f>
        <v>3</v>
      </c>
      <c r="Q36" s="10"/>
      <c r="R36" s="10"/>
      <c r="S36" s="10"/>
      <c r="T36" s="10"/>
      <c r="U36" s="10"/>
      <c r="V36" s="10"/>
    </row>
    <row r="37" spans="2:22" ht="76.900000000000006" customHeight="1">
      <c r="B37" s="10"/>
      <c r="C37" s="10"/>
      <c r="D37" s="10"/>
      <c r="E37" s="10"/>
      <c r="F37" s="10"/>
      <c r="G37" s="10"/>
      <c r="H37" s="10"/>
      <c r="I37" s="10" t="s">
        <v>104</v>
      </c>
      <c r="J37" s="10"/>
      <c r="K37" s="10"/>
      <c r="L37" s="10"/>
      <c r="M37" s="10"/>
      <c r="N37" s="10">
        <v>2</v>
      </c>
      <c r="O37" s="10">
        <f>Tableau3[[#This Row],[HJ Dev]]*0.5</f>
        <v>1</v>
      </c>
      <c r="P37" s="10">
        <f>Tableau3[[#This Row],[HJ Analyse et Test]]+Tableau3[[#This Row],[HJ Dev]]</f>
        <v>3</v>
      </c>
      <c r="Q37" s="10"/>
      <c r="R37" s="10"/>
      <c r="S37" s="10"/>
      <c r="T37" s="10"/>
      <c r="U37" s="10"/>
      <c r="V37" s="10"/>
    </row>
    <row r="38" spans="2:22" ht="76.900000000000006" customHeight="1">
      <c r="B38" s="10"/>
      <c r="C38" s="10"/>
      <c r="D38" s="10"/>
      <c r="E38" s="10"/>
      <c r="F38" s="10"/>
      <c r="G38" s="10"/>
      <c r="H38" s="10"/>
      <c r="I38" s="10" t="s">
        <v>105</v>
      </c>
      <c r="J38" s="10"/>
      <c r="K38" s="10"/>
      <c r="L38" s="10"/>
      <c r="M38" s="10"/>
      <c r="N38" s="10">
        <v>3</v>
      </c>
      <c r="O38" s="10">
        <f>Tableau3[[#This Row],[HJ Dev]]*0.5</f>
        <v>1.5</v>
      </c>
      <c r="P38" s="10">
        <f>Tableau3[[#This Row],[HJ Analyse et Test]]+Tableau3[[#This Row],[HJ Dev]]</f>
        <v>4.5</v>
      </c>
      <c r="Q38" s="10"/>
      <c r="R38" s="10"/>
      <c r="S38" s="10"/>
      <c r="T38" s="10"/>
      <c r="U38" s="10"/>
      <c r="V38" s="10"/>
    </row>
    <row r="39" spans="2:22">
      <c r="B39" s="10"/>
      <c r="C39" s="10"/>
      <c r="D39" s="10"/>
      <c r="E39" s="10"/>
      <c r="F39" s="10"/>
      <c r="G39" s="10"/>
      <c r="H39" s="10"/>
      <c r="I39" s="10"/>
      <c r="J39" s="10"/>
      <c r="K39" s="10"/>
      <c r="L39" s="10"/>
      <c r="M39" s="10"/>
      <c r="N39" s="10">
        <f>SUBTOTAL(109,Tableau3[HJ Dev])</f>
        <v>43</v>
      </c>
      <c r="O39" s="10"/>
      <c r="P39" s="10">
        <f>SUBTOTAL(109,Tableau3[Total HJ])</f>
        <v>64.5</v>
      </c>
      <c r="Q39" s="10"/>
      <c r="R39" s="10"/>
      <c r="S39" s="10"/>
      <c r="T39" s="10"/>
      <c r="U39" s="10"/>
      <c r="V39" s="10"/>
    </row>
    <row r="44" spans="2:22">
      <c r="P44" s="1">
        <f>SUM(P21:P38)</f>
        <v>64.5</v>
      </c>
    </row>
    <row r="45" spans="2:22" ht="12.75"/>
    <row r="46" spans="2:22" ht="12.75"/>
    <row r="47" spans="2:22" ht="12.75"/>
  </sheetData>
  <mergeCells count="3">
    <mergeCell ref="Q2:V2"/>
    <mergeCell ref="B2:M2"/>
    <mergeCell ref="N2:P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M12:M38</xm:sqref>
        </x14:dataValidation>
        <x14:dataValidation type="list" allowBlank="1" showInputMessage="1" showErrorMessage="1" xr:uid="{1F2CF1C1-BE35-4DC9-A975-F49F788F3D6A}">
          <x14:formula1>
            <xm:f>Params!$H$3:$H$6</xm:f>
          </x14:formula1>
          <xm:sqref>K12:K38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106</v>
      </c>
      <c r="B3" s="42" t="s">
        <v>5</v>
      </c>
      <c r="C3" s="43"/>
      <c r="D3" s="43"/>
      <c r="E3" s="43"/>
      <c r="F3" s="43"/>
      <c r="G3" s="44"/>
    </row>
    <row r="4" spans="1:7">
      <c r="B4" s="4"/>
      <c r="C4" s="5"/>
      <c r="D4" s="5"/>
      <c r="E4" s="5"/>
      <c r="F4" s="5"/>
      <c r="G4" s="5"/>
    </row>
    <row r="5" spans="1:7">
      <c r="B5" s="12" t="str">
        <f>'Gestion Exigences'!B5</f>
        <v>Client</v>
      </c>
      <c r="D5" s="12" t="e">
        <f>'Gestion Exigences'!#REF!</f>
        <v>#REF!</v>
      </c>
      <c r="E5" s="5"/>
      <c r="F5" s="5"/>
      <c r="G5" s="5"/>
    </row>
    <row r="6" spans="1:7">
      <c r="B6" s="12" t="str">
        <f>'Gestion Exigences'!B6</f>
        <v>Projet</v>
      </c>
      <c r="D6" s="12" t="e">
        <f>'Gestion Exigences'!#REF!</f>
        <v>#REF!</v>
      </c>
      <c r="E6" s="5"/>
      <c r="F6" s="5"/>
      <c r="G6" s="5"/>
    </row>
    <row r="7" spans="1:7">
      <c r="B7" s="12" t="e">
        <f>'Gestion Exigences'!#REF!</f>
        <v>#REF!</v>
      </c>
      <c r="D7" s="12" t="e">
        <f>'Gestion Exigences'!#REF!</f>
        <v>#REF!</v>
      </c>
      <c r="E7" s="5"/>
      <c r="F7" s="5"/>
      <c r="G7" s="5"/>
    </row>
    <row r="8" spans="1:7">
      <c r="B8" s="12" t="e">
        <f>'Gestion Exigences'!#REF!</f>
        <v>#REF!</v>
      </c>
      <c r="D8" s="12" t="e">
        <f>'Gestion Exigences'!#REF!</f>
        <v>#REF!</v>
      </c>
      <c r="E8" s="5"/>
      <c r="F8" s="5"/>
      <c r="G8" s="5"/>
    </row>
    <row r="9" spans="1:7">
      <c r="B9" s="4"/>
      <c r="C9" s="12"/>
      <c r="D9" s="5"/>
      <c r="E9" s="5"/>
      <c r="F9" s="5"/>
      <c r="G9" s="5"/>
    </row>
    <row r="10" spans="1:7">
      <c r="B10" s="18" t="str">
        <f>'Gestion Exigences'!B8</f>
        <v>Réf Modèle Document</v>
      </c>
      <c r="C10" s="19" t="str">
        <f>'Gestion Exigences'!D8</f>
        <v>MD203</v>
      </c>
      <c r="D10" s="5"/>
      <c r="E10" s="5"/>
      <c r="F10" s="5"/>
      <c r="G10" s="5"/>
    </row>
    <row r="11" spans="1:7">
      <c r="B11" s="18" t="str">
        <f>'Gestion Exigences'!B9</f>
        <v>Version Modèle Document</v>
      </c>
      <c r="C11" s="19" t="str">
        <f>'Gestion Exigences'!D9</f>
        <v>V1.5</v>
      </c>
      <c r="D11" s="5"/>
      <c r="E11" s="5"/>
      <c r="F11" s="5"/>
      <c r="G11" s="5"/>
    </row>
    <row r="12" spans="1:7">
      <c r="B12" s="4"/>
      <c r="C12" s="5"/>
      <c r="D12" s="5"/>
      <c r="E12" s="5"/>
      <c r="F12" s="5"/>
      <c r="G12" s="5"/>
    </row>
    <row r="13" spans="1:7">
      <c r="B13" s="13" t="s">
        <v>107</v>
      </c>
      <c r="C13" s="13" t="s">
        <v>108</v>
      </c>
      <c r="D13" s="13" t="s">
        <v>109</v>
      </c>
      <c r="E13" s="13" t="s">
        <v>110</v>
      </c>
      <c r="F13" s="13" t="s">
        <v>111</v>
      </c>
      <c r="G13" s="13" t="s">
        <v>112</v>
      </c>
    </row>
    <row r="14" spans="1:7" ht="29.65" customHeight="1">
      <c r="B14" s="6" t="s">
        <v>113</v>
      </c>
      <c r="C14" s="7">
        <v>45342</v>
      </c>
      <c r="D14" s="16" t="s">
        <v>114</v>
      </c>
      <c r="E14" s="6" t="s">
        <v>115</v>
      </c>
      <c r="F14" s="15" t="s">
        <v>116</v>
      </c>
      <c r="G14" s="6" t="s">
        <v>117</v>
      </c>
    </row>
    <row r="15" spans="1:7">
      <c r="B15" s="6" t="s">
        <v>118</v>
      </c>
      <c r="C15" s="25">
        <v>45701</v>
      </c>
      <c r="D15" s="2" t="s">
        <v>119</v>
      </c>
      <c r="E15" s="2" t="s">
        <v>120</v>
      </c>
      <c r="F15" s="15" t="s">
        <v>48</v>
      </c>
      <c r="G15" s="6" t="s">
        <v>117</v>
      </c>
    </row>
    <row r="16" spans="1:7">
      <c r="C16" s="25"/>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defaultColWidth="11.42578125" defaultRowHeight="13.9"/>
  <cols>
    <col min="1" max="2" width="11.42578125" style="10"/>
    <col min="3" max="4" width="19.7109375" style="10" customWidth="1"/>
    <col min="5" max="5" width="23.7109375" style="10" customWidth="1"/>
    <col min="6" max="6" width="14.42578125" style="10" customWidth="1"/>
    <col min="7" max="7" width="23.7109375" style="10" customWidth="1"/>
    <col min="8" max="8" width="25.28515625" style="10" customWidth="1"/>
    <col min="9" max="9" width="20.42578125" style="10" customWidth="1"/>
    <col min="10" max="16384" width="11.42578125" style="10"/>
  </cols>
  <sheetData>
    <row r="2" spans="2:9" ht="27.6">
      <c r="B2" s="11" t="s">
        <v>8</v>
      </c>
      <c r="C2" s="11" t="s">
        <v>20</v>
      </c>
      <c r="D2" s="11" t="s">
        <v>121</v>
      </c>
      <c r="E2" s="11" t="s">
        <v>24</v>
      </c>
      <c r="F2" s="11" t="s">
        <v>122</v>
      </c>
      <c r="G2" s="11" t="s">
        <v>29</v>
      </c>
      <c r="H2" s="11" t="s">
        <v>123</v>
      </c>
      <c r="I2" s="11" t="s">
        <v>21</v>
      </c>
    </row>
    <row r="3" spans="2:9">
      <c r="B3" s="10" t="s">
        <v>9</v>
      </c>
      <c r="C3" s="10" t="s">
        <v>41</v>
      </c>
      <c r="D3" s="10" t="s">
        <v>43</v>
      </c>
      <c r="E3" s="10" t="s">
        <v>124</v>
      </c>
      <c r="F3" s="10" t="s">
        <v>125</v>
      </c>
      <c r="G3" s="10" t="s">
        <v>126</v>
      </c>
      <c r="H3" s="10" t="s">
        <v>47</v>
      </c>
      <c r="I3" s="10" t="s">
        <v>127</v>
      </c>
    </row>
    <row r="4" spans="2:9">
      <c r="B4" s="10" t="s">
        <v>128</v>
      </c>
      <c r="C4" s="10" t="s">
        <v>129</v>
      </c>
      <c r="D4" s="10" t="s">
        <v>130</v>
      </c>
      <c r="E4" s="10" t="s">
        <v>45</v>
      </c>
      <c r="F4" s="10" t="s">
        <v>131</v>
      </c>
      <c r="G4" s="10" t="s">
        <v>132</v>
      </c>
      <c r="H4" s="10" t="s">
        <v>133</v>
      </c>
      <c r="I4" s="10" t="s">
        <v>134</v>
      </c>
    </row>
    <row r="5" spans="2:9">
      <c r="B5" s="10" t="s">
        <v>135</v>
      </c>
      <c r="C5" s="10" t="s">
        <v>136</v>
      </c>
      <c r="D5" s="10" t="s">
        <v>137</v>
      </c>
      <c r="E5" s="10" t="s">
        <v>138</v>
      </c>
      <c r="F5" s="10" t="s">
        <v>49</v>
      </c>
      <c r="G5" s="10" t="s">
        <v>49</v>
      </c>
      <c r="H5" s="10" t="s">
        <v>49</v>
      </c>
      <c r="I5" s="10" t="s">
        <v>42</v>
      </c>
    </row>
    <row r="6" spans="2:9">
      <c r="B6" s="10" t="s">
        <v>135</v>
      </c>
      <c r="C6" s="10" t="s">
        <v>139</v>
      </c>
      <c r="D6" s="10" t="s">
        <v>140</v>
      </c>
      <c r="E6" s="10" t="s">
        <v>141</v>
      </c>
      <c r="I6" s="10" t="s">
        <v>142</v>
      </c>
    </row>
    <row r="7" spans="2:9">
      <c r="C7" s="10" t="s">
        <v>143</v>
      </c>
      <c r="D7" s="10" t="s">
        <v>144</v>
      </c>
      <c r="E7" s="10" t="s">
        <v>145</v>
      </c>
      <c r="I7" s="10" t="s">
        <v>146</v>
      </c>
    </row>
    <row r="8" spans="2:9">
      <c r="C8" s="10" t="s">
        <v>147</v>
      </c>
      <c r="E8" s="10" t="s">
        <v>148</v>
      </c>
      <c r="I8" s="10" t="s">
        <v>149</v>
      </c>
    </row>
    <row r="9" spans="2:9">
      <c r="E9" s="10" t="s">
        <v>150</v>
      </c>
      <c r="I9" s="10" t="s">
        <v>151</v>
      </c>
    </row>
    <row r="11" spans="2:9">
      <c r="I11" s="10" t="s">
        <v>152</v>
      </c>
    </row>
    <row r="12" spans="2:9" ht="27.6">
      <c r="I12" s="10"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5A0AC-48CF-49B9-B4B5-824C63CC8CF1}"/>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2025-04-03T19:27:41Z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