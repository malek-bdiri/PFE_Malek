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momsoftware.sharepoint.com/sites/Commercial/Documents partages/06 Prospects/019 CHO GROUP/23 Projet Digitalisation ligne Moderne/2 Préparation Offre/"/>
    </mc:Choice>
  </mc:AlternateContent>
  <xr:revisionPtr revIDLastSave="48" documentId="6_{A47E420E-D104-4A7C-9F17-C08861E2BF59}" xr6:coauthVersionLast="47" xr6:coauthVersionMax="47" xr10:uidLastSave="{B4334E20-B7AB-4153-881A-02AB42ABA6AC}"/>
  <bookViews>
    <workbookView xWindow="28680" yWindow="-120" windowWidth="29040" windowHeight="15720" tabRatio="620" xr2:uid="{00000000-000D-0000-FFFF-FFFF00000000}"/>
  </bookViews>
  <sheets>
    <sheet name="Gestion Exigences" sheetId="27" r:id="rId1"/>
    <sheet name="Modifs Doc" sheetId="29" r:id="rId2"/>
    <sheet name="Params" sheetId="30" r:id="rId3"/>
  </sheets>
  <definedNames>
    <definedName name="_xlnm.Print_Area" localSheetId="0">'Gestion Exigences'!$C$2:$I$16</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27" l="1"/>
  <c r="P22" i="27" s="1"/>
  <c r="O23" i="27"/>
  <c r="P23" i="27" s="1"/>
  <c r="O24" i="27"/>
  <c r="P24" i="27" s="1"/>
  <c r="O25" i="27"/>
  <c r="P25" i="27" s="1"/>
  <c r="O26" i="27"/>
  <c r="P26" i="27" s="1"/>
  <c r="O20" i="27"/>
  <c r="P20" i="27" s="1"/>
  <c r="O21" i="27"/>
  <c r="P21" i="27" s="1"/>
  <c r="O17" i="27" l="1"/>
  <c r="P17" i="27" s="1"/>
  <c r="O19" i="27"/>
  <c r="P19" i="27" s="1"/>
  <c r="O18" i="27"/>
  <c r="P18" i="27" s="1"/>
  <c r="N27" i="27"/>
  <c r="O14" i="27"/>
  <c r="P14" i="27" s="1"/>
  <c r="O15" i="27"/>
  <c r="P15" i="27" s="1"/>
  <c r="O16" i="27"/>
  <c r="P16" i="27" s="1"/>
  <c r="D5" i="29"/>
  <c r="D6" i="29"/>
  <c r="D7" i="29"/>
  <c r="D8" i="29"/>
  <c r="C10" i="29"/>
  <c r="C11" i="29"/>
  <c r="B6" i="29"/>
  <c r="B7" i="29"/>
  <c r="B8" i="29"/>
  <c r="B10" i="29"/>
  <c r="B11" i="29"/>
  <c r="B5" i="29"/>
  <c r="O27" i="27" l="1"/>
  <c r="P27" i="27"/>
</calcChain>
</file>

<file path=xl/sharedStrings.xml><?xml version="1.0" encoding="utf-8"?>
<sst xmlns="http://schemas.openxmlformats.org/spreadsheetml/2006/main" count="320" uniqueCount="158">
  <si>
    <t>Gestion Exigences Projet</t>
  </si>
  <si>
    <t>Chiffrage Réalisation (SF only)</t>
  </si>
  <si>
    <t>Revue et Vérification Pendant la Conception</t>
  </si>
  <si>
    <t>BU</t>
  </si>
  <si>
    <t>SF</t>
  </si>
  <si>
    <t>Client</t>
  </si>
  <si>
    <t>CHO</t>
  </si>
  <si>
    <t>Projet</t>
  </si>
  <si>
    <t>Digitalisation Ligne Moderne</t>
  </si>
  <si>
    <t>Réf BPA du Devis</t>
  </si>
  <si>
    <t>S0-00xyz</t>
  </si>
  <si>
    <t>Réf BPA du Projet</t>
  </si>
  <si>
    <t>PR-22-0xyz</t>
  </si>
  <si>
    <t>Réf Modèle Document</t>
  </si>
  <si>
    <t>MD203</t>
  </si>
  <si>
    <t>Confidentiel | Usage Client Limité</t>
  </si>
  <si>
    <t>Version Modèle Document</t>
  </si>
  <si>
    <t>V1.5</t>
  </si>
  <si>
    <t>ID</t>
  </si>
  <si>
    <t>Intitulé Exigence</t>
  </si>
  <si>
    <t>Nature</t>
  </si>
  <si>
    <t>Catégorie</t>
  </si>
  <si>
    <t>Exigence indéfiée pendant la phase</t>
  </si>
  <si>
    <t>Description de l'exigence</t>
  </si>
  <si>
    <t>Source</t>
  </si>
  <si>
    <t>Description de la solution MOMSOFT</t>
  </si>
  <si>
    <t>Écart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</si>
  <si>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</si>
  <si>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</si>
  <si>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</si>
  <si>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</si>
  <si>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</si>
  <si>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</si>
  <si>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</si>
  <si>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</si>
  <si>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</si>
  <si>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</si>
  <si>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</si>
  <si>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</si>
  <si>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</si>
  <si>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</si>
  <si>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</si>
  <si>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</si>
  <si>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</si>
  <si>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</si>
  <si>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</si>
  <si>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 xml:space="preserve">Standard </t>
  </si>
  <si>
    <t>La solution offre un Module Core permettant la modélisation, gestion et planification pour une usine connectée:
• Modélisation hiérarchique de l'usine: Sites, ateliers, lignes, postes, machines.
• Gestion des produits.
• Gestion des incidents et défauts: Pannes par machines, défauts par produit.
• Gestion des utilisateurs et des autorisations: Rôles et accès contrôlés.
• Gestion des équipes: Production, qualité, maintenance.
• Planification des lignes et des équipes: Cycles, équipes, calendrier de travail.
• Configuration de l'outillage: Moules, gabarits..
• etc</t>
  </si>
  <si>
    <t>RAS</t>
  </si>
  <si>
    <t>Mahdi B.</t>
  </si>
  <si>
    <t>N/A</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</si>
  <si>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</si>
  <si>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</si>
  <si>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</si>
  <si>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</si>
  <si>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E004</t>
  </si>
  <si>
    <t>Gestion et suivi  des ordres de fabrications</t>
  </si>
  <si>
    <t xml:space="preserve">Gérer et suivre les ordres de fabrications </t>
  </si>
  <si>
    <t xml:space="preserve">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
</t>
  </si>
  <si>
    <t>E005</t>
  </si>
  <si>
    <t>Système de collecte de données à partir des machines</t>
  </si>
  <si>
    <t>Collecte et transmission des données des machines en temps réel</t>
  </si>
  <si>
    <t>La solution permet l'acquisition automatique et en temps réel des données de production et d'arrêt, en intégrant directement les équipements de production via des protocoles standardisés spécifiques à chaque machine. Les données collectées incluent les métriques de production en cours et les événements d'arrêt.</t>
  </si>
  <si>
    <t>E006</t>
  </si>
  <si>
    <t xml:space="preserve">Gestion et suivi de la prodution </t>
  </si>
  <si>
    <t>Déclaration manuelle de la production et des non-conformité et des arrêts en assurant un suivi en temps réel et un historique détaillé.</t>
  </si>
  <si>
    <t>La solution comprend un module de "Gestion de Production" offrant les fonctionnalités suivantes :
• Déclaration manuelle de la production : Enregistrement des quantités produites et des non-conformités pour chaque Ordre de Fabrication (OF), ligne, et produit. avec la possibilité de la déclaration par lot.
• Validation des déclarations :Workflow de validation des déclarations de production avec des niveaux de validation paramétrables 
• Rapports détaillés : Accès à des rapports détaillés sur l'historique de production, incluant les quantités produites, les non-conformités, ainsi que les performances des lignes et des opérateurs.
• Filtrage avancé : Possibilité de filtrer les données par OF, équipe, ligne, produit, et période de production.</t>
  </si>
  <si>
    <t>E007</t>
  </si>
  <si>
    <t xml:space="preserve">Contrôle Qualité </t>
  </si>
  <si>
    <t>Fournir des listes de contrôle numériques pour garantir la qualité des produits à chaque étape de la production</t>
  </si>
  <si>
    <t xml:space="preserve">la solution offre un module de "Gestion de la qualité" permettant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et à la fin de série.
   Des fiches de contrôle process (SPC) pour le suivi des déviations des critères de mesure.
•Validation et Traçabilité  : 
  Workflow de validation à multi-niveaux des contrôles .
   Archivage des résultats de contrôle
</t>
  </si>
  <si>
    <t>E008</t>
  </si>
  <si>
    <t>Alarme d'inspection qualité par fréquence</t>
  </si>
  <si>
    <t>Configuration d'alertes automatiques pour planifier et exécuter les inspections qualité selon des fréquences prédéfinies</t>
  </si>
  <si>
    <t>La solution permet d'intégrer un système d'alertes automatiques pour planifier et exécuter les inspections qualité. Ce système offre les fonctionnalités suivantes :
• Configurer les fréquences d'inspection souhaitées et le type de notification.
• Envoyer des notifications/alertes automatiques aux équipes de qualité ou aux opérateurs lorsque les inspections sont dues.
• Générer et afficher des instructions ou check-lists pour les inspections à réaliser, basées sur les critères qualité définis (fiches de suivi de la qualité de production).
• Workflow de validation des fiches de suivi.
• Historiser et suivre les fiches de suivi.</t>
  </si>
  <si>
    <t>E009</t>
  </si>
  <si>
    <t>Gestion des non-conformité</t>
  </si>
  <si>
    <t>Mise en place de processus pour surveiller et réduire les déchets de composants, de produits semi-finis et finis tout au long du processus de production</t>
  </si>
  <si>
    <t xml:space="preserve">La solution permet de gérer et de suivre les non-conformités à partir de :
• Surveillance des machines : Interfaçage avec des systèmes d'acquisition de données pour détecter automatiquement les non-conformités sur les machines en temps réel.
• Déclaration manuelle des quantités non conformes : Spécification du lieu de détection et décortication des défauts.
• Gestion des rebuts : Enregistrement des quantités non conformes pour élimination, incluant les raisons de la mise au rebut et les coûts associés.
Tout en assurant un suivi en temps réel et un historique détaillé filtré par critères tels que la date, le type de défaut, la machine ou le responsable..
</t>
  </si>
  <si>
    <t>E010</t>
  </si>
  <si>
    <t>Suivi en temps réel</t>
  </si>
  <si>
    <t>Suivi en temps réel des KPIs</t>
  </si>
  <si>
    <t>La solution offre une supervision de production en temps réel avec le module "Vue 360°" permettant de  : 
• Visualiser l'état des lignes en temps réel avec codification couleur paramétrable.
•Suivire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</si>
  <si>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E011</t>
  </si>
  <si>
    <t>Tableau de bord</t>
  </si>
  <si>
    <t>Analyser la performance historique des lignes de production
Analyser l'évolution des indicateurs clés au cours du temps pour chaque ligne de production.</t>
  </si>
  <si>
    <t xml:space="preserve">la solution offre un tableau de bord fournissant une vue multi-niveaux de la production en utilisant des indicateurs comme TRS, Quantité produite vs Quantité planifiée, Temps d'arrêt vs temps de production, etc.
</t>
  </si>
  <si>
    <t>E012</t>
  </si>
  <si>
    <t xml:space="preserve">Gestion de la maintenance préventive </t>
  </si>
  <si>
    <t xml:space="preserve">Intégration de fonctionnalités permettant le suivi et la planification des interventions de maintenance, assurant ainsi la disponibilité continue des équipements de production.
</t>
  </si>
  <si>
    <r>
      <t xml:space="preserve">La solution offre un module de "Gestion de la maintenance" permettant  : 
-Le suivi en temps réel et l'historisation des arrêts machines avec les durées et les causes associées.
-L'envoi et la gestion de fiches d'intervention spécifiant les actions à mener suite à une panne des équipements .
- La planification , la gestion et le suivi des ordres de maintenance, incluant la possibilité d'arrêter la production pendant l'intervention.
</t>
    </r>
    <r>
      <rPr>
        <b/>
        <sz val="12"/>
        <color rgb="FFFF0000"/>
        <rFont val="Calibri Light"/>
        <scheme val="major"/>
      </rPr>
      <t xml:space="preserve">
</t>
    </r>
  </si>
  <si>
    <t>E013</t>
  </si>
  <si>
    <t>Extraction de données</t>
  </si>
  <si>
    <t>Extraction des données de l’ensemble des données des différents modules</t>
  </si>
  <si>
    <t xml:space="preserve">La solution offre la possibilité de l'extraction flexible des données de production, qualité, maintenance, et stock dans des fichiers CSV/Excel à partir des interfaces suivantes : 
• Historique des Arrêts :Durées et causes des arrêts.
• Détail Production et Historique par Shift :Quantités conformes, rebuts, total produit, temps de cycle net et effectif, durées de changement de série, durée de production, TRS.
• Détail Qualité :Défauts et quantités non conformes.
• Résumé OF :Synthèse complète des données de production, qualité, et maintenance par ordre de fabrication (OF).
</t>
  </si>
  <si>
    <t>E014</t>
  </si>
  <si>
    <t>Instruction de travail</t>
  </si>
  <si>
    <t>Mise à disposition de documents électroniques et d'instructions de travail pour guider les opérateurs tout au long du processus de production. Sur les postes critiques de l’unité.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</si>
  <si>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
• Accessibilité : Accès en temps réel aux instructions pour les opérateurs et l'équipe qualité.</t>
  </si>
  <si>
    <t xml:space="preserve"> </t>
  </si>
  <si>
    <t>Version</t>
  </si>
  <si>
    <t>Date</t>
  </si>
  <si>
    <t>Modifications</t>
  </si>
  <si>
    <t>Auteur(s)</t>
  </si>
  <si>
    <t>Vérificateur(s)</t>
  </si>
  <si>
    <t>Approbateur</t>
  </si>
  <si>
    <t>V1.0</t>
  </si>
  <si>
    <t xml:space="preserve">Version initiale </t>
  </si>
  <si>
    <t>Moatez D.</t>
  </si>
  <si>
    <t xml:space="preserve">Mahdi B. </t>
  </si>
  <si>
    <t>Imed A.</t>
  </si>
  <si>
    <t>Exigence identifiée pendant la phase</t>
  </si>
  <si>
    <t>Oui/Non</t>
  </si>
  <si>
    <t>Statut Interne</t>
  </si>
  <si>
    <t>SE</t>
  </si>
  <si>
    <t>CdC client</t>
  </si>
  <si>
    <t>Oui</t>
  </si>
  <si>
    <t>Validée par le client</t>
  </si>
  <si>
    <t>Validée</t>
  </si>
  <si>
    <t>*** SE</t>
  </si>
  <si>
    <t>SE-TN</t>
  </si>
  <si>
    <t>Performance</t>
  </si>
  <si>
    <t>Conception</t>
  </si>
  <si>
    <t>Non</t>
  </si>
  <si>
    <t>Non validée par client</t>
  </si>
  <si>
    <t>Non validée</t>
  </si>
  <si>
    <t>SE-Processus</t>
  </si>
  <si>
    <t>SE-MA</t>
  </si>
  <si>
    <t>Reglementaire</t>
  </si>
  <si>
    <t>Réalisation</t>
  </si>
  <si>
    <t>Workshop/réunion Interne</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</si>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</sst>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ont>
    <font>
      <sz val="10"/>
      <name val="Calibri Light"/>
      <family val="2"/>
      <scheme val="major"/>
    </font>
    <font>
      <sz val="8"/>
      <name val="Arial"/>
      <family val="2"/>
    </font>
    <font>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1"/>
      <color theme="2" tint="-0.89999084444715716"/>
      <name val="Calibri Light"/>
      <family val="2"/>
    </font>
    <font>
      <sz val="4"/>
      <name val="Calibri Light"/>
      <family val="2"/>
    </font>
    <font>
      <sz val="12"/>
      <name val="Calibri Light"/>
      <family val="2"/>
      <scheme val="major"/>
    </font>
    <font>
      <b/>
      <sz val="12"/>
      <name val="Calibri Light"/>
      <family val="2"/>
      <scheme val="major"/>
    </font>
    <font>
      <b/>
      <sz val="12"/>
      <color theme="0"/>
      <name val="Calibri Light"/>
      <family val="2"/>
      <scheme val="major"/>
    </font>
    <font>
      <b/>
      <sz val="12"/>
      <color rgb="FFFF0000"/>
      <name val="Calibri Light"/>
      <family val="2"/>
      <scheme val="major"/>
    </font>
    <font>
      <sz val="12"/>
      <color theme="1"/>
      <name val="Calibri Light"/>
      <family val="2"/>
      <scheme val="major"/>
    </font>
    <font>
      <sz val="12"/>
      <color rgb="FF000000"/>
      <name val="Calibri Light"/>
      <scheme val="major"/>
    </font>
    <font>
      <sz val="12"/>
      <color rgb="FF000000"/>
      <name val="Calibri Light"/>
      <family val="2"/>
      <scheme val="major"/>
    </font>
    <font>
      <sz val="12"/>
      <color rgb="FF000000"/>
      <name val="Calibri Light"/>
      <family val="2"/>
    </font>
    <font>
      <b/>
      <sz val="12"/>
      <color rgb="FFFF000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s>
  <cellStyleXfs count="1">
    <xf numFmtId="0" fontId="0" fillId="0" borderId="0"/>
  </cellStyleXfs>
  <cellXfs count="45">
    <xf numFmtId="0" fontId="0" fillId="0" borderId="0" xfId="0"/>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wrapText="1"/>
    </xf>
    <xf numFmtId="0" fontId="6" fillId="0" borderId="0" xfId="0" applyFont="1" applyAlignment="1">
      <alignment vertical="center" wrapText="1"/>
    </xf>
    <xf numFmtId="14" fontId="6" fillId="0" borderId="0" xfId="0" applyNumberFormat="1" applyFont="1"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horizontal="left" vertical="center"/>
    </xf>
    <xf numFmtId="0" fontId="10" fillId="3" borderId="0" xfId="0" applyFont="1" applyFill="1" applyAlignment="1">
      <alignment horizontal="center" vertical="center" wrapText="1"/>
    </xf>
    <xf numFmtId="0" fontId="8"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vertical="center"/>
    </xf>
    <xf numFmtId="14" fontId="3" fillId="0" borderId="0" xfId="0" applyNumberFormat="1" applyFont="1" applyAlignment="1">
      <alignment wrapText="1"/>
    </xf>
    <xf numFmtId="0" fontId="12" fillId="0" borderId="0" xfId="0" applyFont="1" applyAlignment="1">
      <alignment wrapText="1"/>
    </xf>
    <xf numFmtId="0" fontId="13" fillId="0" borderId="0" xfId="0" applyFont="1" applyAlignment="1">
      <alignment horizontal="center" wrapText="1"/>
    </xf>
    <xf numFmtId="0" fontId="13" fillId="0" borderId="0" xfId="0" applyFont="1" applyAlignment="1">
      <alignment wrapText="1"/>
    </xf>
    <xf numFmtId="0" fontId="13" fillId="0" borderId="0" xfId="0" applyFont="1" applyAlignment="1">
      <alignment horizontal="left" wrapText="1"/>
    </xf>
    <xf numFmtId="0" fontId="13" fillId="0" borderId="0" xfId="0" applyFont="1"/>
    <xf numFmtId="0" fontId="12" fillId="0" borderId="0" xfId="0" applyFont="1"/>
    <xf numFmtId="0" fontId="15" fillId="0" borderId="0" xfId="0" applyFont="1" applyAlignment="1">
      <alignment wrapText="1"/>
    </xf>
    <xf numFmtId="0" fontId="16" fillId="5" borderId="1" xfId="0" applyFont="1" applyFill="1" applyBorder="1" applyAlignment="1">
      <alignment vertical="center" wrapText="1"/>
    </xf>
    <xf numFmtId="0" fontId="16" fillId="5" borderId="2" xfId="0" applyFont="1" applyFill="1" applyBorder="1" applyAlignment="1">
      <alignment vertical="center" wrapText="1"/>
    </xf>
    <xf numFmtId="0" fontId="16" fillId="5" borderId="3" xfId="0" applyFont="1" applyFill="1" applyBorder="1" applyAlignment="1">
      <alignment vertical="center" wrapText="1"/>
    </xf>
    <xf numFmtId="0" fontId="16" fillId="4" borderId="2" xfId="0" applyFont="1" applyFill="1" applyBorder="1" applyAlignment="1">
      <alignment vertical="center" wrapText="1"/>
    </xf>
    <xf numFmtId="0" fontId="12" fillId="2" borderId="1" xfId="0" applyFont="1" applyFill="1" applyBorder="1" applyAlignment="1">
      <alignment vertical="center" wrapText="1"/>
    </xf>
    <xf numFmtId="0" fontId="12" fillId="2" borderId="2" xfId="0" applyFont="1" applyFill="1" applyBorder="1" applyAlignment="1">
      <alignment vertical="center" wrapText="1"/>
    </xf>
    <xf numFmtId="0" fontId="12" fillId="2" borderId="3" xfId="0" applyFont="1" applyFill="1" applyBorder="1" applyAlignment="1">
      <alignment vertical="center" wrapText="1"/>
    </xf>
    <xf numFmtId="0" fontId="12"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0" borderId="4" xfId="0" applyFont="1" applyBorder="1" applyAlignment="1">
      <alignment vertical="center" wrapText="1"/>
    </xf>
    <xf numFmtId="0" fontId="19" fillId="0" borderId="0" xfId="0" applyFont="1" applyAlignment="1">
      <alignment vertical="center" wrapText="1"/>
    </xf>
    <xf numFmtId="0" fontId="14" fillId="2" borderId="1" xfId="0" applyFont="1" applyFill="1" applyBorder="1" applyAlignment="1">
      <alignment horizontal="center" wrapText="1"/>
    </xf>
    <xf numFmtId="0" fontId="14" fillId="2" borderId="2" xfId="0" applyFont="1" applyFill="1" applyBorder="1" applyAlignment="1">
      <alignment horizontal="center" wrapText="1"/>
    </xf>
    <xf numFmtId="0" fontId="14" fillId="2" borderId="3" xfId="0" applyFont="1" applyFill="1" applyBorder="1" applyAlignment="1">
      <alignment horizontal="center" wrapText="1"/>
    </xf>
    <xf numFmtId="0" fontId="13" fillId="5" borderId="1" xfId="0" applyFont="1" applyFill="1" applyBorder="1" applyAlignment="1">
      <alignment horizontal="center" wrapText="1"/>
    </xf>
    <xf numFmtId="0" fontId="13" fillId="5" borderId="2" xfId="0" applyFont="1" applyFill="1" applyBorder="1" applyAlignment="1">
      <alignment horizontal="center" wrapText="1"/>
    </xf>
    <xf numFmtId="0" fontId="13" fillId="5" borderId="3" xfId="0" applyFont="1" applyFill="1" applyBorder="1" applyAlignment="1">
      <alignment horizontal="center" wrapText="1"/>
    </xf>
    <xf numFmtId="0" fontId="13" fillId="4" borderId="1" xfId="0" applyFont="1" applyFill="1" applyBorder="1" applyAlignment="1">
      <alignment horizontal="center" wrapText="1"/>
    </xf>
    <xf numFmtId="0" fontId="13" fillId="4" borderId="2" xfId="0" applyFont="1" applyFill="1" applyBorder="1" applyAlignment="1">
      <alignment horizontal="center" wrapText="1"/>
    </xf>
    <xf numFmtId="0" fontId="13" fillId="4" borderId="3" xfId="0" applyFont="1" applyFill="1" applyBorder="1" applyAlignment="1">
      <alignment horizontal="center" wrapText="1"/>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cellXfs>
  <cellStyles count="1">
    <cellStyle name="Normal" xfId="0" builtinId="0"/>
  </cellStyles>
  <dxfs count="53">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sz val="12"/>
      </font>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xdr:colOff>
      <xdr:row>2</xdr:row>
      <xdr:rowOff>161363</xdr:rowOff>
    </xdr:from>
    <xdr:to>
      <xdr:col>2</xdr:col>
      <xdr:colOff>2368873</xdr:colOff>
      <xdr:row>2</xdr:row>
      <xdr:rowOff>597460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7966670B-FD7D-478A-B1C8-F131A4F63520}"/>
            </a:ext>
          </a:extLst>
        </xdr:cNvPr>
        <xdr:cNvPicPr>
          <a:picLocks noChangeAspect="1"/>
        </xdr:cNvPicPr>
      </xdr:nvPicPr>
      <xdr:blipFill>
        <a:blip xmlns:r="http://schemas.openxmlformats.org/officeDocument/2006/relationships" r:embed="rId1"/>
        <a:stretch>
          <a:fillRect/>
        </a:stretch>
      </xdr:blipFill>
      <xdr:spPr>
        <a:xfrm>
          <a:off x="806823" y="618563"/>
          <a:ext cx="2729143" cy="4392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7" totalsRowCount="1" headerRowDxfId="52" dataDxfId="51" totalsRowDxfId="50">
  <autoFilter ref="B13:V26"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ndé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ription de la solution MOMSOFT" dataDxfId="34" totalsRowDxfId="35"/>
    <tableColumn id="17" xr3:uid="{D1BC9C86-C3CE-417F-AC83-FC4786A7656D}" name="É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2:V33"/>
  <sheetViews>
    <sheetView tabSelected="1" topLeftCell="B8" zoomScale="69" zoomScaleNormal="69" workbookViewId="0">
      <selection activeCell="J1" sqref="G1:J1048576"/>
    </sheetView>
  </sheetViews>
  <sheetFormatPr defaultColWidth="11.42578125" defaultRowHeight="15.75"/>
  <cols>
    <col min="1" max="1" width="11.42578125" style="14"/>
    <col min="2" max="2" width="6.140625" style="14" customWidth="1"/>
    <col min="3" max="3" width="41.5703125" style="14" customWidth="1"/>
    <col min="4" max="4" width="33.5703125" style="14" hidden="1" customWidth="1"/>
    <col min="5" max="5" width="18.42578125" style="14" hidden="1" customWidth="1"/>
    <col min="6" max="6" width="19.42578125" style="14" hidden="1" customWidth="1"/>
    <col min="7" max="7" width="39" style="14" customWidth="1"/>
    <col min="8" max="8" width="31.42578125" style="14" customWidth="1"/>
    <col min="9" max="9" width="56.5703125" style="14" customWidth="1"/>
    <col min="10" max="10" width="111.85546875" style="14" customWidth="1"/>
    <col min="11" max="12" width="13.5703125" style="14" customWidth="1"/>
    <col min="13" max="13" width="15.42578125" style="14" customWidth="1"/>
    <col min="14" max="14" width="11.85546875" style="14" customWidth="1"/>
    <col min="15" max="15" width="15.42578125" style="14" customWidth="1"/>
    <col min="16" max="16" width="13.5703125" style="14" customWidth="1"/>
    <col min="17" max="17" width="39.85546875" style="14" customWidth="1"/>
    <col min="18" max="18" width="15.5703125" style="14" customWidth="1"/>
    <col min="19" max="19" width="20.5703125" style="14" customWidth="1"/>
    <col min="20" max="20" width="20.140625" style="14" customWidth="1"/>
    <col min="21" max="21" width="15.140625" style="14" customWidth="1"/>
    <col min="22" max="22" width="30.85546875" style="14" customWidth="1"/>
    <col min="23" max="16384" width="11.42578125" style="14"/>
  </cols>
  <sheetData>
    <row r="2" spans="2:22" ht="21.75" customHeight="1">
      <c r="B2" s="36" t="s">
        <v>0</v>
      </c>
      <c r="C2" s="37"/>
      <c r="D2" s="37"/>
      <c r="E2" s="37"/>
      <c r="F2" s="37"/>
      <c r="G2" s="37"/>
      <c r="H2" s="37"/>
      <c r="I2" s="37"/>
      <c r="J2" s="37"/>
      <c r="K2" s="37"/>
      <c r="L2" s="37"/>
      <c r="M2" s="38"/>
      <c r="N2" s="39" t="s">
        <v>1</v>
      </c>
      <c r="O2" s="40"/>
      <c r="P2" s="41"/>
      <c r="Q2" s="33" t="s">
        <v>2</v>
      </c>
      <c r="R2" s="34"/>
      <c r="S2" s="34"/>
      <c r="T2" s="34"/>
      <c r="U2" s="34"/>
      <c r="V2" s="35"/>
    </row>
    <row r="3" spans="2:22" ht="53.25" customHeight="1">
      <c r="C3" s="15"/>
      <c r="D3" s="15"/>
      <c r="E3" s="15"/>
      <c r="F3" s="15"/>
      <c r="G3" s="15"/>
      <c r="H3" s="15"/>
      <c r="I3" s="15"/>
    </row>
    <row r="4" spans="2:22" ht="21" customHeight="1">
      <c r="B4" s="16" t="s">
        <v>3</v>
      </c>
      <c r="C4" s="15"/>
      <c r="D4" s="17" t="s">
        <v>4</v>
      </c>
      <c r="E4" s="15"/>
      <c r="F4" s="15"/>
      <c r="G4" s="15"/>
      <c r="H4" s="15"/>
      <c r="I4" s="15"/>
    </row>
    <row r="5" spans="2:22" ht="21.75" customHeight="1">
      <c r="B5" s="18" t="s">
        <v>5</v>
      </c>
      <c r="D5" s="16" t="s">
        <v>6</v>
      </c>
      <c r="E5" s="16"/>
      <c r="F5" s="16"/>
      <c r="G5" s="16"/>
      <c r="H5" s="16"/>
      <c r="I5" s="16"/>
    </row>
    <row r="6" spans="2:22" ht="58.35" customHeight="1">
      <c r="B6" s="18" t="s">
        <v>7</v>
      </c>
      <c r="D6" s="16" t="s">
        <v>8</v>
      </c>
      <c r="E6" s="16"/>
      <c r="F6" s="16"/>
      <c r="G6" s="16"/>
      <c r="H6" s="16"/>
      <c r="I6" s="16"/>
    </row>
    <row r="7" spans="2:22" ht="20.45" customHeight="1">
      <c r="B7" s="18" t="s">
        <v>9</v>
      </c>
      <c r="D7" s="16" t="s">
        <v>10</v>
      </c>
      <c r="E7" s="16"/>
      <c r="F7" s="16"/>
      <c r="G7" s="16"/>
      <c r="H7" s="16"/>
      <c r="I7" s="16"/>
    </row>
    <row r="8" spans="2:22" ht="21.6" customHeight="1">
      <c r="B8" s="18" t="s">
        <v>11</v>
      </c>
      <c r="D8" s="16" t="s">
        <v>12</v>
      </c>
      <c r="E8" s="16"/>
      <c r="F8" s="16"/>
      <c r="G8" s="16"/>
      <c r="H8" s="16"/>
      <c r="I8" s="16"/>
    </row>
    <row r="9" spans="2:22">
      <c r="C9" s="16"/>
      <c r="D9" s="17"/>
      <c r="E9" s="17"/>
      <c r="F9" s="17"/>
      <c r="G9" s="17"/>
      <c r="H9" s="17"/>
      <c r="I9" s="17"/>
    </row>
    <row r="10" spans="2:22">
      <c r="B10" s="19" t="s">
        <v>13</v>
      </c>
      <c r="C10" s="19"/>
      <c r="D10" s="19" t="s">
        <v>14</v>
      </c>
      <c r="I10" s="20" t="s">
        <v>15</v>
      </c>
    </row>
    <row r="11" spans="2:22">
      <c r="B11" s="19" t="s">
        <v>16</v>
      </c>
      <c r="C11" s="19"/>
      <c r="D11" s="19" t="s">
        <v>17</v>
      </c>
    </row>
    <row r="13" spans="2:22" s="28" customFormat="1" ht="53.25">
      <c r="B13" s="21" t="s">
        <v>18</v>
      </c>
      <c r="C13" s="22" t="s">
        <v>19</v>
      </c>
      <c r="D13" s="22" t="s">
        <v>20</v>
      </c>
      <c r="E13" s="22" t="s">
        <v>21</v>
      </c>
      <c r="F13" s="22" t="s">
        <v>22</v>
      </c>
      <c r="G13" s="22" t="s">
        <v>23</v>
      </c>
      <c r="H13" s="22" t="s">
        <v>24</v>
      </c>
      <c r="I13" s="22" t="s">
        <v>25</v>
      </c>
      <c r="J13" s="22" t="s">
        <v>26</v>
      </c>
      <c r="K13" s="22" t="s">
        <v>27</v>
      </c>
      <c r="L13" s="22" t="s">
        <v>28</v>
      </c>
      <c r="M13" s="23" t="s">
        <v>29</v>
      </c>
      <c r="N13" s="24" t="s">
        <v>30</v>
      </c>
      <c r="O13" s="24" t="s">
        <v>31</v>
      </c>
      <c r="P13" s="24" t="s">
        <v>32</v>
      </c>
      <c r="Q13" s="25" t="s">
        <v>33</v>
      </c>
      <c r="R13" s="26" t="s">
        <v>34</v>
      </c>
      <c r="S13" s="26" t="s">
        <v>35</v>
      </c>
      <c r="T13" s="26" t="s">
        <v>36</v>
      </c>
      <c r="U13" s="26" t="s">
        <v>37</v>
      </c>
      <c r="V13" s="27" t="s">
        <v>38</v>
      </c>
    </row>
    <row r="14" spans="2:22" s="28" customFormat="1" ht="153.75" customHeight="1">
      <c r="B14" s="28" t="s">
        <v>39</v>
      </c>
      <c r="C14" s="28" t="s">
        <v>40</v>
      </c>
      <c r="D14" s="28" t="s">
        <v>41</v>
      </c>
      <c r="E14" s="28" t="s">
        <v>42</v>
      </c>
      <c r="F14" s="28" t="s">
        <v>43</v>
      </c>
      <c r="G14" s="28" t="s">
        <v>44</v>
      </c>
      <c r="H14" s="28" t="s">
        <v>45</v>
      </c>
      <c r="I14" s="28" t="s">
        <v>46</v>
      </c>
      <c r="J14" s="28" t="s">
        <v>47</v>
      </c>
      <c r="K14" s="28" t="s">
        <v>48</v>
      </c>
      <c r="L14" s="28" t="s">
        <v>49</v>
      </c>
      <c r="N14" s="28">
        <v>0</v>
      </c>
      <c r="O14" s="28">
        <f>Tableau3[[#This Row],[HJ Dev]]*(25%+25%)</f>
        <v>0</v>
      </c>
      <c r="P14" s="28">
        <f>Tableau3[[#This Row],[HJ Analyse et Test]]+Tableau3[[#This Row],[HJ Dev]]</f>
        <v>0</v>
      </c>
      <c r="Q14" s="28" t="s">
        <v>50</v>
      </c>
      <c r="R14" s="28" t="s">
        <v>50</v>
      </c>
      <c r="S14" s="28" t="s">
        <v>50</v>
      </c>
      <c r="T14" s="28" t="s">
        <v>50</v>
      </c>
      <c r="U14" s="28" t="s">
        <v>50</v>
      </c>
    </row>
    <row r="15" spans="2:22" s="28" customFormat="1" ht="97.5" customHeight="1">
      <c r="B15" s="28" t="s">
        <v>51</v>
      </c>
      <c r="C15" s="28" t="s">
        <v>52</v>
      </c>
      <c r="D15" s="28" t="s">
        <v>41</v>
      </c>
      <c r="E15" s="28" t="s">
        <v>42</v>
      </c>
      <c r="F15" s="28" t="s">
        <v>43</v>
      </c>
      <c r="G15" s="28" t="s">
        <v>53</v>
      </c>
      <c r="H15" s="28" t="s">
        <v>45</v>
      </c>
      <c r="I15" s="28" t="s">
        <v>46</v>
      </c>
      <c r="J15" s="28" t="s">
        <v>54</v>
      </c>
      <c r="K15" s="28" t="s">
        <v>48</v>
      </c>
      <c r="L15" s="28" t="s">
        <v>49</v>
      </c>
      <c r="N15" s="28">
        <v>0</v>
      </c>
      <c r="O15" s="28">
        <f>Tableau3[[#This Row],[HJ Dev]]*(25%+25%)</f>
        <v>0</v>
      </c>
      <c r="P15" s="28">
        <f>Tableau3[[#This Row],[HJ Analyse et Test]]+Tableau3[[#This Row],[HJ Dev]]</f>
        <v>0</v>
      </c>
      <c r="Q15" s="28" t="s">
        <v>50</v>
      </c>
      <c r="R15" s="28" t="s">
        <v>50</v>
      </c>
      <c r="S15" s="28" t="s">
        <v>50</v>
      </c>
      <c r="T15" s="28" t="s">
        <v>50</v>
      </c>
      <c r="U15" s="28" t="s">
        <v>50</v>
      </c>
    </row>
    <row r="16" spans="2:22" s="28" customFormat="1" ht="240" customHeight="1">
      <c r="B16" s="28" t="s">
        <v>55</v>
      </c>
      <c r="C16" s="28" t="s">
        <v>56</v>
      </c>
      <c r="D16" s="28" t="s">
        <v>41</v>
      </c>
      <c r="E16" s="28" t="s">
        <v>42</v>
      </c>
      <c r="F16" s="28" t="s">
        <v>43</v>
      </c>
      <c r="G16" s="28" t="s">
        <v>57</v>
      </c>
      <c r="H16" s="28" t="s">
        <v>45</v>
      </c>
      <c r="I16" s="28" t="s">
        <v>46</v>
      </c>
      <c r="J16" s="29" t="s">
        <v>58</v>
      </c>
      <c r="K16" s="28" t="s">
        <v>48</v>
      </c>
      <c r="L16" s="28" t="s">
        <v>49</v>
      </c>
      <c r="N16" s="28">
        <v>0</v>
      </c>
      <c r="O16" s="28">
        <f>Tableau3[[#This Row],[HJ Dev]]*(25%+25%)</f>
        <v>0</v>
      </c>
      <c r="P16" s="28">
        <f>Tableau3[[#This Row],[HJ Analyse et Test]]+Tableau3[[#This Row],[HJ Dev]]</f>
        <v>0</v>
      </c>
      <c r="Q16" s="28" t="s">
        <v>50</v>
      </c>
      <c r="R16" s="28" t="s">
        <v>50</v>
      </c>
      <c r="S16" s="28" t="s">
        <v>50</v>
      </c>
      <c r="T16" s="28" t="s">
        <v>50</v>
      </c>
      <c r="U16" s="28" t="s">
        <v>50</v>
      </c>
    </row>
    <row r="17" spans="2:22" s="28" customFormat="1" ht="124.7" customHeight="1">
      <c r="B17" s="28" t="s">
        <v>59</v>
      </c>
      <c r="C17" s="28" t="s">
        <v>60</v>
      </c>
      <c r="D17" s="28" t="s">
        <v>41</v>
      </c>
      <c r="E17" s="28" t="s">
        <v>42</v>
      </c>
      <c r="F17" s="28" t="s">
        <v>43</v>
      </c>
      <c r="G17" s="28" t="s">
        <v>61</v>
      </c>
      <c r="H17" s="28" t="s">
        <v>45</v>
      </c>
      <c r="I17" s="28" t="s">
        <v>46</v>
      </c>
      <c r="J17" s="28" t="s">
        <v>62</v>
      </c>
      <c r="K17" s="28" t="s">
        <v>48</v>
      </c>
      <c r="L17" s="28" t="s">
        <v>49</v>
      </c>
      <c r="N17" s="28">
        <v>0</v>
      </c>
      <c r="O17" s="28">
        <f>Tableau3[[#This Row],[HJ Dev]]*(25%+25%)</f>
        <v>0</v>
      </c>
      <c r="P17" s="28">
        <f>Tableau3[[#This Row],[HJ Analyse et Test]]+Tableau3[[#This Row],[HJ Dev]]</f>
        <v>0</v>
      </c>
      <c r="Q17" s="28" t="s">
        <v>50</v>
      </c>
      <c r="R17" s="28" t="s">
        <v>50</v>
      </c>
      <c r="S17" s="28" t="s">
        <v>50</v>
      </c>
      <c r="T17" s="28" t="s">
        <v>50</v>
      </c>
      <c r="U17" s="28" t="s">
        <v>50</v>
      </c>
    </row>
    <row r="18" spans="2:22" ht="217.5" customHeight="1">
      <c r="B18" s="28" t="s">
        <v>63</v>
      </c>
      <c r="C18" s="28" t="s">
        <v>64</v>
      </c>
      <c r="D18" s="28" t="s">
        <v>41</v>
      </c>
      <c r="E18" s="28" t="s">
        <v>42</v>
      </c>
      <c r="F18" s="28" t="s">
        <v>43</v>
      </c>
      <c r="G18" s="28" t="s">
        <v>65</v>
      </c>
      <c r="H18" s="28" t="s">
        <v>45</v>
      </c>
      <c r="I18" s="28" t="s">
        <v>46</v>
      </c>
      <c r="J18" s="28" t="s">
        <v>66</v>
      </c>
      <c r="K18" s="28" t="s">
        <v>48</v>
      </c>
      <c r="L18" s="28" t="s">
        <v>49</v>
      </c>
      <c r="M18" s="28"/>
      <c r="N18" s="28">
        <v>0</v>
      </c>
      <c r="O18" s="28">
        <f>Tableau3[[#This Row],[HJ Dev]]*(25%+25%)</f>
        <v>0</v>
      </c>
      <c r="P18" s="28">
        <f>Tableau3[[#This Row],[HJ Analyse et Test]]+Tableau3[[#This Row],[HJ Dev]]</f>
        <v>0</v>
      </c>
      <c r="Q18" s="28" t="s">
        <v>50</v>
      </c>
      <c r="R18" s="28" t="s">
        <v>50</v>
      </c>
      <c r="S18" s="28" t="s">
        <v>50</v>
      </c>
      <c r="T18" s="28" t="s">
        <v>50</v>
      </c>
      <c r="U18" s="28" t="s">
        <v>50</v>
      </c>
      <c r="V18" s="28"/>
    </row>
    <row r="19" spans="2:22" ht="239.25" customHeight="1">
      <c r="B19" s="28" t="s">
        <v>67</v>
      </c>
      <c r="C19" s="28" t="s">
        <v>68</v>
      </c>
      <c r="D19" s="28" t="s">
        <v>41</v>
      </c>
      <c r="E19" s="28" t="s">
        <v>42</v>
      </c>
      <c r="F19" s="28" t="s">
        <v>43</v>
      </c>
      <c r="G19" s="28" t="s">
        <v>69</v>
      </c>
      <c r="H19" s="28" t="s">
        <v>45</v>
      </c>
      <c r="I19" s="28" t="s">
        <v>46</v>
      </c>
      <c r="J19" s="28" t="s">
        <v>70</v>
      </c>
      <c r="K19" s="28" t="s">
        <v>48</v>
      </c>
      <c r="L19" s="28" t="s">
        <v>49</v>
      </c>
      <c r="M19" s="28"/>
      <c r="N19" s="28">
        <v>0</v>
      </c>
      <c r="O19" s="28">
        <f>Tableau3[[#This Row],[HJ Dev]]*(25%+25%)</f>
        <v>0</v>
      </c>
      <c r="P19" s="28">
        <f>Tableau3[[#This Row],[HJ Analyse et Test]]+Tableau3[[#This Row],[HJ Dev]]</f>
        <v>0</v>
      </c>
      <c r="Q19" s="28" t="s">
        <v>50</v>
      </c>
      <c r="R19" s="28" t="s">
        <v>50</v>
      </c>
      <c r="S19" s="28" t="s">
        <v>50</v>
      </c>
      <c r="T19" s="28" t="s">
        <v>50</v>
      </c>
      <c r="U19" s="28" t="s">
        <v>50</v>
      </c>
      <c r="V19" s="28"/>
    </row>
    <row r="20" spans="2:22" ht="195" customHeight="1">
      <c r="B20" s="28" t="s">
        <v>71</v>
      </c>
      <c r="C20" s="28" t="s">
        <v>72</v>
      </c>
      <c r="D20" s="28" t="s">
        <v>41</v>
      </c>
      <c r="E20" s="28" t="s">
        <v>42</v>
      </c>
      <c r="F20" s="28" t="s">
        <v>43</v>
      </c>
      <c r="G20" s="28" t="s">
        <v>73</v>
      </c>
      <c r="H20" s="28" t="s">
        <v>45</v>
      </c>
      <c r="I20" s="28" t="s">
        <v>46</v>
      </c>
      <c r="J20" s="29" t="s">
        <v>74</v>
      </c>
      <c r="K20" s="28" t="s">
        <v>48</v>
      </c>
      <c r="L20" s="28" t="s">
        <v>49</v>
      </c>
      <c r="M20" s="28"/>
      <c r="N20" s="28">
        <v>0</v>
      </c>
      <c r="O20" s="28">
        <f>Tableau3[[#This Row],[HJ Dev]]*(25%+25%)</f>
        <v>0</v>
      </c>
      <c r="P20" s="28">
        <f>Tableau3[[#This Row],[HJ Analyse et Test]]+Tableau3[[#This Row],[HJ Dev]]</f>
        <v>0</v>
      </c>
      <c r="Q20" s="28" t="s">
        <v>50</v>
      </c>
      <c r="R20" s="28" t="s">
        <v>50</v>
      </c>
      <c r="S20" s="28" t="s">
        <v>50</v>
      </c>
      <c r="T20" s="28" t="s">
        <v>50</v>
      </c>
      <c r="U20" s="28" t="s">
        <v>50</v>
      </c>
      <c r="V20" s="28"/>
    </row>
    <row r="21" spans="2:22" ht="204.75" customHeight="1">
      <c r="B21" s="28" t="s">
        <v>75</v>
      </c>
      <c r="C21" s="28" t="s">
        <v>76</v>
      </c>
      <c r="D21" s="28" t="s">
        <v>41</v>
      </c>
      <c r="E21" s="28" t="s">
        <v>42</v>
      </c>
      <c r="F21" s="28" t="s">
        <v>43</v>
      </c>
      <c r="G21" s="28" t="s">
        <v>77</v>
      </c>
      <c r="H21" s="28" t="s">
        <v>45</v>
      </c>
      <c r="I21" s="28" t="s">
        <v>46</v>
      </c>
      <c r="J21" s="29" t="s">
        <v>78</v>
      </c>
      <c r="K21" s="28" t="s">
        <v>48</v>
      </c>
      <c r="L21" s="28" t="s">
        <v>49</v>
      </c>
      <c r="M21" s="28"/>
      <c r="N21" s="28">
        <v>0</v>
      </c>
      <c r="O21" s="28">
        <f>Tableau3[[#This Row],[HJ Dev]]*(25%+25%)</f>
        <v>0</v>
      </c>
      <c r="P21" s="28">
        <f>Tableau3[[#This Row],[HJ Analyse et Test]]+Tableau3[[#This Row],[HJ Dev]]</f>
        <v>0</v>
      </c>
      <c r="Q21" s="28" t="s">
        <v>50</v>
      </c>
      <c r="R21" s="28" t="s">
        <v>50</v>
      </c>
      <c r="S21" s="28" t="s">
        <v>50</v>
      </c>
      <c r="T21" s="28" t="s">
        <v>50</v>
      </c>
      <c r="U21" s="28" t="s">
        <v>50</v>
      </c>
      <c r="V21" s="28"/>
    </row>
    <row r="22" spans="2:22" ht="240.75" customHeight="1">
      <c r="B22" s="28" t="s">
        <v>79</v>
      </c>
      <c r="C22" s="28" t="s">
        <v>80</v>
      </c>
      <c r="D22" s="28" t="s">
        <v>41</v>
      </c>
      <c r="E22" s="28" t="s">
        <v>42</v>
      </c>
      <c r="F22" s="28" t="s">
        <v>43</v>
      </c>
      <c r="G22" s="28" t="s">
        <v>81</v>
      </c>
      <c r="H22" s="28" t="s">
        <v>45</v>
      </c>
      <c r="I22" s="28" t="s">
        <v>46</v>
      </c>
      <c r="J22" s="30" t="s">
        <v>82</v>
      </c>
      <c r="K22" s="28" t="s">
        <v>48</v>
      </c>
      <c r="L22" s="28" t="s">
        <v>49</v>
      </c>
      <c r="M22" s="28"/>
      <c r="N22" s="28">
        <v>0</v>
      </c>
      <c r="O22" s="28">
        <f>Tableau3[[#This Row],[HJ Dev]]*(25%+25%)</f>
        <v>0</v>
      </c>
      <c r="P22" s="28">
        <f>Tableau3[[#This Row],[HJ Analyse et Test]]+Tableau3[[#This Row],[HJ Dev]]</f>
        <v>0</v>
      </c>
      <c r="Q22" s="28" t="s">
        <v>50</v>
      </c>
      <c r="R22" s="28" t="s">
        <v>50</v>
      </c>
      <c r="S22" s="28" t="s">
        <v>50</v>
      </c>
      <c r="T22" s="28" t="s">
        <v>50</v>
      </c>
      <c r="U22" s="28" t="s">
        <v>50</v>
      </c>
      <c r="V22" s="28"/>
    </row>
    <row r="23" spans="2:22" ht="87.75">
      <c r="B23" s="28" t="s">
        <v>83</v>
      </c>
      <c r="C23" s="28" t="s">
        <v>84</v>
      </c>
      <c r="D23" s="28" t="s">
        <v>41</v>
      </c>
      <c r="E23" s="28" t="s">
        <v>42</v>
      </c>
      <c r="F23" s="28" t="s">
        <v>43</v>
      </c>
      <c r="G23" s="31" t="s">
        <v>85</v>
      </c>
      <c r="H23" s="28" t="s">
        <v>45</v>
      </c>
      <c r="I23" s="28" t="s">
        <v>46</v>
      </c>
      <c r="J23" s="30" t="s">
        <v>86</v>
      </c>
      <c r="K23" s="28" t="s">
        <v>48</v>
      </c>
      <c r="L23" s="28" t="s">
        <v>49</v>
      </c>
      <c r="M23" s="28"/>
      <c r="N23" s="28">
        <v>0</v>
      </c>
      <c r="O23" s="28">
        <f>Tableau3[[#This Row],[HJ Dev]]*(25%+25%)</f>
        <v>0</v>
      </c>
      <c r="P23" s="28">
        <f>Tableau3[[#This Row],[HJ Analyse et Test]]+Tableau3[[#This Row],[HJ Dev]]</f>
        <v>0</v>
      </c>
      <c r="Q23" s="28" t="s">
        <v>50</v>
      </c>
      <c r="R23" s="28" t="s">
        <v>50</v>
      </c>
      <c r="S23" s="28" t="s">
        <v>50</v>
      </c>
      <c r="T23" s="28" t="s">
        <v>50</v>
      </c>
      <c r="U23" s="28" t="s">
        <v>50</v>
      </c>
      <c r="V23" s="28"/>
    </row>
    <row r="24" spans="2:22" ht="134.25" customHeight="1">
      <c r="B24" s="28" t="s">
        <v>87</v>
      </c>
      <c r="C24" s="28" t="s">
        <v>88</v>
      </c>
      <c r="D24" s="28" t="s">
        <v>41</v>
      </c>
      <c r="E24" s="28" t="s">
        <v>42</v>
      </c>
      <c r="F24" s="28" t="s">
        <v>43</v>
      </c>
      <c r="G24" s="28" t="s">
        <v>89</v>
      </c>
      <c r="H24" s="28" t="s">
        <v>45</v>
      </c>
      <c r="I24" s="28" t="s">
        <v>46</v>
      </c>
      <c r="J24" s="29" t="s">
        <v>90</v>
      </c>
      <c r="K24" s="28" t="s">
        <v>48</v>
      </c>
      <c r="L24" s="28" t="s">
        <v>49</v>
      </c>
      <c r="M24" s="28"/>
      <c r="N24" s="28">
        <v>0</v>
      </c>
      <c r="O24" s="28">
        <f>Tableau3[[#This Row],[HJ Dev]]*(25%+25%)</f>
        <v>0</v>
      </c>
      <c r="P24" s="28">
        <f>Tableau3[[#This Row],[HJ Analyse et Test]]+Tableau3[[#This Row],[HJ Dev]]</f>
        <v>0</v>
      </c>
      <c r="Q24" s="28" t="s">
        <v>50</v>
      </c>
      <c r="R24" s="28" t="s">
        <v>50</v>
      </c>
      <c r="S24" s="28" t="s">
        <v>50</v>
      </c>
      <c r="T24" s="28" t="s">
        <v>50</v>
      </c>
      <c r="U24" s="28" t="s">
        <v>50</v>
      </c>
      <c r="V24" s="28"/>
    </row>
    <row r="25" spans="2:22" ht="237.75" customHeight="1">
      <c r="B25" s="28" t="s">
        <v>91</v>
      </c>
      <c r="C25" s="32" t="s">
        <v>92</v>
      </c>
      <c r="D25" s="32" t="s">
        <v>41</v>
      </c>
      <c r="E25" s="32" t="s">
        <v>42</v>
      </c>
      <c r="F25" s="32" t="s">
        <v>43</v>
      </c>
      <c r="G25" s="32" t="s">
        <v>93</v>
      </c>
      <c r="H25" s="32" t="s">
        <v>45</v>
      </c>
      <c r="I25" s="28" t="s">
        <v>46</v>
      </c>
      <c r="J25" s="28" t="s">
        <v>94</v>
      </c>
      <c r="K25" s="28" t="s">
        <v>48</v>
      </c>
      <c r="L25" s="28" t="s">
        <v>49</v>
      </c>
      <c r="M25" s="28"/>
      <c r="N25" s="28">
        <v>0</v>
      </c>
      <c r="O25" s="28">
        <f>Tableau3[[#This Row],[HJ Dev]]*(25%+25%)</f>
        <v>0</v>
      </c>
      <c r="P25" s="28">
        <f>Tableau3[[#This Row],[HJ Analyse et Test]]+Tableau3[[#This Row],[HJ Dev]]</f>
        <v>0</v>
      </c>
      <c r="Q25" s="28" t="s">
        <v>50</v>
      </c>
      <c r="R25" s="28" t="s">
        <v>50</v>
      </c>
      <c r="S25" s="28" t="s">
        <v>50</v>
      </c>
      <c r="T25" s="28" t="s">
        <v>50</v>
      </c>
      <c r="U25" s="28" t="s">
        <v>50</v>
      </c>
      <c r="V25" s="28"/>
    </row>
    <row r="26" spans="2:22" ht="127.5" customHeight="1">
      <c r="B26" s="28" t="s">
        <v>95</v>
      </c>
      <c r="C26" s="28" t="s">
        <v>96</v>
      </c>
      <c r="D26" s="28" t="s">
        <v>41</v>
      </c>
      <c r="E26" s="28" t="s">
        <v>42</v>
      </c>
      <c r="F26" s="28" t="s">
        <v>43</v>
      </c>
      <c r="G26" s="31" t="s">
        <v>97</v>
      </c>
      <c r="H26" s="28" t="s">
        <v>45</v>
      </c>
      <c r="I26" s="28" t="s">
        <v>46</v>
      </c>
      <c r="J26" s="28" t="s">
        <v>98</v>
      </c>
      <c r="K26" s="28" t="s">
        <v>48</v>
      </c>
      <c r="L26" s="28" t="s">
        <v>49</v>
      </c>
      <c r="M26" s="28"/>
      <c r="N26" s="28">
        <v>0</v>
      </c>
      <c r="O26" s="28">
        <f>Tableau3[[#This Row],[HJ Dev]]*(25%+25%)</f>
        <v>0</v>
      </c>
      <c r="P26" s="28">
        <f>Tableau3[[#This Row],[HJ Analyse et Test]]+Tableau3[[#This Row],[HJ Dev]]</f>
        <v>0</v>
      </c>
      <c r="Q26" s="28" t="s">
        <v>50</v>
      </c>
      <c r="R26" s="28" t="s">
        <v>50</v>
      </c>
      <c r="S26" s="28" t="s">
        <v>50</v>
      </c>
      <c r="T26" s="28" t="s">
        <v>50</v>
      </c>
      <c r="U26" s="28" t="s">
        <v>50</v>
      </c>
      <c r="V26" s="28"/>
    </row>
    <row r="27" spans="2:22">
      <c r="B27" s="28"/>
      <c r="C27" s="28"/>
      <c r="D27" s="28"/>
      <c r="E27" s="28"/>
      <c r="F27" s="28"/>
      <c r="G27" s="28"/>
      <c r="H27" s="28"/>
      <c r="I27" s="28"/>
      <c r="J27" s="30"/>
      <c r="K27" s="28"/>
      <c r="L27" s="28"/>
      <c r="M27" s="28"/>
      <c r="N27" s="28">
        <f>SUBTOTAL(109,Tableau3[HJ Dev])</f>
        <v>0</v>
      </c>
      <c r="O27" s="28">
        <f>SUBTOTAL(109,Tableau3[HJ Analyse et Test])</f>
        <v>0</v>
      </c>
      <c r="P27" s="28">
        <f>SUBTOTAL(109,Tableau3[Total HJ])</f>
        <v>0</v>
      </c>
      <c r="Q27" s="28"/>
      <c r="R27" s="28"/>
      <c r="S27" s="28"/>
      <c r="T27" s="28"/>
      <c r="U27" s="28"/>
      <c r="V27" s="28"/>
    </row>
    <row r="28" spans="2:22">
      <c r="B28" s="28"/>
      <c r="C28" s="28"/>
      <c r="D28" s="28"/>
      <c r="E28" s="28"/>
      <c r="F28" s="28"/>
      <c r="G28" s="31"/>
      <c r="H28" s="28"/>
      <c r="I28" s="28"/>
      <c r="J28" s="30"/>
      <c r="K28" s="28"/>
      <c r="P28" s="14">
        <v>6000</v>
      </c>
    </row>
    <row r="29" spans="2:22">
      <c r="B29" s="28"/>
      <c r="C29" s="28"/>
      <c r="D29" s="28"/>
      <c r="E29" s="28"/>
      <c r="F29" s="28"/>
      <c r="G29" s="28"/>
      <c r="H29" s="28"/>
      <c r="I29" s="28"/>
      <c r="J29" s="29"/>
      <c r="K29" s="28"/>
      <c r="P29" s="14">
        <v>2000</v>
      </c>
    </row>
    <row r="30" spans="2:22">
      <c r="B30" s="28"/>
      <c r="C30" s="28"/>
      <c r="D30" s="28"/>
      <c r="E30" s="28"/>
      <c r="F30" s="28"/>
      <c r="G30" s="28"/>
      <c r="H30" s="28"/>
      <c r="I30" s="28"/>
      <c r="J30" s="28"/>
      <c r="K30" s="28"/>
      <c r="P30" s="14">
        <v>4000</v>
      </c>
    </row>
    <row r="31" spans="2:22">
      <c r="B31" s="28"/>
      <c r="C31" s="28"/>
      <c r="D31" s="28"/>
      <c r="E31" s="28"/>
      <c r="F31" s="28"/>
      <c r="G31" s="28"/>
      <c r="H31" s="28"/>
      <c r="I31" s="28"/>
      <c r="J31" s="28"/>
      <c r="K31" s="28"/>
      <c r="P31" s="14">
        <v>1000</v>
      </c>
    </row>
    <row r="32" spans="2:22">
      <c r="B32" s="28"/>
      <c r="C32" s="32"/>
      <c r="D32" s="32"/>
      <c r="E32" s="32"/>
      <c r="F32" s="32"/>
      <c r="G32" s="32"/>
      <c r="H32" s="32"/>
      <c r="I32" s="28"/>
      <c r="J32" s="28"/>
      <c r="K32" s="28"/>
      <c r="P32" s="14">
        <v>4000</v>
      </c>
    </row>
    <row r="33" spans="2:11">
      <c r="B33" s="28"/>
      <c r="C33" s="28"/>
      <c r="D33" s="28"/>
      <c r="E33" s="28"/>
      <c r="F33" s="28"/>
      <c r="G33" s="31"/>
      <c r="H33" s="28"/>
      <c r="I33" s="28"/>
      <c r="J33" s="28"/>
      <c r="K33" s="28"/>
    </row>
  </sheetData>
  <mergeCells count="3">
    <mergeCell ref="Q2:V2"/>
    <mergeCell ref="B2:M2"/>
    <mergeCell ref="N2:P2"/>
  </mergeCells>
  <phoneticPr fontId="2" type="noConversion"/>
  <dataValidations count="2">
    <dataValidation type="whole" operator="greaterThanOrEqual" allowBlank="1" showInputMessage="1" showErrorMessage="1" sqref="O14:P26" xr:uid="{10E2E794-3894-4CC1-AB1A-9BB5BF41EABB}">
      <formula1>0</formula1>
    </dataValidation>
    <dataValidation type="decimal" operator="greaterThanOrEqual" allowBlank="1" showInputMessage="1" showErrorMessage="1" sqref="N14:N26" xr:uid="{7A3F89F7-3459-4C02-B3E5-6C8E00637FD7}">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9E253E9F-6967-4CE3-BEC2-E6EF086F8550}">
          <x14:formula1>
            <xm:f>Params!$B$3:$B$10</xm:f>
          </x14:formula1>
          <xm:sqref>D4</xm:sqref>
        </x14:dataValidation>
        <x14:dataValidation type="list" allowBlank="1" showInputMessage="1" showErrorMessage="1" xr:uid="{06B2A4DB-2A94-4B0B-971B-CDFF438E23BA}">
          <x14:formula1>
            <xm:f>Params!$G$3:$G$9</xm:f>
          </x14:formula1>
          <xm:sqref>M14:M26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4" zoomScale="80" zoomScaleNormal="80" workbookViewId="0">
      <selection activeCell="I28" sqref="I28"/>
    </sheetView>
  </sheetViews>
  <sheetFormatPr defaultColWidth="11.42578125" defaultRowHeight="14.45"/>
  <cols>
    <col min="1" max="1" width="12" style="1" customWidth="1"/>
    <col min="2" max="2" width="10.140625" style="1" customWidth="1"/>
    <col min="3" max="3" width="11.42578125" style="1"/>
    <col min="4" max="4" width="58.42578125" style="1" customWidth="1"/>
    <col min="5" max="5" width="15.85546875" style="1" customWidth="1"/>
    <col min="6" max="6" width="22.42578125" style="1" customWidth="1"/>
    <col min="7" max="7" width="16.5703125" style="1" customWidth="1"/>
    <col min="8" max="16384" width="11.42578125" style="1"/>
  </cols>
  <sheetData>
    <row r="2" spans="1:7" ht="15" thickBot="1"/>
    <row r="3" spans="1:7" ht="24" customHeight="1" thickBot="1">
      <c r="A3" s="1" t="s">
        <v>99</v>
      </c>
      <c r="B3" s="42" t="s">
        <v>0</v>
      </c>
      <c r="C3" s="43"/>
      <c r="D3" s="43"/>
      <c r="E3" s="43"/>
      <c r="F3" s="43"/>
      <c r="G3" s="44"/>
    </row>
    <row r="4" spans="1:7">
      <c r="B4" s="2"/>
      <c r="C4" s="3"/>
      <c r="D4" s="3"/>
      <c r="E4" s="3"/>
      <c r="F4" s="3"/>
      <c r="G4" s="3"/>
    </row>
    <row r="5" spans="1:7">
      <c r="B5" s="8" t="str">
        <f>'Gestion Exigences'!B5</f>
        <v>Client</v>
      </c>
      <c r="D5" s="8" t="str">
        <f>'Gestion Exigences'!D5</f>
        <v>CHO</v>
      </c>
      <c r="E5" s="3"/>
      <c r="F5" s="3"/>
      <c r="G5" s="3"/>
    </row>
    <row r="6" spans="1:7">
      <c r="B6" s="8" t="str">
        <f>'Gestion Exigences'!B6</f>
        <v>Projet</v>
      </c>
      <c r="D6" s="8" t="str">
        <f>'Gestion Exigences'!D6</f>
        <v>Digitalisation Ligne Moderne</v>
      </c>
      <c r="E6" s="3"/>
      <c r="F6" s="3"/>
      <c r="G6" s="3"/>
    </row>
    <row r="7" spans="1:7">
      <c r="B7" s="8" t="str">
        <f>'Gestion Exigences'!B7</f>
        <v>Réf BPA du Devis</v>
      </c>
      <c r="D7" s="8" t="str">
        <f>'Gestion Exigences'!D7</f>
        <v>S0-00xyz</v>
      </c>
      <c r="E7" s="3"/>
      <c r="F7" s="3"/>
      <c r="G7" s="3"/>
    </row>
    <row r="8" spans="1:7">
      <c r="B8" s="8" t="str">
        <f>'Gestion Exigences'!B8</f>
        <v>Réf BPA du Projet</v>
      </c>
      <c r="D8" s="8" t="str">
        <f>'Gestion Exigences'!D8</f>
        <v>PR-22-0xyz</v>
      </c>
      <c r="E8" s="3"/>
      <c r="F8" s="3"/>
      <c r="G8" s="3"/>
    </row>
    <row r="9" spans="1:7">
      <c r="B9" s="2"/>
      <c r="C9" s="8"/>
      <c r="D9" s="3"/>
      <c r="E9" s="3"/>
      <c r="F9" s="3"/>
      <c r="G9" s="3"/>
    </row>
    <row r="10" spans="1:7">
      <c r="B10" s="11" t="str">
        <f>'Gestion Exigences'!B10</f>
        <v>Réf Modèle Document</v>
      </c>
      <c r="C10" s="12" t="str">
        <f>'Gestion Exigences'!D10</f>
        <v>MD203</v>
      </c>
      <c r="D10" s="3"/>
      <c r="E10" s="3"/>
      <c r="F10" s="3"/>
      <c r="G10" s="3"/>
    </row>
    <row r="11" spans="1:7">
      <c r="B11" s="11" t="str">
        <f>'Gestion Exigences'!B11</f>
        <v>Version Modèle Document</v>
      </c>
      <c r="C11" s="12" t="str">
        <f>'Gestion Exigences'!D11</f>
        <v>V1.5</v>
      </c>
      <c r="D11" s="3"/>
      <c r="E11" s="3"/>
      <c r="F11" s="3"/>
      <c r="G11" s="3"/>
    </row>
    <row r="12" spans="1:7">
      <c r="B12" s="2"/>
      <c r="C12" s="3"/>
      <c r="D12" s="3"/>
      <c r="E12" s="3"/>
      <c r="F12" s="3"/>
      <c r="G12" s="3"/>
    </row>
    <row r="13" spans="1:7">
      <c r="B13" s="9" t="s">
        <v>100</v>
      </c>
      <c r="C13" s="9" t="s">
        <v>101</v>
      </c>
      <c r="D13" s="9" t="s">
        <v>102</v>
      </c>
      <c r="E13" s="9" t="s">
        <v>103</v>
      </c>
      <c r="F13" s="9" t="s">
        <v>104</v>
      </c>
      <c r="G13" s="9" t="s">
        <v>105</v>
      </c>
    </row>
    <row r="14" spans="1:7" ht="29.45" customHeight="1">
      <c r="B14" s="4" t="s">
        <v>106</v>
      </c>
      <c r="C14" s="5">
        <v>45763</v>
      </c>
      <c r="D14" s="10" t="s">
        <v>107</v>
      </c>
      <c r="E14" s="4" t="s">
        <v>108</v>
      </c>
      <c r="F14" s="10" t="s">
        <v>109</v>
      </c>
      <c r="G14" s="4" t="s">
        <v>110</v>
      </c>
    </row>
    <row r="15" spans="1:7">
      <c r="C15" s="13"/>
    </row>
    <row r="16" spans="1:7">
      <c r="C16" s="13"/>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defaultColWidth="11.42578125" defaultRowHeight="12.95"/>
  <cols>
    <col min="1" max="2" width="11.42578125" style="6"/>
    <col min="3" max="4" width="19.5703125" style="6" customWidth="1"/>
    <col min="5" max="5" width="23.85546875" style="6" customWidth="1"/>
    <col min="6" max="6" width="14.42578125" style="6" customWidth="1"/>
    <col min="7" max="7" width="23.85546875" style="6" customWidth="1"/>
    <col min="8" max="8" width="25.140625" style="6" customWidth="1"/>
    <col min="9" max="9" width="20.42578125" style="6" customWidth="1"/>
    <col min="10" max="16384" width="11.42578125" style="6"/>
  </cols>
  <sheetData>
    <row r="2" spans="2:9" ht="26.1">
      <c r="B2" s="7" t="s">
        <v>3</v>
      </c>
      <c r="C2" s="7" t="s">
        <v>20</v>
      </c>
      <c r="D2" s="7" t="s">
        <v>111</v>
      </c>
      <c r="E2" s="7" t="s">
        <v>24</v>
      </c>
      <c r="F2" s="7" t="s">
        <v>112</v>
      </c>
      <c r="G2" s="7" t="s">
        <v>29</v>
      </c>
      <c r="H2" s="7" t="s">
        <v>113</v>
      </c>
      <c r="I2" s="7" t="s">
        <v>21</v>
      </c>
    </row>
    <row r="3" spans="2:9">
      <c r="B3" s="6" t="s">
        <v>114</v>
      </c>
      <c r="C3" s="6" t="s">
        <v>41</v>
      </c>
      <c r="D3" s="6" t="s">
        <v>43</v>
      </c>
      <c r="E3" s="6" t="s">
        <v>115</v>
      </c>
      <c r="F3" s="6" t="s">
        <v>116</v>
      </c>
      <c r="G3" s="6" t="s">
        <v>117</v>
      </c>
      <c r="H3" s="6" t="s">
        <v>118</v>
      </c>
      <c r="I3" s="6" t="s">
        <v>119</v>
      </c>
    </row>
    <row r="4" spans="2:9">
      <c r="B4" s="6" t="s">
        <v>120</v>
      </c>
      <c r="C4" s="6" t="s">
        <v>121</v>
      </c>
      <c r="D4" s="6" t="s">
        <v>122</v>
      </c>
      <c r="E4" s="6" t="s">
        <v>45</v>
      </c>
      <c r="F4" s="6" t="s">
        <v>123</v>
      </c>
      <c r="G4" s="6" t="s">
        <v>124</v>
      </c>
      <c r="H4" s="6" t="s">
        <v>125</v>
      </c>
      <c r="I4" s="6" t="s">
        <v>126</v>
      </c>
    </row>
    <row r="5" spans="2:9">
      <c r="B5" s="6" t="s">
        <v>127</v>
      </c>
      <c r="C5" s="6" t="s">
        <v>128</v>
      </c>
      <c r="D5" s="6" t="s">
        <v>129</v>
      </c>
      <c r="E5" s="6" t="s">
        <v>130</v>
      </c>
      <c r="F5" s="6" t="s">
        <v>50</v>
      </c>
      <c r="G5" s="6" t="s">
        <v>50</v>
      </c>
      <c r="H5" s="6" t="s">
        <v>50</v>
      </c>
      <c r="I5" s="6" t="s">
        <v>131</v>
      </c>
    </row>
    <row r="6" spans="2:9">
      <c r="B6" s="6" t="s">
        <v>4</v>
      </c>
      <c r="C6" s="6" t="s">
        <v>132</v>
      </c>
      <c r="D6" s="6" t="s">
        <v>133</v>
      </c>
      <c r="E6" s="6" t="s">
        <v>134</v>
      </c>
      <c r="I6" s="6" t="s">
        <v>135</v>
      </c>
    </row>
    <row r="7" spans="2:9">
      <c r="B7" s="6" t="s">
        <v>136</v>
      </c>
      <c r="C7" s="6" t="s">
        <v>137</v>
      </c>
      <c r="D7" s="6" t="s">
        <v>138</v>
      </c>
      <c r="E7" s="6" t="s">
        <v>139</v>
      </c>
      <c r="I7" s="6" t="s">
        <v>140</v>
      </c>
    </row>
    <row r="8" spans="2:9">
      <c r="B8" s="6" t="s">
        <v>141</v>
      </c>
      <c r="C8" s="6" t="s">
        <v>142</v>
      </c>
      <c r="E8" s="6" t="s">
        <v>143</v>
      </c>
      <c r="I8" s="6" t="s">
        <v>144</v>
      </c>
    </row>
    <row r="9" spans="2:9">
      <c r="B9" s="6" t="s">
        <v>145</v>
      </c>
      <c r="E9" s="6" t="s">
        <v>146</v>
      </c>
      <c r="I9" s="6" t="s">
        <v>147</v>
      </c>
    </row>
    <row r="10" spans="2:9">
      <c r="I10" s="6" t="s">
        <v>148</v>
      </c>
    </row>
    <row r="11" spans="2:9">
      <c r="I11" s="6" t="s">
        <v>149</v>
      </c>
    </row>
    <row r="13" spans="2:9">
      <c r="I13" s="6" t="s">
        <v>150</v>
      </c>
    </row>
    <row r="14" spans="2:9">
      <c r="I14" s="6" t="s">
        <v>151</v>
      </c>
    </row>
    <row r="15" spans="2:9">
      <c r="I15" s="6" t="s">
        <v>42</v>
      </c>
    </row>
    <row r="16" spans="2:9">
      <c r="I16" s="6" t="s">
        <v>152</v>
      </c>
    </row>
    <row r="17" spans="9:9">
      <c r="I17" s="6" t="s">
        <v>153</v>
      </c>
    </row>
    <row r="18" spans="9:9">
      <c r="I18" s="6" t="s">
        <v>154</v>
      </c>
    </row>
    <row r="19" spans="9:9">
      <c r="I19" s="6" t="s">
        <v>155</v>
      </c>
    </row>
    <row r="21" spans="9:9">
      <c r="I21" s="6" t="s">
        <v>156</v>
      </c>
    </row>
    <row r="22" spans="9:9" ht="26.1">
      <c r="I22" s="6" t="s">
        <v>157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0C88D9-B6C5-44C9-8B2E-0C8087FD48B7}"/>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2025-05-02T09:22:47Z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