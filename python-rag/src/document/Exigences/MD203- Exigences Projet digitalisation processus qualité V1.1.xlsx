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04"/>
  <workbookPr/>
  <mc:AlternateContent xmlns:mc="http://schemas.openxmlformats.org/markup-compatibility/2006">
    <mc:Choice Requires="x15">
      <x15ac:absPath xmlns:x15ac="http://schemas.microsoft.com/office/spreadsheetml/2010/11/ac" url="https://addixo.sharepoint.com/COM/Documents partages/02 Prospects/Era-contact/8 SF/01 Digitalisation processus qualité/2 Préparation Offre/"/>
    </mc:Choice>
  </mc:AlternateContent>
  <xr:revisionPtr revIDLastSave="616" documentId="8_{C7C71DF9-3396-48FD-9CAD-F77F790B3B12}" xr6:coauthVersionLast="47" xr6:coauthVersionMax="47" xr10:uidLastSave="{55A0C5AA-0F5A-4A4F-A136-923F98218991}"/>
  <bookViews>
    <workbookView xWindow="-120" yWindow="-120" windowWidth="20730" windowHeight="11040" tabRatio="620" xr2:uid="{00000000-000D-0000-FFFF-FFFF00000000}"/>
  </bookViews>
  <sheets>
    <sheet name="Gestion Exigences" sheetId="27" r:id="rId1"/>
    <sheet name="Modifs Doc" sheetId="29" r:id="rId2"/>
    <sheet name="Params" sheetId="30" r:id="rId3"/>
  </sheets>
  <definedNames>
    <definedName name="_xlnm.Print_Area" localSheetId="0">'Gestion Exigences'!$C$2:$I$20</definedName>
    <definedName name="_xlnm.Print_Area" localSheetId="1">'Modifs Doc'!$B$2:$G$14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2" i="27" l="1"/>
  <c r="O13" i="27"/>
  <c r="O14" i="27"/>
  <c r="O15" i="27"/>
  <c r="O16" i="27"/>
  <c r="O17" i="27"/>
  <c r="O18" i="27"/>
  <c r="O19" i="27"/>
  <c r="O20" i="27"/>
  <c r="P12" i="27"/>
  <c r="P28" i="27" l="1"/>
  <c r="O21" i="27"/>
  <c r="N21" i="27"/>
  <c r="P16" i="27"/>
  <c r="P13" i="27"/>
  <c r="P14" i="27"/>
  <c r="P15" i="27"/>
  <c r="P17" i="27"/>
  <c r="P19" i="27" l="1"/>
  <c r="P20" i="27"/>
  <c r="P18" i="27"/>
  <c r="P21" i="27" l="1"/>
  <c r="C5" i="29"/>
  <c r="C6" i="29"/>
  <c r="C7" i="29"/>
  <c r="C8" i="29"/>
  <c r="C9" i="29"/>
  <c r="C10" i="29"/>
  <c r="B6" i="29"/>
  <c r="B7" i="29"/>
  <c r="B8" i="29"/>
  <c r="B9" i="29"/>
  <c r="B10" i="29"/>
  <c r="B5" i="29"/>
</calcChain>
</file>

<file path=xl/sharedStrings.xml><?xml version="1.0" encoding="utf-8"?>
<sst xmlns="http://schemas.openxmlformats.org/spreadsheetml/2006/main" count="158" uniqueCount="135">
  <si>
    <t>Gestion Exigences Projet</t>
  </si>
  <si>
    <t>Chiffrage Réalisation SF</t>
  </si>
  <si>
    <t>Revue et Vérification pendant la Conception</t>
  </si>
  <si>
    <t>Client</t>
  </si>
  <si>
    <t>Era-contact</t>
  </si>
  <si>
    <t>Projet</t>
  </si>
  <si>
    <t xml:space="preserve">Digitalisation processus qualité </t>
  </si>
  <si>
    <t>Réf BPA du Devis</t>
  </si>
  <si>
    <t>S0-00xy</t>
  </si>
  <si>
    <t>Réf BPA du Projet</t>
  </si>
  <si>
    <t>PR-22-0xyz</t>
  </si>
  <si>
    <t>Réf Modèle Document</t>
  </si>
  <si>
    <t>MD203</t>
  </si>
  <si>
    <t>Confidentiel</t>
  </si>
  <si>
    <t>Version Modèle Document</t>
  </si>
  <si>
    <t>V1.6</t>
  </si>
  <si>
    <t>ID</t>
  </si>
  <si>
    <t>Exigence</t>
  </si>
  <si>
    <t>Nature</t>
  </si>
  <si>
    <t>Catégorie</t>
  </si>
  <si>
    <t>Exigence idenfiée pendant la phase</t>
  </si>
  <si>
    <t>Description de l'exigence</t>
  </si>
  <si>
    <t>Source</t>
  </si>
  <si>
    <t>Desciption de la solution ADDIXO</t>
  </si>
  <si>
    <t>Ecart entre exigence client et la solution proposée - préciser aussi les limites et hypothèses si applicable</t>
  </si>
  <si>
    <t>Validation Interne</t>
  </si>
  <si>
    <t>Validation Interne par:</t>
  </si>
  <si>
    <t>Statut Client</t>
  </si>
  <si>
    <t>HJ Dev</t>
  </si>
  <si>
    <t>HJ Analyse et test</t>
  </si>
  <si>
    <t>Total HJ</t>
  </si>
  <si>
    <t>Description comment la conception de la solution prend en compte l'exigence client</t>
  </si>
  <si>
    <t>Conception réalisée par:</t>
  </si>
  <si>
    <t>Revue conception réalisée par</t>
  </si>
  <si>
    <t>Vérification de la conception réalisée par</t>
  </si>
  <si>
    <t xml:space="preserve">Preuve de vérification </t>
  </si>
  <si>
    <t>Notes</t>
  </si>
  <si>
    <t>E001</t>
  </si>
  <si>
    <t>Identification de l'OF</t>
  </si>
  <si>
    <t>Cette interface permet d'identifier l'OF et les numéros de séries des pièces associées</t>
  </si>
  <si>
    <t>La solution permet d'identifier l'OF par scan et les numéros de séries des pièces associées à partir de l'interface de test électrique</t>
  </si>
  <si>
    <t>RAS</t>
  </si>
  <si>
    <t>E002</t>
  </si>
  <si>
    <t>Déclaration des quantités conformes du test électrique</t>
  </si>
  <si>
    <t>Déclaration des quantités conformes par numéro de série</t>
  </si>
  <si>
    <t>La solution permet de déclarer les quantités conformes par rapport des numéros de série affectés à l'OF au niveau de l'interface de test électrique.</t>
  </si>
  <si>
    <t>E003</t>
  </si>
  <si>
    <t>Déclaration des quantités non conformes du test élctrique</t>
  </si>
  <si>
    <t>Fonctionnelle</t>
  </si>
  <si>
    <t>SF-Fonctionnelle</t>
  </si>
  <si>
    <t>Commerciale</t>
  </si>
  <si>
    <t xml:space="preserve">Déclaration des quantités non conformes par numéro de série et définition des causes de non-conformités
</t>
  </si>
  <si>
    <t>Workshop/réunion client</t>
  </si>
  <si>
    <t>A la selection d'OF, un tableau s'affiche permettant à l'utilisateur de sélectionner le numéro de série et d'en affecter les défauts. Les défauts qualité sont préablement configurés dans la base de données. Chaque déclaration de non conformité est enregistrée avec les informations suivantes : code OF,numéro de série, matircule utilisateur, code article, type de défaut, et quantité non conforme et commentaire.</t>
  </si>
  <si>
    <t>E004</t>
  </si>
  <si>
    <t xml:space="preserve">
Déclaration des quantités non conformes issues du contrôle visuel par processus.</t>
  </si>
  <si>
    <t>Déclaration des quantités non conformes issues du contrôle visuel par processus.</t>
  </si>
  <si>
    <t>La solution permet de déclarer les quantités non conformes en sélectionnant un OF, un numéro de série et l'opération et en choisissant les défauts parmi une liste préconfigurée dans la base de données. Chaque déclaration de non conformité est enregistrée avec les informations suivantes : code OF,numéro de série, matircule utilisateur, code article, type de défaut, et quantité non conforme et commenataire.
Seuls les numéros de série des pièces conformes ou des pièces non conformes avec dérogation passent au test visuel</t>
  </si>
  <si>
    <t>E005</t>
  </si>
  <si>
    <t xml:space="preserve">Validation par le responsable qualité </t>
  </si>
  <si>
    <t xml:space="preserve">Permettre la validation des quantités conformes et non-conformes par le responsable qualité </t>
  </si>
  <si>
    <t xml:space="preserve">La solution permet la validation des quantités conformes et non-conformes par le responsable qualité. </t>
  </si>
  <si>
    <t>E006</t>
  </si>
  <si>
    <t xml:space="preserve">Dérogation par le responsable qualité </t>
  </si>
  <si>
    <t xml:space="preserve">Permettre la dérogation des quantités non-confomres issues du test électrique </t>
  </si>
  <si>
    <t>La solution permet la dérogation des quantités non-confomres issues du test électrique. Les pièces déroguées peuvent passer par le test visuel</t>
  </si>
  <si>
    <t>E007</t>
  </si>
  <si>
    <t>Suivi de la non-conformité</t>
  </si>
  <si>
    <t>Suivi de la non-conformité des pièces contrôlées et enregistrement des résultats des tests de contrôle qualité par ordre de fabrication (code OF, matricule utilisateur, code article, type de défaut, et quantité non conforme), en prenant également en compte les fréquences de mesures.</t>
  </si>
  <si>
    <t>La solution permet d'enregistrer dans une base de données les quantités non conformes déclarées, ainsi que les défauts qui y sont associés. L'utilisateur peut consulter ces données à travers une interface équipée des filtres  par OF, par utilisateur, par code défaut, par opération..</t>
  </si>
  <si>
    <t>E008</t>
  </si>
  <si>
    <t>Intégration des défauts</t>
  </si>
  <si>
    <t>Intégration des défauts (code de défaut, type de défaut) associés aux produits concernés</t>
  </si>
  <si>
    <t>La solution permet d'intégrer manuellement une liste de défauts par catégorie, en les associant aux produits correspondants</t>
  </si>
  <si>
    <t>E009</t>
  </si>
  <si>
    <t>Extraire les données de non- conformités sous format Excel/CSV.</t>
  </si>
  <si>
    <t>Possibilité d'extraire les données de non- conformités sous format Excel/CSV.</t>
  </si>
  <si>
    <t xml:space="preserve">La solution offre la possibilité d'extraire les données de non-conformités au format Excel/CSV, organisées et catégorisées par date, opération, type de test..  </t>
  </si>
  <si>
    <t xml:space="preserve"> </t>
  </si>
  <si>
    <t>Version</t>
  </si>
  <si>
    <t>Date</t>
  </si>
  <si>
    <t>Modifications</t>
  </si>
  <si>
    <t>Auteur(s)</t>
  </si>
  <si>
    <t>Vérificateur(s)</t>
  </si>
  <si>
    <t>Approbateur</t>
  </si>
  <si>
    <t>V1.0</t>
  </si>
  <si>
    <t>Modules qualité produit, qualité processus et tableau de bord qualité</t>
  </si>
  <si>
    <t>Ikram G.</t>
  </si>
  <si>
    <t>Mahdi B.</t>
  </si>
  <si>
    <t>Imed A.</t>
  </si>
  <si>
    <t>V1.1</t>
  </si>
  <si>
    <t xml:space="preserve">Révision après une réunion fonctionnelle avec le client </t>
  </si>
  <si>
    <t>Nihel K.</t>
  </si>
  <si>
    <t>Exigence identifiée pendant la phase</t>
  </si>
  <si>
    <t>Oui/Non</t>
  </si>
  <si>
    <t>Statut Interne</t>
  </si>
  <si>
    <t>CdC client</t>
  </si>
  <si>
    <t>Oui</t>
  </si>
  <si>
    <t>Validée par le client</t>
  </si>
  <si>
    <t>Validée</t>
  </si>
  <si>
    <t>*** SE</t>
  </si>
  <si>
    <t>Performance</t>
  </si>
  <si>
    <t>Conception</t>
  </si>
  <si>
    <t>Non</t>
  </si>
  <si>
    <t>Non validée par client</t>
  </si>
  <si>
    <t>Non validée</t>
  </si>
  <si>
    <t>SE-Processus</t>
  </si>
  <si>
    <t>Reglementaire</t>
  </si>
  <si>
    <t>Réalisation</t>
  </si>
  <si>
    <t>Workshop/réunion Interne</t>
  </si>
  <si>
    <t>N/A</t>
  </si>
  <si>
    <t>SE-Mécanique</t>
  </si>
  <si>
    <t>Sécurité</t>
  </si>
  <si>
    <t>Mise en œuvre</t>
  </si>
  <si>
    <t>Standards client</t>
  </si>
  <si>
    <t>SE-Electrique</t>
  </si>
  <si>
    <t>Standard Client</t>
  </si>
  <si>
    <t>Support et maintenance</t>
  </si>
  <si>
    <t>Standards ADDIXO</t>
  </si>
  <si>
    <t>SE-Soft</t>
  </si>
  <si>
    <t>Standard ADDIXO</t>
  </si>
  <si>
    <t>Reglementation</t>
  </si>
  <si>
    <t>SE-Auto</t>
  </si>
  <si>
    <t>Demande modification</t>
  </si>
  <si>
    <t>SE-Fabrication</t>
  </si>
  <si>
    <t>SE-Intégration</t>
  </si>
  <si>
    <t>SE-Achats</t>
  </si>
  <si>
    <t>*** SF</t>
  </si>
  <si>
    <t>SF-Processus</t>
  </si>
  <si>
    <t>SF-Connectivité Machine</t>
  </si>
  <si>
    <t>SF-Intégration SI</t>
  </si>
  <si>
    <t>SF-Software</t>
  </si>
  <si>
    <t>SF-Infra IT</t>
  </si>
  <si>
    <t>*** TC</t>
  </si>
  <si>
    <t>TC-Prestations sur site client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</si>
</sst>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0"/>
      <name val="Arial"/>
    </font>
    <font>
      <sz val="10"/>
      <name val="Calibri Light"/>
      <family val="2"/>
      <scheme val="major"/>
    </font>
    <font>
      <sz val="8"/>
      <name val="Arial"/>
      <family val="2"/>
    </font>
    <font>
      <sz val="11"/>
      <name val="Calibri Light"/>
      <family val="2"/>
      <scheme val="major"/>
    </font>
    <font>
      <b/>
      <sz val="14"/>
      <name val="Calibri Light"/>
      <family val="2"/>
      <scheme val="major"/>
    </font>
    <font>
      <b/>
      <sz val="11"/>
      <name val="Calibri Light"/>
      <family val="2"/>
      <scheme val="major"/>
    </font>
    <font>
      <b/>
      <sz val="11"/>
      <name val="Calibri Light"/>
      <family val="2"/>
    </font>
    <font>
      <sz val="11"/>
      <name val="Arial"/>
      <family val="2"/>
    </font>
    <font>
      <sz val="11"/>
      <name val="Calibri Light"/>
      <family val="2"/>
    </font>
    <font>
      <b/>
      <sz val="12"/>
      <name val="Calibri Light"/>
      <family val="2"/>
    </font>
    <font>
      <sz val="10"/>
      <color theme="1"/>
      <name val="Calibri Light"/>
      <family val="2"/>
      <scheme val="major"/>
    </font>
    <font>
      <b/>
      <sz val="10"/>
      <name val="Calibri Light"/>
      <family val="2"/>
      <scheme val="major"/>
    </font>
    <font>
      <b/>
      <sz val="14"/>
      <color theme="0"/>
      <name val="Calibri Light"/>
      <family val="2"/>
      <scheme val="major"/>
    </font>
    <font>
      <sz val="8"/>
      <name val="Calibri Light"/>
      <family val="2"/>
      <scheme val="major"/>
    </font>
    <font>
      <sz val="8"/>
      <name val="Calibri Light"/>
      <family val="2"/>
    </font>
    <font>
      <b/>
      <sz val="11"/>
      <color theme="2" tint="-0.89999084444715716"/>
      <name val="Calibri Light"/>
      <family val="2"/>
    </font>
    <font>
      <b/>
      <sz val="10"/>
      <color rgb="FFFF0000"/>
      <name val="Calibri Light"/>
      <family val="2"/>
      <scheme val="major"/>
    </font>
  </fonts>
  <fills count="6">
    <fill>
      <patternFill patternType="none"/>
    </fill>
    <fill>
      <patternFill patternType="gray125"/>
    </fill>
    <fill>
      <patternFill patternType="solid">
        <fgColor rgb="FF00B050"/>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0"/>
        <bgColor indexed="64"/>
      </patternFill>
    </fill>
  </fills>
  <borders count="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theme="1"/>
      </top>
      <bottom/>
      <diagonal/>
    </border>
    <border>
      <left style="medium">
        <color indexed="64"/>
      </left>
      <right/>
      <top style="thin">
        <color theme="1"/>
      </top>
      <bottom/>
      <diagonal/>
    </border>
  </borders>
  <cellStyleXfs count="1">
    <xf numFmtId="0" fontId="0" fillId="0" borderId="0"/>
  </cellStyleXfs>
  <cellXfs count="41">
    <xf numFmtId="0" fontId="0" fillId="0" borderId="0" xfId="0"/>
    <xf numFmtId="0" fontId="1"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wrapText="1"/>
    </xf>
    <xf numFmtId="0" fontId="8" fillId="0" borderId="0" xfId="0" applyFont="1" applyAlignment="1">
      <alignment vertical="center" wrapText="1"/>
    </xf>
    <xf numFmtId="14" fontId="8" fillId="0" borderId="0" xfId="0" applyNumberFormat="1" applyFont="1" applyAlignment="1">
      <alignment vertical="center" wrapText="1"/>
    </xf>
    <xf numFmtId="0" fontId="11" fillId="0" borderId="0" xfId="0" applyFont="1" applyAlignment="1">
      <alignment horizontal="center" wrapText="1"/>
    </xf>
    <xf numFmtId="0" fontId="13" fillId="0" borderId="0" xfId="0" applyFont="1" applyAlignment="1">
      <alignment wrapText="1"/>
    </xf>
    <xf numFmtId="0" fontId="1" fillId="0" borderId="0" xfId="0" applyFont="1" applyAlignment="1">
      <alignment vertical="center" wrapText="1"/>
    </xf>
    <xf numFmtId="0" fontId="11" fillId="0" borderId="0" xfId="0" applyFont="1" applyAlignment="1">
      <alignment vertical="center" wrapText="1"/>
    </xf>
    <xf numFmtId="0" fontId="14" fillId="0" borderId="0" xfId="0" applyFont="1" applyAlignment="1">
      <alignment horizontal="left" vertical="center" wrapText="1"/>
    </xf>
    <xf numFmtId="0" fontId="6" fillId="0" borderId="0" xfId="0" applyFont="1" applyAlignment="1">
      <alignment horizontal="left" vertical="center"/>
    </xf>
    <xf numFmtId="0" fontId="14" fillId="0" borderId="0" xfId="0" applyFont="1" applyAlignment="1">
      <alignment horizontal="left" vertical="center"/>
    </xf>
    <xf numFmtId="0" fontId="15" fillId="3" borderId="0" xfId="0" applyFont="1" applyFill="1" applyAlignment="1">
      <alignment horizontal="center" vertical="center" wrapText="1"/>
    </xf>
    <xf numFmtId="0" fontId="10" fillId="4" borderId="2" xfId="0" applyFont="1" applyFill="1" applyBorder="1" applyAlignment="1">
      <alignment vertical="center" wrapText="1"/>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0" fillId="3" borderId="1" xfId="0" applyFont="1" applyFill="1" applyBorder="1" applyAlignment="1">
      <alignment vertical="center" wrapText="1"/>
    </xf>
    <xf numFmtId="0" fontId="10" fillId="3" borderId="2" xfId="0" applyFont="1" applyFill="1" applyBorder="1" applyAlignment="1">
      <alignment vertical="center" wrapText="1"/>
    </xf>
    <xf numFmtId="0" fontId="10" fillId="3" borderId="3" xfId="0" applyFont="1" applyFill="1" applyBorder="1" applyAlignment="1">
      <alignment vertical="center" wrapText="1"/>
    </xf>
    <xf numFmtId="0" fontId="16" fillId="0" borderId="0" xfId="0" applyFont="1" applyAlignment="1">
      <alignment wrapText="1"/>
    </xf>
    <xf numFmtId="0" fontId="10" fillId="0" borderId="0" xfId="0" applyFont="1" applyAlignment="1">
      <alignment wrapText="1"/>
    </xf>
    <xf numFmtId="0" fontId="10" fillId="0" borderId="0" xfId="0" applyFont="1" applyAlignment="1">
      <alignment vertical="center" wrapText="1"/>
    </xf>
    <xf numFmtId="14" fontId="3" fillId="0" borderId="0" xfId="0" applyNumberFormat="1" applyFont="1" applyAlignment="1">
      <alignment wrapText="1"/>
    </xf>
    <xf numFmtId="0" fontId="3" fillId="5" borderId="0" xfId="0" applyFont="1" applyFill="1" applyAlignment="1">
      <alignment vertical="center" wrapText="1"/>
    </xf>
    <xf numFmtId="0" fontId="3" fillId="0" borderId="0" xfId="0" applyFont="1" applyAlignment="1">
      <alignment vertical="center" wrapText="1"/>
    </xf>
    <xf numFmtId="0" fontId="5" fillId="0" borderId="0" xfId="0" applyFont="1" applyAlignment="1">
      <alignment horizontal="left" wrapText="1"/>
    </xf>
    <xf numFmtId="0" fontId="12" fillId="2" borderId="5" xfId="0" applyFont="1" applyFill="1" applyBorder="1" applyAlignment="1">
      <alignment horizontal="center" wrapText="1"/>
    </xf>
    <xf numFmtId="0" fontId="12" fillId="2" borderId="4" xfId="0" applyFont="1" applyFill="1" applyBorder="1" applyAlignment="1">
      <alignment horizontal="center" wrapText="1"/>
    </xf>
    <xf numFmtId="0" fontId="4" fillId="3" borderId="1" xfId="0" applyFont="1" applyFill="1" applyBorder="1" applyAlignment="1">
      <alignment horizontal="center" wrapText="1"/>
    </xf>
    <xf numFmtId="0" fontId="4" fillId="3" borderId="2" xfId="0" applyFont="1" applyFill="1" applyBorder="1" applyAlignment="1">
      <alignment horizontal="center" wrapText="1"/>
    </xf>
    <xf numFmtId="0" fontId="4" fillId="3" borderId="3" xfId="0" applyFont="1" applyFill="1" applyBorder="1" applyAlignment="1">
      <alignment horizontal="center" wrapText="1"/>
    </xf>
    <xf numFmtId="0" fontId="4" fillId="4" borderId="1" xfId="0" applyFont="1" applyFill="1" applyBorder="1" applyAlignment="1">
      <alignment horizontal="center" wrapText="1"/>
    </xf>
    <xf numFmtId="0" fontId="4" fillId="4" borderId="2" xfId="0" applyFont="1" applyFill="1" applyBorder="1" applyAlignment="1">
      <alignment horizontal="center" wrapText="1"/>
    </xf>
    <xf numFmtId="0" fontId="4" fillId="4" borderId="3" xfId="0" applyFont="1" applyFill="1" applyBorder="1" applyAlignment="1">
      <alignment horizontal="center" wrapText="1"/>
    </xf>
    <xf numFmtId="0" fontId="9" fillId="3"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cellXfs>
  <cellStyles count="1">
    <cellStyle name="Normal" xfId="0" builtinId="0"/>
  </cellStyles>
  <dxfs count="52">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i val="0"/>
        <strike val="0"/>
        <condense val="0"/>
        <extend val="0"/>
        <outline val="0"/>
        <shadow val="0"/>
        <u val="none"/>
        <vertAlign val="baseline"/>
        <sz val="11"/>
        <color theme="2" tint="-0.89999084444715716"/>
        <name val="Calibri Light"/>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strike val="0"/>
        <outline val="0"/>
        <shadow val="0"/>
        <u val="none"/>
        <vertAlign val="baseline"/>
        <sz val="11"/>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strike val="0"/>
        <outline val="0"/>
        <shadow val="0"/>
        <u val="none"/>
        <vertAlign val="baseline"/>
        <sz val="11"/>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1:V21" totalsRowCount="1" headerRowDxfId="51" dataDxfId="50">
  <autoFilter ref="B11:V20" xr:uid="{DDEA2C8B-EE0D-4C55-9256-CCC64E002CE6}"/>
  <tableColumns count="21">
    <tableColumn id="1" xr3:uid="{E467E0EE-CDAA-4FF5-85A8-CDC0B23A5AD9}" name="ID" dataDxfId="48" totalsRowDxfId="49"/>
    <tableColumn id="2" xr3:uid="{E53952AC-4972-47BD-8B1D-C7EF23088D0D}" name="Exigence" dataDxfId="46" totalsRowDxfId="47"/>
    <tableColumn id="8" xr3:uid="{B2D0BC2C-C803-4015-8FA6-70F84517BDB2}" name="Nature" dataDxfId="44" totalsRowDxfId="45"/>
    <tableColumn id="7" xr3:uid="{24F2F0ED-022E-4EC1-91D8-BFE0E4F2FD36}" name="Catégorie" dataDxfId="42" totalsRowDxfId="43"/>
    <tableColumn id="10" xr3:uid="{1FF81CF1-6D35-421C-8767-9E7FA06FEE6A}" name="Exigence idenfiée pendant la phase" dataDxfId="40" totalsRowDxfId="41"/>
    <tableColumn id="3" xr3:uid="{E7621A68-9552-4853-96A5-92A226EA42DD}" name="Description de l'exigence" dataDxfId="38" totalsRowDxfId="39"/>
    <tableColumn id="9" xr3:uid="{E6EEEC82-3576-4980-94B3-1423906CE531}" name="Source" dataDxfId="36" totalsRowDxfId="37"/>
    <tableColumn id="16" xr3:uid="{1441554A-79F9-4040-9CF5-AEBFF7ADF7D1}" name="Desciption de la solution ADDIXO" dataDxfId="34" totalsRowDxfId="35"/>
    <tableColumn id="17" xr3:uid="{D1BC9C86-C3CE-417F-AC83-FC4786A7656D}" name="Ecart entre exigence client et la solution proposée - préciser aussi les limites et hypothèses si applicable" dataDxfId="32" totalsRowDxfId="33"/>
    <tableColumn id="5" xr3:uid="{2649C3B7-E8B9-44F9-8883-E5BB6F91B4B1}" name="Validation Interne" dataDxfId="30" totalsRowDxfId="31"/>
    <tableColumn id="6" xr3:uid="{8CC493F8-0886-498D-AB98-B77300CC6510}" name="Validation Interne par:" dataDxfId="28" totalsRowDxfId="29"/>
    <tableColumn id="15" xr3:uid="{78231C60-0932-4386-925D-4C689A91C0E3}" name="Statut Client" dataDxfId="26" totalsRowDxfId="27"/>
    <tableColumn id="22" xr3:uid="{D944A0FD-E468-407F-91A6-BD8A29086A7B}" name="HJ Dev" totalsRowFunction="sum" dataDxfId="24" totalsRowDxfId="25"/>
    <tableColumn id="21" xr3:uid="{818C68C5-1CC3-4DC9-9BB8-2CB7816ABE9F}" name="HJ Analyse et test" totalsRowFunction="sum" dataDxfId="22" totalsRowDxfId="23">
      <calculatedColumnFormula>Tableau3[[#This Row],[HJ Dev]]*(50%)</calculatedColumnFormula>
    </tableColumn>
    <tableColumn id="20" xr3:uid="{81CB5860-4285-4425-ABF9-C91F3323BF25}" name="Total HJ" totalsRowFunction="sum" dataDxfId="20" totalsRowDxfId="21">
      <calculatedColumnFormula>Tableau3[[#This Row],[HJ Analyse et test]]+Tableau3[[#This Row],[HJ Dev]]</calculatedColumnFormula>
    </tableColumn>
    <tableColumn id="11" xr3:uid="{20685332-73A9-4B9D-874E-F1C9F770405F}" name="Description comment la conception de la solution prend en compte l'exigence client" dataDxfId="18" totalsRowDxfId="19"/>
    <tableColumn id="12" xr3:uid="{36B390F4-625A-46E1-864B-7108903FFD96}" name="Conception réalisée par:" dataDxfId="16" totalsRowDxfId="17"/>
    <tableColumn id="13" xr3:uid="{9016419E-83A5-4950-AB28-EA27A0D72FAD}" name="Revue conception réalisée par" dataDxfId="14" totalsRowDxfId="15"/>
    <tableColumn id="14" xr3:uid="{B5F29B7E-09EB-43EF-BD3D-9ADF38F7CC12}" name="Vérification de la conception réalisée par" dataDxfId="12" totalsRowDxfId="13"/>
    <tableColumn id="18" xr3:uid="{0CA25C90-64D6-43D5-90C8-CE6D70CCA638}" name="Preuve de vérification " dataDxfId="10" totalsRowDxfId="11"/>
    <tableColumn id="4" xr3:uid="{B7406A3A-A365-4F76-9A20-372573D19BC9}" name="Notes" dataDxfId="8" totalsRowDxfId="9"/>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D1385-A1F5-4391-ABC2-C9F250557626}" name="Tableau325" displayName="Tableau325" ref="B13:G15" totalsRowShown="0" headerRowDxfId="7" dataDxfId="6">
  <autoFilter ref="B13:G15" xr:uid="{96AD1385-A1F5-4391-ABC2-C9F250557626}"/>
  <tableColumns count="6">
    <tableColumn id="1" xr3:uid="{56DA355E-F205-482A-9CF1-CA3361A1D801}" name="Version" dataDxfId="5"/>
    <tableColumn id="2" xr3:uid="{C9D8A0D7-1D6E-479B-AF74-6D39D19E4653}" name="Date" dataDxfId="4"/>
    <tableColumn id="3" xr3:uid="{79109713-8A38-4162-A269-136157905B75}" name="Modifications" dataDxfId="3"/>
    <tableColumn id="4" xr3:uid="{AC928B3E-399C-4A3D-9FB5-9CD96F5D4745}" name="Auteur(s)" dataDxfId="2"/>
    <tableColumn id="5" xr3:uid="{0D0A428D-4F18-4D4E-A0CB-4D1A5057B6E9}" name="Vérificateur(s)" dataDxfId="1"/>
    <tableColumn id="6" xr3:uid="{D81EAB57-FBCA-44D9-8F45-58AF13AA08B6}" name="Approbateur" dataDxfId="0"/>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1:V28"/>
  <sheetViews>
    <sheetView tabSelected="1" topLeftCell="I19" zoomScaleNormal="100" workbookViewId="0">
      <selection activeCell="O13" sqref="O13"/>
    </sheetView>
  </sheetViews>
  <sheetFormatPr defaultColWidth="11.42578125" defaultRowHeight="12.75"/>
  <cols>
    <col min="1" max="1" width="11.42578125" style="1"/>
    <col min="2" max="2" width="6.140625" style="1" customWidth="1"/>
    <col min="3" max="3" width="36.5703125" style="1" customWidth="1"/>
    <col min="4" max="5" width="18.28515625" style="1" hidden="1" customWidth="1"/>
    <col min="6" max="6" width="13" style="1" hidden="1" customWidth="1"/>
    <col min="7" max="7" width="56.5703125" style="1" customWidth="1"/>
    <col min="8" max="8" width="18.42578125" style="1" hidden="1" customWidth="1"/>
    <col min="9" max="9" width="56.5703125" style="1" customWidth="1"/>
    <col min="10" max="10" width="33.140625" style="1" customWidth="1"/>
    <col min="11" max="12" width="13.5703125" style="1" customWidth="1"/>
    <col min="13" max="13" width="15.28515625" style="1" customWidth="1"/>
    <col min="14" max="14" width="13.28515625" style="1" customWidth="1"/>
    <col min="15" max="15" width="11.42578125" style="1" customWidth="1"/>
    <col min="16" max="16" width="15.28515625" style="1" customWidth="1"/>
    <col min="17" max="17" width="28.140625" style="1" customWidth="1"/>
    <col min="18" max="18" width="15.7109375" style="1" customWidth="1"/>
    <col min="19" max="19" width="14.28515625" style="1" customWidth="1"/>
    <col min="20" max="20" width="15.140625" style="1" customWidth="1"/>
    <col min="21" max="21" width="26" style="1" customWidth="1"/>
    <col min="22" max="22" width="30.85546875" style="1" customWidth="1"/>
    <col min="23" max="16384" width="11.42578125" style="1"/>
  </cols>
  <sheetData>
    <row r="1" spans="2:22" ht="13.5" thickBot="1"/>
    <row r="2" spans="2:22" ht="21.75" customHeight="1" thickBot="1">
      <c r="B2" s="32" t="s">
        <v>0</v>
      </c>
      <c r="C2" s="33"/>
      <c r="D2" s="33"/>
      <c r="E2" s="33"/>
      <c r="F2" s="33"/>
      <c r="G2" s="33"/>
      <c r="H2" s="33"/>
      <c r="I2" s="33"/>
      <c r="J2" s="33"/>
      <c r="K2" s="33"/>
      <c r="L2" s="33"/>
      <c r="M2" s="34"/>
      <c r="N2" s="35" t="s">
        <v>1</v>
      </c>
      <c r="O2" s="36"/>
      <c r="P2" s="37"/>
      <c r="Q2" s="30" t="s">
        <v>2</v>
      </c>
      <c r="R2" s="31"/>
      <c r="S2" s="31"/>
      <c r="T2" s="31"/>
      <c r="U2" s="31"/>
      <c r="V2" s="31"/>
    </row>
    <row r="3" spans="2:22" ht="21.75" customHeight="1">
      <c r="C3" s="8"/>
      <c r="D3" s="8"/>
      <c r="E3" s="8"/>
      <c r="F3" s="8"/>
      <c r="G3" s="8"/>
      <c r="H3" s="8"/>
      <c r="I3" s="8"/>
    </row>
    <row r="4" spans="2:22" ht="21.75" customHeight="1">
      <c r="C4" s="3" t="s">
        <v>3</v>
      </c>
      <c r="D4" s="29" t="s">
        <v>4</v>
      </c>
      <c r="E4" s="29"/>
      <c r="F4" s="29"/>
      <c r="G4" s="29"/>
      <c r="H4" s="29"/>
      <c r="I4" s="29"/>
    </row>
    <row r="5" spans="2:22" ht="15">
      <c r="C5" s="3" t="s">
        <v>5</v>
      </c>
      <c r="D5" s="29" t="s">
        <v>6</v>
      </c>
      <c r="E5" s="29"/>
      <c r="F5" s="29"/>
      <c r="G5" s="29"/>
      <c r="H5" s="29"/>
      <c r="I5" s="29"/>
    </row>
    <row r="6" spans="2:22" ht="15">
      <c r="C6" s="3" t="s">
        <v>7</v>
      </c>
      <c r="D6" s="29" t="s">
        <v>8</v>
      </c>
      <c r="E6" s="29"/>
      <c r="F6" s="29"/>
      <c r="G6" s="29"/>
      <c r="H6" s="29"/>
      <c r="I6" s="29"/>
    </row>
    <row r="7" spans="2:22" ht="15">
      <c r="C7" s="3" t="s">
        <v>9</v>
      </c>
      <c r="D7" s="29" t="s">
        <v>10</v>
      </c>
      <c r="E7" s="29"/>
      <c r="F7" s="29"/>
      <c r="G7" s="29"/>
      <c r="H7" s="29"/>
      <c r="I7" s="29"/>
    </row>
    <row r="8" spans="2:22">
      <c r="C8" s="9" t="s">
        <v>11</v>
      </c>
      <c r="D8" s="9" t="s">
        <v>12</v>
      </c>
      <c r="E8" s="9"/>
      <c r="F8" s="9"/>
      <c r="I8" s="23" t="s">
        <v>13</v>
      </c>
    </row>
    <row r="9" spans="2:22">
      <c r="C9" s="9" t="s">
        <v>14</v>
      </c>
      <c r="D9" s="9" t="s">
        <v>15</v>
      </c>
      <c r="E9" s="9"/>
      <c r="F9" s="9"/>
    </row>
    <row r="10" spans="2:22" ht="13.5" thickBot="1"/>
    <row r="11" spans="2:22" s="10" customFormat="1" ht="51.75" thickBot="1">
      <c r="B11" s="20" t="s">
        <v>16</v>
      </c>
      <c r="C11" s="21" t="s">
        <v>17</v>
      </c>
      <c r="D11" s="21" t="s">
        <v>18</v>
      </c>
      <c r="E11" s="21" t="s">
        <v>19</v>
      </c>
      <c r="F11" s="21" t="s">
        <v>20</v>
      </c>
      <c r="G11" s="21" t="s">
        <v>21</v>
      </c>
      <c r="H11" s="21" t="s">
        <v>22</v>
      </c>
      <c r="I11" s="21" t="s">
        <v>23</v>
      </c>
      <c r="J11" s="21" t="s">
        <v>24</v>
      </c>
      <c r="K11" s="21" t="s">
        <v>25</v>
      </c>
      <c r="L11" s="21" t="s">
        <v>26</v>
      </c>
      <c r="M11" s="22" t="s">
        <v>27</v>
      </c>
      <c r="N11" s="16" t="s">
        <v>28</v>
      </c>
      <c r="O11" s="16" t="s">
        <v>29</v>
      </c>
      <c r="P11" s="16" t="s">
        <v>30</v>
      </c>
      <c r="Q11" s="17" t="s">
        <v>31</v>
      </c>
      <c r="R11" s="18" t="s">
        <v>32</v>
      </c>
      <c r="S11" s="18" t="s">
        <v>33</v>
      </c>
      <c r="T11" s="18" t="s">
        <v>34</v>
      </c>
      <c r="U11" s="18" t="s">
        <v>35</v>
      </c>
      <c r="V11" s="19" t="s">
        <v>36</v>
      </c>
    </row>
    <row r="12" spans="2:22" s="10" customFormat="1" ht="50.25">
      <c r="B12" s="10" t="s">
        <v>37</v>
      </c>
      <c r="C12" s="27" t="s">
        <v>38</v>
      </c>
      <c r="D12" s="27"/>
      <c r="E12" s="27"/>
      <c r="F12" s="27"/>
      <c r="G12" s="27" t="s">
        <v>39</v>
      </c>
      <c r="H12" s="27"/>
      <c r="I12" s="27" t="s">
        <v>40</v>
      </c>
      <c r="J12" s="10" t="s">
        <v>41</v>
      </c>
      <c r="N12" s="10">
        <v>1</v>
      </c>
      <c r="O12" s="10">
        <f>Tableau3[[#This Row],[HJ Dev]]*(50%)</f>
        <v>0.5</v>
      </c>
      <c r="P12" s="10">
        <f>Tableau3[[#This Row],[HJ Analyse et test]]+Tableau3[[#This Row],[HJ Dev]]</f>
        <v>1.5</v>
      </c>
    </row>
    <row r="13" spans="2:22" s="10" customFormat="1" ht="50.25">
      <c r="B13" s="10" t="s">
        <v>42</v>
      </c>
      <c r="C13" s="27" t="s">
        <v>43</v>
      </c>
      <c r="D13" s="27"/>
      <c r="E13" s="27"/>
      <c r="F13" s="27"/>
      <c r="G13" s="27" t="s">
        <v>44</v>
      </c>
      <c r="H13" s="27"/>
      <c r="I13" s="27" t="s">
        <v>45</v>
      </c>
      <c r="J13" s="10" t="s">
        <v>41</v>
      </c>
      <c r="N13" s="10">
        <v>1</v>
      </c>
      <c r="O13" s="10">
        <f>Tableau3[[#This Row],[HJ Dev]]*(50%)</f>
        <v>0.5</v>
      </c>
      <c r="P13" s="10">
        <f>Tableau3[[#This Row],[HJ Analyse et test]]+Tableau3[[#This Row],[HJ Dev]]</f>
        <v>1.5</v>
      </c>
    </row>
    <row r="14" spans="2:22" s="10" customFormat="1" ht="133.5">
      <c r="B14" s="10" t="s">
        <v>46</v>
      </c>
      <c r="C14" s="27" t="s">
        <v>47</v>
      </c>
      <c r="D14" s="28" t="s">
        <v>48</v>
      </c>
      <c r="E14" s="28" t="s">
        <v>49</v>
      </c>
      <c r="F14" s="28" t="s">
        <v>50</v>
      </c>
      <c r="G14" s="27" t="s">
        <v>51</v>
      </c>
      <c r="H14" s="28" t="s">
        <v>52</v>
      </c>
      <c r="I14" s="27" t="s">
        <v>53</v>
      </c>
      <c r="J14" s="10" t="s">
        <v>41</v>
      </c>
      <c r="N14" s="10">
        <v>3</v>
      </c>
      <c r="O14" s="10">
        <f>Tableau3[[#This Row],[HJ Dev]]*(50%)</f>
        <v>1.5</v>
      </c>
      <c r="P14" s="10">
        <f>Tableau3[[#This Row],[HJ Analyse et test]]+Tableau3[[#This Row],[HJ Dev]]</f>
        <v>4.5</v>
      </c>
    </row>
    <row r="15" spans="2:22" s="10" customFormat="1" ht="182.25">
      <c r="B15" s="10" t="s">
        <v>54</v>
      </c>
      <c r="C15" s="27" t="s">
        <v>55</v>
      </c>
      <c r="D15" s="27"/>
      <c r="E15" s="27"/>
      <c r="F15" s="27"/>
      <c r="G15" s="27" t="s">
        <v>56</v>
      </c>
      <c r="H15" s="27"/>
      <c r="I15" s="27" t="s">
        <v>57</v>
      </c>
      <c r="J15" s="10" t="s">
        <v>41</v>
      </c>
      <c r="N15" s="10">
        <v>3</v>
      </c>
      <c r="O15" s="10">
        <f>Tableau3[[#This Row],[HJ Dev]]*(50%)</f>
        <v>1.5</v>
      </c>
      <c r="P15" s="10">
        <f>Tableau3[[#This Row],[HJ Analyse et test]]+Tableau3[[#This Row],[HJ Dev]]</f>
        <v>4.5</v>
      </c>
    </row>
    <row r="16" spans="2:22" s="10" customFormat="1" ht="33">
      <c r="B16" s="10" t="s">
        <v>58</v>
      </c>
      <c r="C16" s="27" t="s">
        <v>59</v>
      </c>
      <c r="D16" s="27"/>
      <c r="E16" s="27"/>
      <c r="F16" s="27"/>
      <c r="G16" s="27" t="s">
        <v>60</v>
      </c>
      <c r="H16" s="27"/>
      <c r="I16" s="27" t="s">
        <v>61</v>
      </c>
      <c r="J16" s="10" t="s">
        <v>41</v>
      </c>
      <c r="N16" s="10">
        <v>0.5</v>
      </c>
      <c r="O16" s="10">
        <f>Tableau3[[#This Row],[HJ Dev]]*(50%)</f>
        <v>0.25</v>
      </c>
      <c r="P16" s="10">
        <f>Tableau3[[#This Row],[HJ Analyse et test]]+Tableau3[[#This Row],[HJ Dev]]</f>
        <v>0.75</v>
      </c>
    </row>
    <row r="17" spans="2:22" s="10" customFormat="1" ht="50.25">
      <c r="B17" s="10" t="s">
        <v>62</v>
      </c>
      <c r="C17" s="27" t="s">
        <v>63</v>
      </c>
      <c r="D17" s="27"/>
      <c r="E17" s="27"/>
      <c r="F17" s="27"/>
      <c r="G17" s="27" t="s">
        <v>64</v>
      </c>
      <c r="H17" s="27"/>
      <c r="I17" s="27" t="s">
        <v>65</v>
      </c>
      <c r="J17" s="10" t="s">
        <v>41</v>
      </c>
      <c r="N17" s="10">
        <v>0.5</v>
      </c>
      <c r="O17" s="10">
        <f>Tableau3[[#This Row],[HJ Dev]]*(50%)</f>
        <v>0.25</v>
      </c>
      <c r="P17" s="10">
        <f>Tableau3[[#This Row],[HJ Analyse et test]]+Tableau3[[#This Row],[HJ Dev]]</f>
        <v>0.75</v>
      </c>
    </row>
    <row r="18" spans="2:22" s="10" customFormat="1" ht="83.25">
      <c r="B18" s="10" t="s">
        <v>66</v>
      </c>
      <c r="C18" s="27" t="s">
        <v>67</v>
      </c>
      <c r="D18" s="27"/>
      <c r="E18" s="27"/>
      <c r="F18" s="27"/>
      <c r="G18" s="27" t="s">
        <v>68</v>
      </c>
      <c r="H18" s="27"/>
      <c r="I18" s="27" t="s">
        <v>69</v>
      </c>
      <c r="J18" s="10" t="s">
        <v>41</v>
      </c>
      <c r="N18" s="10">
        <v>2</v>
      </c>
      <c r="O18" s="10">
        <f>Tableau3[[#This Row],[HJ Dev]]*(50%)</f>
        <v>1</v>
      </c>
      <c r="P18" s="10">
        <f>Tableau3[[#This Row],[HJ Analyse et test]]+Tableau3[[#This Row],[HJ Dev]]</f>
        <v>3</v>
      </c>
    </row>
    <row r="19" spans="2:22" s="10" customFormat="1" ht="50.25">
      <c r="B19" s="10" t="s">
        <v>70</v>
      </c>
      <c r="C19" s="27" t="s">
        <v>71</v>
      </c>
      <c r="D19" s="27"/>
      <c r="E19" s="27"/>
      <c r="F19" s="27"/>
      <c r="G19" s="27" t="s">
        <v>72</v>
      </c>
      <c r="H19" s="27"/>
      <c r="I19" s="27" t="s">
        <v>73</v>
      </c>
      <c r="J19" s="10" t="s">
        <v>41</v>
      </c>
      <c r="N19" s="10">
        <v>3</v>
      </c>
      <c r="O19" s="10">
        <f>Tableau3[[#This Row],[HJ Dev]]*(50%)</f>
        <v>1.5</v>
      </c>
      <c r="P19" s="10">
        <f>Tableau3[[#This Row],[HJ Analyse et test]]+Tableau3[[#This Row],[HJ Dev]]</f>
        <v>4.5</v>
      </c>
    </row>
    <row r="20" spans="2:22" s="10" customFormat="1" ht="50.25">
      <c r="B20" s="10" t="s">
        <v>74</v>
      </c>
      <c r="C20" s="28" t="s">
        <v>75</v>
      </c>
      <c r="D20" s="28" t="s">
        <v>48</v>
      </c>
      <c r="E20" s="28" t="s">
        <v>49</v>
      </c>
      <c r="F20" s="28" t="s">
        <v>50</v>
      </c>
      <c r="G20" s="28" t="s">
        <v>76</v>
      </c>
      <c r="H20" s="28" t="s">
        <v>52</v>
      </c>
      <c r="I20" s="28" t="s">
        <v>77</v>
      </c>
      <c r="J20" s="10" t="s">
        <v>41</v>
      </c>
      <c r="N20" s="10">
        <v>1</v>
      </c>
      <c r="O20" s="10">
        <f>Tableau3[[#This Row],[HJ Dev]]*(50%)</f>
        <v>0.5</v>
      </c>
      <c r="P20" s="10">
        <f>Tableau3[[#This Row],[HJ Analyse et test]]+Tableau3[[#This Row],[HJ Dev]]</f>
        <v>1.5</v>
      </c>
    </row>
    <row r="21" spans="2:22" ht="15">
      <c r="B21" s="10"/>
      <c r="C21" s="27"/>
      <c r="D21" s="27"/>
      <c r="E21" s="27"/>
      <c r="F21" s="27"/>
      <c r="G21" s="27"/>
      <c r="H21" s="27"/>
      <c r="I21" s="27"/>
      <c r="J21" s="28"/>
      <c r="K21" s="10"/>
      <c r="L21" s="10"/>
      <c r="M21" s="10"/>
      <c r="N21" s="10">
        <f>SUBTOTAL(109,Tableau3[HJ Dev])</f>
        <v>15</v>
      </c>
      <c r="O21" s="10">
        <f>SUBTOTAL(109,Tableau3[HJ Analyse et test])</f>
        <v>7.5</v>
      </c>
      <c r="P21" s="10">
        <f>SUBTOTAL(109,Tableau3[Total HJ])</f>
        <v>22.5</v>
      </c>
      <c r="Q21" s="10"/>
      <c r="R21" s="10"/>
      <c r="S21" s="10"/>
      <c r="T21" s="10"/>
      <c r="U21" s="10"/>
      <c r="V21" s="10"/>
    </row>
    <row r="28" spans="2:22">
      <c r="P28" s="1">
        <f>22.5*245</f>
        <v>5512.5</v>
      </c>
    </row>
  </sheetData>
  <mergeCells count="7">
    <mergeCell ref="D7:I7"/>
    <mergeCell ref="D6:I6"/>
    <mergeCell ref="Q2:V2"/>
    <mergeCell ref="B2:M2"/>
    <mergeCell ref="D4:I4"/>
    <mergeCell ref="D5:I5"/>
    <mergeCell ref="N2:P2"/>
  </mergeCells>
  <phoneticPr fontId="2" type="noConversion"/>
  <dataValidations count="2">
    <dataValidation type="whole" operator="greaterThanOrEqual" allowBlank="1" showInputMessage="1" showErrorMessage="1" sqref="P12:P20" xr:uid="{10E2E794-3894-4CC1-AB1A-9BB5BF41EABB}">
      <formula1>0</formula1>
    </dataValidation>
    <dataValidation operator="greaterThanOrEqual" allowBlank="1" showInputMessage="1" showErrorMessage="1" sqref="N12:O20" xr:uid="{ACA25A95-0D24-475F-ABB3-799029855FCF}"/>
  </dataValidations>
  <pageMargins left="0.7" right="0.7" top="0.75" bottom="0.75" header="0.3" footer="0.3"/>
  <pageSetup paperSize="9" scale="74" fitToHeight="0" orientation="landscape"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06B2A4DB-2A94-4B0B-971B-CDFF438E23BA}">
          <x14:formula1>
            <xm:f>Params!$F$3:$F$9</xm:f>
          </x14:formula1>
          <xm:sqref>M12:M20</xm:sqref>
        </x14:dataValidation>
        <x14:dataValidation type="list" allowBlank="1" showInputMessage="1" showErrorMessage="1" xr:uid="{1F2CF1C1-BE35-4DC9-A975-F49F788F3D6A}">
          <x14:formula1>
            <xm:f>Params!$G$3:$G$6</xm:f>
          </x14:formula1>
          <xm:sqref>K12:K20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013E-CD05-42BB-8D47-11438F5D0F13}">
  <sheetPr>
    <pageSetUpPr fitToPage="1"/>
  </sheetPr>
  <dimension ref="A2:G15"/>
  <sheetViews>
    <sheetView workbookViewId="0">
      <selection activeCell="D19" sqref="D19"/>
    </sheetView>
  </sheetViews>
  <sheetFormatPr defaultColWidth="11.42578125" defaultRowHeight="15"/>
  <cols>
    <col min="1" max="1" width="16.5703125" style="2" customWidth="1"/>
    <col min="2" max="2" width="19.5703125" style="2" customWidth="1"/>
    <col min="3" max="3" width="11.42578125" style="2"/>
    <col min="4" max="4" width="58.28515625" style="2" customWidth="1"/>
    <col min="5" max="5" width="15.85546875" style="2" customWidth="1"/>
    <col min="6" max="6" width="18" style="2" customWidth="1"/>
    <col min="7" max="7" width="16.5703125" style="2" customWidth="1"/>
    <col min="8" max="16384" width="11.42578125" style="2"/>
  </cols>
  <sheetData>
    <row r="2" spans="1:7" ht="15.75" thickBot="1"/>
    <row r="3" spans="1:7" ht="24" customHeight="1" thickBot="1">
      <c r="A3" s="2" t="s">
        <v>78</v>
      </c>
      <c r="B3" s="38" t="s">
        <v>0</v>
      </c>
      <c r="C3" s="39"/>
      <c r="D3" s="39"/>
      <c r="E3" s="39"/>
      <c r="F3" s="39"/>
      <c r="G3" s="40"/>
    </row>
    <row r="4" spans="1:7">
      <c r="B4" s="4"/>
      <c r="C4" s="5"/>
      <c r="D4" s="5"/>
      <c r="E4" s="5"/>
      <c r="F4" s="5"/>
      <c r="G4" s="5"/>
    </row>
    <row r="5" spans="1:7">
      <c r="B5" s="4" t="str">
        <f>'Gestion Exigences'!C4</f>
        <v>Client</v>
      </c>
      <c r="C5" s="13" t="str">
        <f>'Gestion Exigences'!D4</f>
        <v>Era-contact</v>
      </c>
      <c r="D5" s="5"/>
      <c r="E5" s="5"/>
      <c r="F5" s="5"/>
      <c r="G5" s="5"/>
    </row>
    <row r="6" spans="1:7">
      <c r="B6" s="4" t="str">
        <f>'Gestion Exigences'!C5</f>
        <v>Projet</v>
      </c>
      <c r="C6" s="13" t="str">
        <f>'Gestion Exigences'!D5</f>
        <v xml:space="preserve">Digitalisation processus qualité </v>
      </c>
      <c r="D6" s="5"/>
      <c r="E6" s="5"/>
      <c r="F6" s="5"/>
      <c r="G6" s="5"/>
    </row>
    <row r="7" spans="1:7">
      <c r="B7" s="4" t="str">
        <f>'Gestion Exigences'!C6</f>
        <v>Réf BPA du Devis</v>
      </c>
      <c r="C7" s="13" t="str">
        <f>'Gestion Exigences'!D6</f>
        <v>S0-00xy</v>
      </c>
      <c r="D7" s="5"/>
      <c r="E7" s="5"/>
      <c r="F7" s="5"/>
      <c r="G7" s="5"/>
    </row>
    <row r="8" spans="1:7">
      <c r="B8" s="4" t="str">
        <f>'Gestion Exigences'!C7</f>
        <v>Réf BPA du Projet</v>
      </c>
      <c r="C8" s="13" t="str">
        <f>'Gestion Exigences'!D7</f>
        <v>PR-22-0xyz</v>
      </c>
      <c r="D8" s="5"/>
      <c r="E8" s="5"/>
      <c r="F8" s="5"/>
      <c r="G8" s="5"/>
    </row>
    <row r="9" spans="1:7">
      <c r="B9" s="12" t="str">
        <f>'Gestion Exigences'!C8</f>
        <v>Réf Modèle Document</v>
      </c>
      <c r="C9" s="14" t="str">
        <f>'Gestion Exigences'!D8</f>
        <v>MD203</v>
      </c>
      <c r="D9" s="5"/>
      <c r="E9" s="5"/>
      <c r="F9" s="5"/>
      <c r="G9" s="5"/>
    </row>
    <row r="10" spans="1:7">
      <c r="B10" s="12" t="str">
        <f>'Gestion Exigences'!C9</f>
        <v>Version Modèle Document</v>
      </c>
      <c r="C10" s="14" t="str">
        <f>'Gestion Exigences'!D9</f>
        <v>V1.6</v>
      </c>
      <c r="D10" s="5"/>
      <c r="E10" s="5"/>
      <c r="F10" s="5"/>
      <c r="G10" s="5"/>
    </row>
    <row r="11" spans="1:7">
      <c r="B11" s="4"/>
      <c r="C11" s="5"/>
      <c r="D11" s="5"/>
      <c r="E11" s="5"/>
      <c r="F11" s="5"/>
      <c r="G11" s="5"/>
    </row>
    <row r="12" spans="1:7">
      <c r="B12" s="4"/>
      <c r="C12" s="5"/>
      <c r="D12" s="5"/>
      <c r="E12" s="5"/>
      <c r="F12" s="5"/>
      <c r="G12" s="5"/>
    </row>
    <row r="13" spans="1:7">
      <c r="B13" s="15" t="s">
        <v>79</v>
      </c>
      <c r="C13" s="15" t="s">
        <v>80</v>
      </c>
      <c r="D13" s="15" t="s">
        <v>81</v>
      </c>
      <c r="E13" s="15" t="s">
        <v>82</v>
      </c>
      <c r="F13" s="15" t="s">
        <v>83</v>
      </c>
      <c r="G13" s="15" t="s">
        <v>84</v>
      </c>
    </row>
    <row r="14" spans="1:7">
      <c r="B14" s="6" t="s">
        <v>85</v>
      </c>
      <c r="C14" s="7">
        <v>44964</v>
      </c>
      <c r="D14" s="25" t="s">
        <v>86</v>
      </c>
      <c r="E14" s="6" t="s">
        <v>87</v>
      </c>
      <c r="F14" s="24" t="s">
        <v>88</v>
      </c>
      <c r="G14" s="6" t="s">
        <v>89</v>
      </c>
    </row>
    <row r="15" spans="1:7">
      <c r="B15" s="2" t="s">
        <v>90</v>
      </c>
      <c r="C15" s="26">
        <v>45281</v>
      </c>
      <c r="D15" s="2" t="s">
        <v>91</v>
      </c>
      <c r="E15" s="2" t="s">
        <v>92</v>
      </c>
      <c r="F15" s="24" t="s">
        <v>88</v>
      </c>
      <c r="G15" s="6" t="s">
        <v>89</v>
      </c>
    </row>
  </sheetData>
  <mergeCells count="1">
    <mergeCell ref="B3:G3"/>
  </mergeCells>
  <pageMargins left="0.7" right="0.7" top="0.75" bottom="0.75" header="0.3" footer="0.3"/>
  <pageSetup paperSize="9" scale="95"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E68-97A3-4D67-BA62-C4208BED1331}">
  <dimension ref="B2:H22"/>
  <sheetViews>
    <sheetView workbookViewId="0">
      <selection activeCell="H23" sqref="H23"/>
    </sheetView>
  </sheetViews>
  <sheetFormatPr defaultColWidth="11.42578125" defaultRowHeight="12.75"/>
  <cols>
    <col min="1" max="1" width="11.42578125" style="10"/>
    <col min="2" max="3" width="19.7109375" style="10" customWidth="1"/>
    <col min="4" max="4" width="21.5703125" style="10" customWidth="1"/>
    <col min="5" max="5" width="11.42578125" style="10"/>
    <col min="6" max="6" width="16.140625" style="10" customWidth="1"/>
    <col min="7" max="16384" width="11.42578125" style="10"/>
  </cols>
  <sheetData>
    <row r="2" spans="2:8" ht="25.5">
      <c r="B2" s="11" t="s">
        <v>18</v>
      </c>
      <c r="C2" s="11" t="s">
        <v>93</v>
      </c>
      <c r="D2" s="11" t="s">
        <v>22</v>
      </c>
      <c r="E2" s="11" t="s">
        <v>94</v>
      </c>
      <c r="F2" s="11" t="s">
        <v>27</v>
      </c>
      <c r="G2" s="11" t="s">
        <v>95</v>
      </c>
      <c r="H2" s="11" t="s">
        <v>19</v>
      </c>
    </row>
    <row r="3" spans="2:8">
      <c r="B3" s="10" t="s">
        <v>48</v>
      </c>
      <c r="C3" s="10" t="s">
        <v>50</v>
      </c>
      <c r="D3" s="10" t="s">
        <v>96</v>
      </c>
      <c r="E3" s="10" t="s">
        <v>97</v>
      </c>
      <c r="F3" s="10" t="s">
        <v>98</v>
      </c>
      <c r="G3" s="10" t="s">
        <v>99</v>
      </c>
      <c r="H3" s="10" t="s">
        <v>100</v>
      </c>
    </row>
    <row r="4" spans="2:8" ht="25.5">
      <c r="B4" s="10" t="s">
        <v>101</v>
      </c>
      <c r="C4" s="10" t="s">
        <v>102</v>
      </c>
      <c r="D4" s="10" t="s">
        <v>52</v>
      </c>
      <c r="E4" s="10" t="s">
        <v>103</v>
      </c>
      <c r="F4" s="10" t="s">
        <v>104</v>
      </c>
      <c r="G4" s="10" t="s">
        <v>105</v>
      </c>
      <c r="H4" s="10" t="s">
        <v>106</v>
      </c>
    </row>
    <row r="5" spans="2:8" ht="25.5">
      <c r="B5" s="10" t="s">
        <v>107</v>
      </c>
      <c r="C5" s="10" t="s">
        <v>108</v>
      </c>
      <c r="D5" s="10" t="s">
        <v>109</v>
      </c>
      <c r="E5" s="10" t="s">
        <v>110</v>
      </c>
      <c r="H5" s="10" t="s">
        <v>111</v>
      </c>
    </row>
    <row r="6" spans="2:8">
      <c r="B6" s="10" t="s">
        <v>112</v>
      </c>
      <c r="C6" s="10" t="s">
        <v>113</v>
      </c>
      <c r="D6" s="10" t="s">
        <v>114</v>
      </c>
      <c r="H6" s="10" t="s">
        <v>115</v>
      </c>
    </row>
    <row r="7" spans="2:8">
      <c r="B7" s="10" t="s">
        <v>116</v>
      </c>
      <c r="C7" s="10" t="s">
        <v>117</v>
      </c>
      <c r="D7" s="10" t="s">
        <v>118</v>
      </c>
      <c r="H7" s="10" t="s">
        <v>119</v>
      </c>
    </row>
    <row r="8" spans="2:8">
      <c r="B8" s="10" t="s">
        <v>120</v>
      </c>
      <c r="D8" s="10" t="s">
        <v>121</v>
      </c>
      <c r="H8" s="10" t="s">
        <v>122</v>
      </c>
    </row>
    <row r="9" spans="2:8" ht="25.5">
      <c r="D9" s="10" t="s">
        <v>123</v>
      </c>
      <c r="H9" s="10" t="s">
        <v>124</v>
      </c>
    </row>
    <row r="10" spans="2:8">
      <c r="H10" s="10" t="s">
        <v>125</v>
      </c>
    </row>
    <row r="11" spans="2:8">
      <c r="H11" s="10" t="s">
        <v>126</v>
      </c>
    </row>
    <row r="13" spans="2:8">
      <c r="H13" s="10" t="s">
        <v>127</v>
      </c>
    </row>
    <row r="14" spans="2:8">
      <c r="H14" s="10" t="s">
        <v>128</v>
      </c>
    </row>
    <row r="15" spans="2:8" ht="25.5">
      <c r="H15" s="10" t="s">
        <v>49</v>
      </c>
    </row>
    <row r="16" spans="2:8" ht="38.25">
      <c r="H16" s="10" t="s">
        <v>129</v>
      </c>
    </row>
    <row r="17" spans="8:8" ht="25.5">
      <c r="H17" s="10" t="s">
        <v>130</v>
      </c>
    </row>
    <row r="18" spans="8:8">
      <c r="H18" s="10" t="s">
        <v>131</v>
      </c>
    </row>
    <row r="19" spans="8:8">
      <c r="H19" s="10" t="s">
        <v>132</v>
      </c>
    </row>
    <row r="21" spans="8:8">
      <c r="H21" s="10" t="s">
        <v>133</v>
      </c>
    </row>
    <row r="22" spans="8:8" ht="38.25">
      <c r="H22" s="10" t="s">
        <v>134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3b908ec-9e92-424c-a4ad-3174bac6e888" xsi:nil="true"/>
    <SharedWithUsers xmlns="43b908ec-9e92-424c-a4ad-3174bac6e888">
      <UserInfo>
        <DisplayName/>
        <AccountId xsi:nil="true"/>
        <AccountType/>
      </UserInfo>
    </SharedWithUsers>
    <lcf76f155ced4ddcb4097134ff3c332f xmlns="5f2f9e80-f74a-40c7-b145-b94d8e4966f0">
      <Terms xmlns="http://schemas.microsoft.com/office/infopath/2007/PartnerControls"/>
    </lcf76f155ced4ddcb4097134ff3c332f>
    <MediaLengthInSeconds xmlns="5f2f9e80-f74a-40c7-b145-b94d8e4966f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6F439BF-6864-4A19-92B4-B4A871E8CE29}"/>
</file>

<file path=customXml/itemProps2.xml><?xml version="1.0" encoding="utf-8"?>
<ds:datastoreItem xmlns:ds="http://schemas.openxmlformats.org/officeDocument/2006/customXml" ds:itemID="{85503822-DF13-4051-A489-72B75648E37A}"/>
</file>

<file path=customXml/itemProps3.xml><?xml version="1.0" encoding="utf-8"?>
<ds:datastoreItem xmlns:ds="http://schemas.openxmlformats.org/officeDocument/2006/customXml" ds:itemID="{431C8B5B-7A06-4686-9F8A-E8F24EECD8B3}"/>
</file>

<file path=docProps/app.xml><?xml version="1.0" encoding="utf-8"?>
<Properties xmlns="http://schemas.openxmlformats.org/officeDocument/2006/extended-properties" xmlns:vt="http://schemas.openxmlformats.org/officeDocument/2006/docPropsVTypes">
  <Application>Microsoft Excel Online</Application>
  <Manager/>
  <Company>DACTEM</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Mahdi  Besbes</cp:lastModifiedBy>
  <cp:revision/>
  <dcterms:created xsi:type="dcterms:W3CDTF">2000-07-05T17:03:55Z</dcterms:created>
  <dcterms:modified xsi:type="dcterms:W3CDTF">2024-06-06T10:10:26Z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Order">
    <vt:r8>12812100</vt:r8>
  </property>
</Properties>
</file>