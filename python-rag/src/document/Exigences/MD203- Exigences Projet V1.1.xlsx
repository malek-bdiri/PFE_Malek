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SystmeQualit/Documents partages/1 Système Qualité/00 Général/2 Espace Travail/0 Modèles &amp; Ressources/1 En Cours Préparation/"/>
    </mc:Choice>
  </mc:AlternateContent>
  <xr:revisionPtr revIDLastSave="87" documentId="14_{D0E712BB-8801-47A2-8D1B-877E765DF3ED}" xr6:coauthVersionLast="47" xr6:coauthVersionMax="47" xr10:uidLastSave="{0218849D-1CD0-4A75-AF4F-12F435D982E2}"/>
  <bookViews>
    <workbookView xWindow="-120" yWindow="-120" windowWidth="29040" windowHeight="1572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Exigences'!$D$2:$J$21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27" l="1"/>
  <c r="D8" i="29"/>
  <c r="D9" i="29"/>
  <c r="B6" i="29"/>
  <c r="D6" i="29"/>
  <c r="B7" i="29"/>
  <c r="D7" i="29"/>
  <c r="B8" i="29"/>
  <c r="B9" i="29"/>
  <c r="B11" i="29"/>
  <c r="D5" i="29"/>
  <c r="B5" i="29"/>
  <c r="P15" i="27"/>
  <c r="P16" i="27"/>
  <c r="P17" i="27"/>
  <c r="P18" i="27"/>
  <c r="P19" i="27"/>
  <c r="P20" i="27"/>
  <c r="P21" i="27"/>
  <c r="P22" i="27"/>
  <c r="P23" i="27" l="1"/>
  <c r="Q15" i="27"/>
  <c r="Q16" i="27"/>
  <c r="Q17" i="27"/>
  <c r="Q18" i="27"/>
  <c r="Q19" i="27"/>
  <c r="Q20" i="27"/>
  <c r="Q21" i="27"/>
  <c r="Q22" i="27"/>
  <c r="Q23" i="27" l="1"/>
</calcChain>
</file>

<file path=xl/sharedStrings.xml><?xml version="1.0" encoding="utf-8"?>
<sst xmlns="http://schemas.openxmlformats.org/spreadsheetml/2006/main" count="123" uniqueCount="98">
  <si>
    <t>Gestion Exigences Projet</t>
  </si>
  <si>
    <t>Chiffrage Réalisation/Analyse/Test</t>
  </si>
  <si>
    <t>Revue et Vérification Pendant la Conception</t>
  </si>
  <si>
    <t>BU</t>
  </si>
  <si>
    <t xml:space="preserve">SF </t>
  </si>
  <si>
    <t>Client</t>
  </si>
  <si>
    <t>TBC</t>
  </si>
  <si>
    <t>Projet</t>
  </si>
  <si>
    <t>Confidentiel | Usage Client Limité</t>
  </si>
  <si>
    <t>Réf BPA du Devis</t>
  </si>
  <si>
    <t>Réf BPA du Projet</t>
  </si>
  <si>
    <t>MD203:V1.1</t>
  </si>
  <si>
    <t>Id exigence</t>
  </si>
  <si>
    <t>Objectif client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</si>
  <si>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</si>
  <si>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</si>
  <si>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</si>
  <si>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</si>
  <si>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</si>
  <si>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</si>
  <si>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MOMSOFT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</si>
  <si>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</si>
  <si>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</si>
  <si>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</si>
  <si>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</si>
  <si>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</si>
  <si>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</si>
  <si>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</si>
  <si>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</si>
  <si>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</si>
  <si>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</si>
  <si>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</si>
  <si>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</si>
  <si>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</si>
  <si>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</si>
  <si>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A liste dans params</t>
  </si>
  <si>
    <t>N/A</t>
  </si>
  <si>
    <t>E002</t>
  </si>
  <si>
    <t>E003</t>
  </si>
  <si>
    <t>E004</t>
  </si>
  <si>
    <t>E005</t>
  </si>
  <si>
    <t>E006</t>
  </si>
  <si>
    <t>E007</t>
  </si>
  <si>
    <t>E008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</si>
  <si>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</si>
  <si>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</si>
  <si>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</si>
  <si>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</si>
  <si>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</si>
  <si>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</si>
  <si>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</si>
  <si>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Overhead Analyse</t>
  </si>
  <si>
    <t>Overhead Test</t>
  </si>
  <si>
    <t>Objectifs client</t>
  </si>
  <si>
    <t>Exigence identifiée pendant la phase</t>
  </si>
  <si>
    <t>Oui/Non</t>
  </si>
  <si>
    <t>Statut Interne</t>
  </si>
  <si>
    <t>Fonctionnelle</t>
  </si>
  <si>
    <t>Commerciale</t>
  </si>
  <si>
    <t>CdC client</t>
  </si>
  <si>
    <t>Oui</t>
  </si>
  <si>
    <t>Validée par le client</t>
  </si>
  <si>
    <t>Validée</t>
  </si>
  <si>
    <t>*** SF</t>
  </si>
  <si>
    <t>O1 - XXX</t>
  </si>
  <si>
    <t>Services</t>
  </si>
  <si>
    <t>Performance</t>
  </si>
  <si>
    <t>Conception</t>
  </si>
  <si>
    <t>Workshop/réunion client</t>
  </si>
  <si>
    <t>Non</t>
  </si>
  <si>
    <t>Non validée par client</t>
  </si>
  <si>
    <t>Non validée</t>
  </si>
  <si>
    <t>SF-Processus</t>
  </si>
  <si>
    <t>O2 - XXX</t>
  </si>
  <si>
    <t>A définir</t>
  </si>
  <si>
    <t>Reglementaire</t>
  </si>
  <si>
    <t>Réalisation</t>
  </si>
  <si>
    <t>Workshop/réunion Interne</t>
  </si>
  <si>
    <t>SF-Fonctionnelle</t>
  </si>
  <si>
    <t>O2- XXX</t>
  </si>
  <si>
    <t>Sécurité</t>
  </si>
  <si>
    <t>Mise en œuvre</t>
  </si>
  <si>
    <t>Standards client</t>
  </si>
  <si>
    <t>SF-Connectivité Machine</t>
  </si>
  <si>
    <t>O3 - XXX</t>
  </si>
  <si>
    <t>Standard Client</t>
  </si>
  <si>
    <t>Support et maintenance</t>
  </si>
  <si>
    <t>Standards MOMSOFT</t>
  </si>
  <si>
    <t>SF-Intégration SI</t>
  </si>
  <si>
    <t>O4 - XXX</t>
  </si>
  <si>
    <t>Standard MOMSOFT</t>
  </si>
  <si>
    <t>Reglementation</t>
  </si>
  <si>
    <t>SF-Software</t>
  </si>
  <si>
    <t>O5 - XXX</t>
  </si>
  <si>
    <t>Demande modification</t>
  </si>
  <si>
    <t>SF-Infra IT</t>
  </si>
  <si>
    <t>*** Services</t>
  </si>
  <si>
    <t>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</si>
</sst>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2"/>
      <color theme="0"/>
      <name val="Calibri Light"/>
      <family val="2"/>
    </font>
    <font>
      <b/>
      <sz val="11"/>
      <color theme="0"/>
      <name val="Calibri Light"/>
      <family val="2"/>
    </font>
    <font>
      <b/>
      <sz val="10"/>
      <color theme="0"/>
      <name val="Calibri Light"/>
      <family val="2"/>
      <scheme val="major"/>
    </font>
    <font>
      <sz val="10"/>
      <name val="Calibri Light"/>
      <family val="2"/>
    </font>
    <font>
      <sz val="3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0E0B1"/>
        <bgColor indexed="64"/>
      </patternFill>
    </fill>
    <fill>
      <patternFill patternType="solid">
        <fgColor rgb="FF00425A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rgb="FFFF7F0B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425A"/>
      </left>
      <right/>
      <top style="medium">
        <color rgb="FF00425A"/>
      </top>
      <bottom/>
      <diagonal/>
    </border>
    <border>
      <left/>
      <right/>
      <top style="medium">
        <color rgb="FF00425A"/>
      </top>
      <bottom/>
      <diagonal/>
    </border>
    <border>
      <left style="medium">
        <color rgb="FF00425A"/>
      </left>
      <right/>
      <top/>
      <bottom/>
      <diagonal/>
    </border>
    <border>
      <left/>
      <right style="medium">
        <color rgb="FF00425A"/>
      </right>
      <top/>
      <bottom/>
      <diagonal/>
    </border>
    <border>
      <left style="medium">
        <color rgb="FF00425A"/>
      </left>
      <right/>
      <top/>
      <bottom style="medium">
        <color rgb="FF00425A"/>
      </bottom>
      <diagonal/>
    </border>
    <border>
      <left/>
      <right/>
      <top/>
      <bottom style="medium">
        <color rgb="FF00425A"/>
      </bottom>
      <diagonal/>
    </border>
    <border>
      <left/>
      <right style="medium">
        <color rgb="FF00425A"/>
      </right>
      <top/>
      <bottom style="medium">
        <color rgb="FF00425A"/>
      </bottom>
      <diagonal/>
    </border>
    <border>
      <left style="medium">
        <color rgb="FF00425A"/>
      </left>
      <right/>
      <top style="medium">
        <color rgb="FF00425A"/>
      </top>
      <bottom style="medium">
        <color indexed="64"/>
      </bottom>
      <diagonal/>
    </border>
    <border>
      <left/>
      <right/>
      <top style="medium">
        <color rgb="FF00425A"/>
      </top>
      <bottom style="medium">
        <color indexed="64"/>
      </bottom>
      <diagonal/>
    </border>
    <border>
      <left/>
      <right style="medium">
        <color rgb="FF00425A"/>
      </right>
      <top style="medium">
        <color rgb="FF00425A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14" fontId="18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wrapText="1"/>
    </xf>
    <xf numFmtId="0" fontId="17" fillId="2" borderId="0" xfId="0" applyFont="1" applyFill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4" fillId="4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4" fillId="5" borderId="12" xfId="0" applyFont="1" applyFill="1" applyBorder="1" applyAlignment="1">
      <alignment vertical="center" wrapText="1"/>
    </xf>
    <xf numFmtId="0" fontId="14" fillId="5" borderId="13" xfId="0" applyFont="1" applyFill="1" applyBorder="1" applyAlignment="1">
      <alignment vertical="center" wrapText="1"/>
    </xf>
    <xf numFmtId="0" fontId="14" fillId="5" borderId="14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none"/>
      </font>
      <fill>
        <patternFill patternType="solid">
          <fgColor indexed="64"/>
          <bgColor rgb="FF00E0B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00425A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425A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00425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00425A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>
          <fgColor indexed="64"/>
          <bgColor rgb="FF00E0B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425A"/>
      <color rgb="FF00E0B1"/>
      <color rgb="FFFF7F0B"/>
      <color rgb="FF00B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62754</xdr:colOff>
      <xdr:row>2</xdr:row>
      <xdr:rowOff>188259</xdr:rowOff>
    </xdr:from>
    <xdr:to>
      <xdr:col>2</xdr:col>
      <xdr:colOff>1353671</xdr:colOff>
      <xdr:row>2</xdr:row>
      <xdr:rowOff>810503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96DF62-C2DE-4317-5F4D-42BBC1577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8" y="645459"/>
          <a:ext cx="1712258" cy="62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4:W23" totalsRowCount="1" headerRowDxfId="54" dataDxfId="53" totalsRowDxfId="52">
  <autoFilter ref="B14:W22" xr:uid="{DDEA2C8B-EE0D-4C55-9256-CCC64E002CE6}"/>
  <tableColumns count="22">
    <tableColumn id="1" xr3:uid="{E467E0EE-CDAA-4FF5-85A8-CDC0B23A5AD9}" name="Id exigence" dataDxfId="50" totalsRowDxfId="51"/>
    <tableColumn id="23" xr3:uid="{DB65C818-8EF5-4DCC-9DA7-4CD05A291796}" name="Objectif client" dataDxfId="48" totalsRowDxfId="49"/>
    <tableColumn id="2" xr3:uid="{E53952AC-4972-47BD-8B1D-C7EF23088D0D}" name="Intitulé Exigence" dataDxfId="46" totalsRowDxfId="47"/>
    <tableColumn id="8" xr3:uid="{B2D0BC2C-C803-4015-8FA6-70F84517BDB2}" name="Nature" dataDxfId="44" totalsRowDxfId="45"/>
    <tableColumn id="7" xr3:uid="{24F2F0ED-022E-4EC1-91D8-BFE0E4F2FD36}" name="Catégorie" dataDxfId="42" totalsRowDxfId="43"/>
    <tableColumn id="10" xr3:uid="{1FF81CF1-6D35-421C-8767-9E7FA06FEE6A}" name="Exigence idenfiée pendant la phase" dataDxfId="40" totalsRowDxfId="41"/>
    <tableColumn id="3" xr3:uid="{E7621A68-9552-4853-96A5-92A226EA42DD}" name="Description de l'exigence" dataDxfId="38" totalsRowDxfId="39"/>
    <tableColumn id="9" xr3:uid="{E6EEEC82-3576-4980-94B3-1423906CE531}" name="Source" dataDxfId="36" totalsRowDxfId="37"/>
    <tableColumn id="16" xr3:uid="{1441554A-79F9-4040-9CF5-AEBFF7ADF7D1}" name="Desciption de la solution MOMSOFT" dataDxfId="34" totalsRowDxfId="35"/>
    <tableColumn id="17" xr3:uid="{D1BC9C86-C3CE-417F-AC83-FC4786A7656D}" name="Ecart entre exigence client et la solution proposée - préciser aussi les limites et hypothèses si applicable" dataDxfId="32" totalsRowDxfId="33"/>
    <tableColumn id="5" xr3:uid="{2649C3B7-E8B9-44F9-8883-E5BB6F91B4B1}" name="Validation Interne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totalsRowFunction="sum" dataDxfId="24" totalsRowDxfId="25"/>
    <tableColumn id="21" xr3:uid="{818C68C5-1CC3-4DC9-9BB8-2CB7816ABE9F}" name="HJ Analyse et Test" totalsRowFunction="sum" dataDxfId="22" totalsRowDxfId="23">
      <calculatedColumnFormula>Tableau3[[#This Row],[HJ Dev]]*(25%+25%)</calculatedColumnFormula>
    </tableColumn>
    <tableColumn id="20" xr3:uid="{81CB5860-4285-4425-ABF9-C91F3323BF25}" name="Total HJ" totalsRowFunction="sum" dataDxfId="20" totalsRowDxfId="21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7" dataDxfId="6">
  <autoFilter ref="B13:G18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W23"/>
  <sheetViews>
    <sheetView tabSelected="1" topLeftCell="J6" zoomScale="85" zoomScaleNormal="85" workbookViewId="0">
      <selection activeCell="K14" sqref="K14"/>
    </sheetView>
  </sheetViews>
  <sheetFormatPr defaultColWidth="11.42578125" defaultRowHeight="12.75"/>
  <cols>
    <col min="1" max="1" width="11.42578125" style="5"/>
    <col min="2" max="2" width="6.140625" style="5" customWidth="1"/>
    <col min="3" max="3" width="26.140625" style="5" customWidth="1"/>
    <col min="4" max="4" width="27.42578125" style="5" customWidth="1"/>
    <col min="5" max="6" width="18.28515625" style="5" customWidth="1"/>
    <col min="7" max="7" width="22.42578125" style="5" customWidth="1"/>
    <col min="8" max="8" width="56.5703125" style="5" customWidth="1"/>
    <col min="9" max="9" width="18.42578125" style="5" customWidth="1"/>
    <col min="10" max="10" width="56.5703125" style="5" customWidth="1"/>
    <col min="11" max="11" width="33.140625" style="5" customWidth="1"/>
    <col min="12" max="13" width="13.5703125" style="5" customWidth="1"/>
    <col min="14" max="14" width="15.28515625" style="5" customWidth="1"/>
    <col min="15" max="15" width="11.85546875" style="5" customWidth="1"/>
    <col min="16" max="16" width="15.42578125" style="5" customWidth="1"/>
    <col min="17" max="17" width="13.7109375" style="5" customWidth="1"/>
    <col min="18" max="18" width="39.85546875" style="5" customWidth="1"/>
    <col min="19" max="19" width="15.7109375" style="5" customWidth="1"/>
    <col min="20" max="20" width="20.5703125" style="5" customWidth="1"/>
    <col min="21" max="21" width="20.140625" style="5" customWidth="1"/>
    <col min="22" max="22" width="15.140625" style="5" customWidth="1"/>
    <col min="23" max="23" width="30.85546875" style="5" customWidth="1"/>
    <col min="24" max="16384" width="11.42578125" style="5"/>
  </cols>
  <sheetData>
    <row r="1" spans="2:23" ht="13.5" thickBot="1"/>
    <row r="2" spans="2:23" ht="33" customHeight="1" thickBot="1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47" t="s">
        <v>1</v>
      </c>
      <c r="P2" s="48"/>
      <c r="Q2" s="49"/>
      <c r="R2" s="41" t="s">
        <v>2</v>
      </c>
      <c r="S2" s="42"/>
      <c r="T2" s="42"/>
      <c r="U2" s="42"/>
      <c r="V2" s="42"/>
      <c r="W2" s="43"/>
    </row>
    <row r="3" spans="2:23" ht="66" customHeight="1">
      <c r="D3" s="33"/>
      <c r="E3" s="33"/>
      <c r="F3" s="33"/>
      <c r="G3" s="33"/>
      <c r="H3" s="33"/>
      <c r="I3" s="33"/>
      <c r="J3" s="33"/>
    </row>
    <row r="4" spans="2:23" ht="24.75" customHeight="1">
      <c r="D4" s="33"/>
      <c r="E4" s="33"/>
      <c r="F4" s="33"/>
      <c r="G4" s="33"/>
      <c r="H4" s="33"/>
      <c r="I4" s="33"/>
      <c r="J4" s="33"/>
    </row>
    <row r="5" spans="2:23" ht="21" customHeight="1">
      <c r="B5" s="6" t="s">
        <v>3</v>
      </c>
      <c r="C5" s="6"/>
      <c r="D5" s="34" t="s">
        <v>4</v>
      </c>
      <c r="F5" s="33"/>
      <c r="G5" s="33"/>
      <c r="H5" s="33"/>
      <c r="I5" s="33"/>
      <c r="J5" s="33"/>
    </row>
    <row r="6" spans="2:23" ht="21.75" customHeight="1">
      <c r="B6" s="35" t="s">
        <v>5</v>
      </c>
      <c r="C6" s="35"/>
      <c r="D6" s="36" t="s">
        <v>6</v>
      </c>
      <c r="F6" s="36"/>
      <c r="H6" s="36"/>
      <c r="I6" s="36"/>
      <c r="J6" s="36"/>
    </row>
    <row r="7" spans="2:23" ht="21" customHeight="1">
      <c r="B7" s="35" t="s">
        <v>7</v>
      </c>
      <c r="C7" s="35"/>
      <c r="D7" s="36" t="s">
        <v>6</v>
      </c>
      <c r="F7" s="36"/>
      <c r="H7" s="37" t="s">
        <v>8</v>
      </c>
      <c r="I7" s="36"/>
      <c r="J7" s="36"/>
    </row>
    <row r="8" spans="2:23" ht="20.45" customHeight="1">
      <c r="B8" s="35" t="s">
        <v>9</v>
      </c>
      <c r="C8" s="35"/>
      <c r="D8" s="36" t="s">
        <v>6</v>
      </c>
      <c r="F8" s="36"/>
      <c r="G8" s="36"/>
      <c r="H8" s="36"/>
      <c r="I8" s="36"/>
      <c r="J8" s="36"/>
    </row>
    <row r="9" spans="2:23" ht="21.6" customHeight="1">
      <c r="B9" s="35" t="s">
        <v>10</v>
      </c>
      <c r="C9" s="35"/>
      <c r="D9" s="36" t="s">
        <v>6</v>
      </c>
      <c r="F9" s="36"/>
      <c r="G9" s="36"/>
      <c r="H9" s="36"/>
      <c r="I9" s="36"/>
      <c r="J9" s="36"/>
    </row>
    <row r="10" spans="2:23" ht="15">
      <c r="D10" s="36"/>
      <c r="E10" s="38"/>
      <c r="F10" s="38"/>
      <c r="G10" s="38"/>
      <c r="H10" s="38"/>
      <c r="I10" s="38"/>
      <c r="J10" s="38"/>
    </row>
    <row r="11" spans="2:23">
      <c r="B11" s="39" t="s">
        <v>11</v>
      </c>
      <c r="C11" s="39"/>
      <c r="D11" s="20"/>
      <c r="E11" s="39"/>
      <c r="F11" s="40"/>
      <c r="G11" s="40"/>
    </row>
    <row r="12" spans="2:23">
      <c r="B12" s="39"/>
      <c r="C12" s="39"/>
      <c r="D12" s="20"/>
      <c r="E12" s="39"/>
      <c r="F12" s="40"/>
      <c r="G12" s="40"/>
    </row>
    <row r="13" spans="2:23" ht="13.5" thickBot="1"/>
    <row r="14" spans="2:23" ht="42" customHeight="1">
      <c r="B14" s="17" t="s">
        <v>12</v>
      </c>
      <c r="C14" s="18" t="s">
        <v>13</v>
      </c>
      <c r="D14" s="10" t="s">
        <v>14</v>
      </c>
      <c r="E14" s="10" t="s">
        <v>15</v>
      </c>
      <c r="F14" s="10" t="s">
        <v>16</v>
      </c>
      <c r="G14" s="10" t="s">
        <v>17</v>
      </c>
      <c r="H14" s="10" t="s">
        <v>18</v>
      </c>
      <c r="I14" s="10" t="s">
        <v>19</v>
      </c>
      <c r="J14" s="10" t="s">
        <v>20</v>
      </c>
      <c r="K14" s="10" t="s">
        <v>21</v>
      </c>
      <c r="L14" s="10" t="s">
        <v>22</v>
      </c>
      <c r="M14" s="10" t="s">
        <v>23</v>
      </c>
      <c r="N14" s="11" t="s">
        <v>24</v>
      </c>
      <c r="O14" s="22" t="s">
        <v>25</v>
      </c>
      <c r="P14" s="22" t="s">
        <v>26</v>
      </c>
      <c r="Q14" s="22" t="s">
        <v>27</v>
      </c>
      <c r="R14" s="30" t="s">
        <v>28</v>
      </c>
      <c r="S14" s="31" t="s">
        <v>29</v>
      </c>
      <c r="T14" s="31" t="s">
        <v>30</v>
      </c>
      <c r="U14" s="31" t="s">
        <v>31</v>
      </c>
      <c r="V14" s="31" t="s">
        <v>32</v>
      </c>
      <c r="W14" s="32" t="s">
        <v>33</v>
      </c>
    </row>
    <row r="15" spans="2:23" ht="36" customHeight="1">
      <c r="B15" s="5" t="s">
        <v>34</v>
      </c>
      <c r="C15" s="5" t="s">
        <v>35</v>
      </c>
      <c r="O15" s="23">
        <v>3</v>
      </c>
      <c r="P15" s="24">
        <f>Tableau3[[#This Row],[HJ Dev]]*(25%+25%)</f>
        <v>1.5</v>
      </c>
      <c r="Q15" s="24">
        <f>Tableau3[[#This Row],[HJ Analyse et Test]]+Tableau3[[#This Row],[HJ Dev]]</f>
        <v>4.5</v>
      </c>
      <c r="R15" s="25" t="s">
        <v>36</v>
      </c>
      <c r="S15" s="5" t="s">
        <v>36</v>
      </c>
      <c r="T15" s="5" t="s">
        <v>36</v>
      </c>
      <c r="U15" s="5" t="s">
        <v>36</v>
      </c>
      <c r="V15" s="5" t="s">
        <v>36</v>
      </c>
      <c r="W15" s="26"/>
    </row>
    <row r="16" spans="2:23" ht="36" customHeight="1">
      <c r="B16" s="5" t="s">
        <v>37</v>
      </c>
      <c r="C16" s="5" t="s">
        <v>35</v>
      </c>
      <c r="O16" s="25">
        <v>2</v>
      </c>
      <c r="P16" s="5">
        <f>Tableau3[[#This Row],[HJ Dev]]*(25%+25%)</f>
        <v>1</v>
      </c>
      <c r="Q16" s="5">
        <f>Tableau3[[#This Row],[HJ Analyse et Test]]+Tableau3[[#This Row],[HJ Dev]]</f>
        <v>3</v>
      </c>
      <c r="R16" s="25"/>
      <c r="W16" s="26"/>
    </row>
    <row r="17" spans="2:23" ht="36" customHeight="1">
      <c r="B17" s="5" t="s">
        <v>38</v>
      </c>
      <c r="C17" s="5" t="s">
        <v>35</v>
      </c>
      <c r="O17" s="25">
        <v>0</v>
      </c>
      <c r="P17" s="5">
        <f>Tableau3[[#This Row],[HJ Dev]]*(25%+25%)</f>
        <v>0</v>
      </c>
      <c r="Q17" s="5">
        <f>Tableau3[[#This Row],[HJ Analyse et Test]]+Tableau3[[#This Row],[HJ Dev]]</f>
        <v>0</v>
      </c>
      <c r="R17" s="25"/>
      <c r="W17" s="26"/>
    </row>
    <row r="18" spans="2:23" ht="36" customHeight="1">
      <c r="B18" s="5" t="s">
        <v>39</v>
      </c>
      <c r="C18" s="5" t="s">
        <v>35</v>
      </c>
      <c r="O18" s="25">
        <v>0</v>
      </c>
      <c r="P18" s="5">
        <f>Tableau3[[#This Row],[HJ Dev]]*(25%+25%)</f>
        <v>0</v>
      </c>
      <c r="Q18" s="5">
        <f>Tableau3[[#This Row],[HJ Analyse et Test]]+Tableau3[[#This Row],[HJ Dev]]</f>
        <v>0</v>
      </c>
      <c r="R18" s="25"/>
      <c r="W18" s="26"/>
    </row>
    <row r="19" spans="2:23" ht="36" customHeight="1">
      <c r="B19" s="5" t="s">
        <v>40</v>
      </c>
      <c r="C19" s="5" t="s">
        <v>35</v>
      </c>
      <c r="O19" s="25">
        <v>0</v>
      </c>
      <c r="P19" s="5">
        <f>Tableau3[[#This Row],[HJ Dev]]*(25%+25%)</f>
        <v>0</v>
      </c>
      <c r="Q19" s="5">
        <f>Tableau3[[#This Row],[HJ Analyse et Test]]+Tableau3[[#This Row],[HJ Dev]]</f>
        <v>0</v>
      </c>
      <c r="R19" s="25"/>
      <c r="W19" s="26"/>
    </row>
    <row r="20" spans="2:23" ht="36" customHeight="1">
      <c r="B20" s="5" t="s">
        <v>41</v>
      </c>
      <c r="C20" s="5" t="s">
        <v>35</v>
      </c>
      <c r="O20" s="25">
        <v>0</v>
      </c>
      <c r="P20" s="5">
        <f>Tableau3[[#This Row],[HJ Dev]]*(25%+25%)</f>
        <v>0</v>
      </c>
      <c r="Q20" s="5">
        <f>Tableau3[[#This Row],[HJ Analyse et Test]]+Tableau3[[#This Row],[HJ Dev]]</f>
        <v>0</v>
      </c>
      <c r="R20" s="25"/>
      <c r="W20" s="26"/>
    </row>
    <row r="21" spans="2:23" ht="36" customHeight="1">
      <c r="B21" s="5" t="s">
        <v>42</v>
      </c>
      <c r="C21" s="5" t="s">
        <v>35</v>
      </c>
      <c r="O21" s="25">
        <v>0</v>
      </c>
      <c r="P21" s="5">
        <f>Tableau3[[#This Row],[HJ Dev]]*(25%+25%)</f>
        <v>0</v>
      </c>
      <c r="Q21" s="5">
        <f>Tableau3[[#This Row],[HJ Analyse et Test]]+Tableau3[[#This Row],[HJ Dev]]</f>
        <v>0</v>
      </c>
      <c r="R21" s="25"/>
      <c r="W21" s="26"/>
    </row>
    <row r="22" spans="2:23" ht="36" customHeight="1" thickBot="1">
      <c r="B22" s="5" t="s">
        <v>43</v>
      </c>
      <c r="C22" s="5" t="s">
        <v>35</v>
      </c>
      <c r="O22" s="27">
        <v>0</v>
      </c>
      <c r="P22" s="28">
        <f>Tableau3[[#This Row],[HJ Dev]]*(25%+25%)</f>
        <v>0</v>
      </c>
      <c r="Q22" s="28">
        <f>Tableau3[[#This Row],[HJ Analyse et Test]]+Tableau3[[#This Row],[HJ Dev]]</f>
        <v>0</v>
      </c>
      <c r="R22" s="27"/>
      <c r="S22" s="28"/>
      <c r="T22" s="28"/>
      <c r="U22" s="28"/>
      <c r="V22" s="28"/>
      <c r="W22" s="29"/>
    </row>
    <row r="23" spans="2:23" ht="36" customHeight="1">
      <c r="O23" s="5">
        <f>SUBTOTAL(109,Tableau3[HJ Dev])</f>
        <v>5</v>
      </c>
      <c r="P23" s="5">
        <f>SUBTOTAL(109,Tableau3[HJ Analyse et Test])</f>
        <v>2.5</v>
      </c>
      <c r="Q23" s="5">
        <f>SUBTOTAL(109,Tableau3[Total HJ])</f>
        <v>7.5</v>
      </c>
    </row>
  </sheetData>
  <mergeCells count="3">
    <mergeCell ref="R2:W2"/>
    <mergeCell ref="B2:N2"/>
    <mergeCell ref="O2:Q2"/>
  </mergeCells>
  <phoneticPr fontId="2" type="noConversion"/>
  <dataValidations count="1">
    <dataValidation type="whole" operator="greaterThanOrEqual" allowBlank="1" showInputMessage="1" showErrorMessage="1" sqref="O15:Q22" xr:uid="{10E2E794-3894-4CC1-AB1A-9BB5BF41EABB}">
      <formula1>0</formula1>
    </dataValidation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3E576AD-8CDE-4B1B-8DEC-1BE67CC8DE6D}">
          <x14:formula1>
            <xm:f>Params!$E$6:$E$13</xm:f>
          </x14:formula1>
          <xm:sqref>G15:G22</xm:sqref>
        </x14:dataValidation>
        <x14:dataValidation type="list" allowBlank="1" showInputMessage="1" showErrorMessage="1" xr:uid="{C43D2377-E8A5-4EC4-8F56-2516FCD07F2A}">
          <x14:formula1>
            <xm:f>Params!$F$6:$F$15</xm:f>
          </x14:formula1>
          <xm:sqref>I15:I22</xm:sqref>
        </x14:dataValidation>
        <x14:dataValidation type="list" allowBlank="1" showInputMessage="1" showErrorMessage="1" xr:uid="{06B2A4DB-2A94-4B0B-971B-CDFF438E23BA}">
          <x14:formula1>
            <xm:f>Params!$H$6:$H$12</xm:f>
          </x14:formula1>
          <xm:sqref>N15:N22</xm:sqref>
        </x14:dataValidation>
        <x14:dataValidation type="list" allowBlank="1" showInputMessage="1" showErrorMessage="1" xr:uid="{1F2CF1C1-BE35-4DC9-A975-F49F788F3D6A}">
          <x14:formula1>
            <xm:f>Params!$I$6:$I$9</xm:f>
          </x14:formula1>
          <xm:sqref>L15:L22</xm:sqref>
        </x14:dataValidation>
        <x14:dataValidation type="list" allowBlank="1" showInputMessage="1" showErrorMessage="1" xr:uid="{63FB3CBD-0303-4DD5-A1D9-0AE10EE7B36C}">
          <x14:formula1>
            <xm:f>Params!$D$6:$D$13</xm:f>
          </x14:formula1>
          <xm:sqref>E15:E22</xm:sqref>
        </x14:dataValidation>
        <x14:dataValidation type="list" allowBlank="1" showInputMessage="1" showErrorMessage="1" xr:uid="{9E253E9F-6967-4CE3-BEC2-E6EF086F8550}">
          <x14:formula1>
            <xm:f>Params!$C$6:$C$13</xm:f>
          </x14:formula1>
          <xm:sqref>D5</xm:sqref>
        </x14:dataValidation>
        <x14:dataValidation type="list" allowBlank="1" showInputMessage="1" showErrorMessage="1" xr:uid="{ACD971DD-EBC0-49A2-8B0F-955749BFC348}">
          <x14:formula1>
            <xm:f>Params!$J$6:$J$15</xm:f>
          </x14:formula1>
          <xm:sqref>F15:F22</xm:sqref>
        </x14:dataValidation>
        <x14:dataValidation type="list" allowBlank="1" showInputMessage="1" showErrorMessage="1" xr:uid="{F0C8D940-31FB-46AC-BA21-E6883C924C85}">
          <x14:formula1>
            <xm:f>Params!$B$6:$B$19</xm:f>
          </x14:formula1>
          <xm:sqref>C15:C22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8"/>
  <sheetViews>
    <sheetView zoomScale="80" zoomScaleNormal="80" workbookViewId="0">
      <selection activeCell="D25" sqref="D25"/>
    </sheetView>
  </sheetViews>
  <sheetFormatPr defaultColWidth="11.42578125" defaultRowHeight="15"/>
  <cols>
    <col min="1" max="1" width="12" style="2" customWidth="1"/>
    <col min="2" max="2" width="10.140625" style="2" customWidth="1"/>
    <col min="3" max="3" width="11.42578125" style="2"/>
    <col min="4" max="4" width="58.28515625" style="2" customWidth="1"/>
    <col min="5" max="5" width="15.855468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.75" thickBot="1"/>
    <row r="3" spans="1:7" ht="24" customHeight="1" thickBot="1">
      <c r="A3" s="2" t="s">
        <v>44</v>
      </c>
      <c r="B3" s="50" t="s">
        <v>0</v>
      </c>
      <c r="C3" s="51"/>
      <c r="D3" s="51"/>
      <c r="E3" s="51"/>
      <c r="F3" s="51"/>
      <c r="G3" s="52"/>
    </row>
    <row r="4" spans="1:7">
      <c r="B4" s="3"/>
      <c r="C4" s="4"/>
      <c r="D4" s="4"/>
      <c r="E4" s="4"/>
      <c r="F4" s="4"/>
      <c r="G4" s="4"/>
    </row>
    <row r="5" spans="1:7">
      <c r="B5" s="7" t="str">
        <f>'Gestion Exigences'!B5</f>
        <v>BU</v>
      </c>
      <c r="C5" s="7"/>
      <c r="D5" s="7" t="str">
        <f>'Gestion Exigences'!D5</f>
        <v xml:space="preserve">SF </v>
      </c>
      <c r="E5" s="4"/>
      <c r="F5" s="4"/>
      <c r="G5" s="4"/>
    </row>
    <row r="6" spans="1:7">
      <c r="B6" s="7" t="str">
        <f>'Gestion Exigences'!B6</f>
        <v>Client</v>
      </c>
      <c r="C6" s="7"/>
      <c r="D6" s="7" t="str">
        <f>'Gestion Exigences'!D6</f>
        <v>TBC</v>
      </c>
      <c r="E6" s="4"/>
      <c r="F6" s="4"/>
      <c r="G6" s="4"/>
    </row>
    <row r="7" spans="1:7">
      <c r="B7" s="7" t="str">
        <f>'Gestion Exigences'!B7</f>
        <v>Projet</v>
      </c>
      <c r="C7" s="7"/>
      <c r="D7" s="7" t="str">
        <f>'Gestion Exigences'!D7</f>
        <v>TBC</v>
      </c>
      <c r="E7" s="4"/>
      <c r="F7" s="4"/>
      <c r="G7" s="4"/>
    </row>
    <row r="8" spans="1:7">
      <c r="B8" s="7" t="str">
        <f>'Gestion Exigences'!B8</f>
        <v>Réf BPA du Devis</v>
      </c>
      <c r="C8" s="7"/>
      <c r="D8" s="7" t="str">
        <f>'Gestion Exigences'!D8</f>
        <v>TBC</v>
      </c>
      <c r="E8" s="4"/>
      <c r="F8" s="4"/>
      <c r="G8" s="4"/>
    </row>
    <row r="9" spans="1:7">
      <c r="B9" s="7" t="str">
        <f>'Gestion Exigences'!B9</f>
        <v>Réf BPA du Projet</v>
      </c>
      <c r="C9" s="7"/>
      <c r="D9" s="7" t="str">
        <f>'Gestion Exigences'!D9</f>
        <v>TBC</v>
      </c>
      <c r="E9" s="4"/>
      <c r="F9" s="4"/>
      <c r="G9" s="4"/>
    </row>
    <row r="10" spans="1:7">
      <c r="B10" s="7"/>
      <c r="C10" s="7"/>
      <c r="D10" s="7"/>
      <c r="E10" s="4"/>
      <c r="F10" s="4"/>
      <c r="G10" s="4"/>
    </row>
    <row r="11" spans="1:7">
      <c r="B11" s="21" t="str">
        <f>'Gestion Exigences'!B11</f>
        <v>MD203:V1.1</v>
      </c>
      <c r="C11" s="21"/>
      <c r="D11" s="7"/>
      <c r="E11" s="4"/>
      <c r="F11" s="4"/>
      <c r="G11" s="4"/>
    </row>
    <row r="12" spans="1:7">
      <c r="B12" s="3"/>
      <c r="C12" s="4"/>
      <c r="D12" s="4"/>
      <c r="E12" s="4"/>
      <c r="F12" s="4"/>
      <c r="G12" s="4"/>
    </row>
    <row r="13" spans="1:7">
      <c r="B13" s="12" t="s">
        <v>45</v>
      </c>
      <c r="C13" s="12" t="s">
        <v>46</v>
      </c>
      <c r="D13" s="12" t="s">
        <v>47</v>
      </c>
      <c r="E13" s="12" t="s">
        <v>48</v>
      </c>
      <c r="F13" s="12" t="s">
        <v>49</v>
      </c>
      <c r="G13" s="12" t="s">
        <v>50</v>
      </c>
    </row>
    <row r="14" spans="1:7" ht="29.45" customHeight="1">
      <c r="B14" s="13"/>
      <c r="C14" s="14"/>
      <c r="D14" s="9"/>
      <c r="E14" s="13"/>
      <c r="F14" s="8"/>
      <c r="G14" s="13"/>
    </row>
    <row r="15" spans="1:7">
      <c r="B15" s="1"/>
      <c r="C15" s="15"/>
      <c r="D15" s="1"/>
      <c r="E15" s="1"/>
      <c r="F15" s="1"/>
      <c r="G15" s="1"/>
    </row>
    <row r="16" spans="1:7">
      <c r="B16" s="1"/>
      <c r="C16" s="15"/>
      <c r="D16" s="1"/>
      <c r="E16" s="1"/>
      <c r="F16" s="1"/>
      <c r="G16" s="1"/>
    </row>
    <row r="17" spans="2:7">
      <c r="B17" s="1"/>
      <c r="C17" s="1"/>
      <c r="D17" s="1"/>
      <c r="E17" s="1"/>
      <c r="F17" s="1"/>
      <c r="G17" s="1"/>
    </row>
    <row r="18" spans="2:7">
      <c r="B18" s="1"/>
      <c r="C18" s="1"/>
      <c r="D18" s="1"/>
      <c r="E18" s="1"/>
      <c r="F18" s="1"/>
      <c r="G18" s="1"/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J15"/>
  <sheetViews>
    <sheetView workbookViewId="0">
      <selection activeCell="B2" sqref="B2:D3"/>
    </sheetView>
  </sheetViews>
  <sheetFormatPr defaultColWidth="11.42578125" defaultRowHeight="12.75"/>
  <cols>
    <col min="1" max="3" width="11.42578125" style="5"/>
    <col min="4" max="5" width="19.7109375" style="5" customWidth="1"/>
    <col min="6" max="6" width="23.85546875" style="5" customWidth="1"/>
    <col min="7" max="7" width="14.42578125" style="5" customWidth="1"/>
    <col min="8" max="8" width="23.85546875" style="5" customWidth="1"/>
    <col min="9" max="9" width="25.140625" style="5" customWidth="1"/>
    <col min="10" max="10" width="20.42578125" style="5" customWidth="1"/>
    <col min="11" max="16384" width="11.42578125" style="5"/>
  </cols>
  <sheetData>
    <row r="2" spans="2:10">
      <c r="B2" s="20" t="s">
        <v>51</v>
      </c>
      <c r="C2" s="20"/>
      <c r="D2" s="19">
        <v>0.25</v>
      </c>
    </row>
    <row r="3" spans="2:10">
      <c r="B3" s="20" t="s">
        <v>52</v>
      </c>
      <c r="C3" s="20"/>
      <c r="D3" s="19">
        <v>0.25</v>
      </c>
    </row>
    <row r="5" spans="2:10" ht="25.5">
      <c r="B5" s="16" t="s">
        <v>53</v>
      </c>
      <c r="C5" s="16" t="s">
        <v>3</v>
      </c>
      <c r="D5" s="16" t="s">
        <v>15</v>
      </c>
      <c r="E5" s="16" t="s">
        <v>54</v>
      </c>
      <c r="F5" s="16" t="s">
        <v>19</v>
      </c>
      <c r="G5" s="16" t="s">
        <v>55</v>
      </c>
      <c r="H5" s="16" t="s">
        <v>24</v>
      </c>
      <c r="I5" s="16" t="s">
        <v>56</v>
      </c>
      <c r="J5" s="16" t="s">
        <v>16</v>
      </c>
    </row>
    <row r="6" spans="2:10" ht="25.5">
      <c r="B6" s="5" t="s">
        <v>35</v>
      </c>
      <c r="C6" s="5" t="s">
        <v>4</v>
      </c>
      <c r="D6" s="5" t="s">
        <v>57</v>
      </c>
      <c r="E6" s="5" t="s">
        <v>58</v>
      </c>
      <c r="F6" s="5" t="s">
        <v>59</v>
      </c>
      <c r="G6" s="5" t="s">
        <v>60</v>
      </c>
      <c r="H6" s="5" t="s">
        <v>61</v>
      </c>
      <c r="I6" s="5" t="s">
        <v>62</v>
      </c>
      <c r="J6" s="5" t="s">
        <v>63</v>
      </c>
    </row>
    <row r="7" spans="2:10">
      <c r="B7" s="5" t="s">
        <v>64</v>
      </c>
      <c r="C7" s="5" t="s">
        <v>65</v>
      </c>
      <c r="D7" s="5" t="s">
        <v>66</v>
      </c>
      <c r="E7" s="5" t="s">
        <v>67</v>
      </c>
      <c r="F7" s="5" t="s">
        <v>68</v>
      </c>
      <c r="G7" s="5" t="s">
        <v>69</v>
      </c>
      <c r="H7" s="5" t="s">
        <v>70</v>
      </c>
      <c r="I7" s="5" t="s">
        <v>71</v>
      </c>
      <c r="J7" s="5" t="s">
        <v>72</v>
      </c>
    </row>
    <row r="8" spans="2:10">
      <c r="B8" s="5" t="s">
        <v>73</v>
      </c>
      <c r="C8" s="5" t="s">
        <v>74</v>
      </c>
      <c r="D8" s="5" t="s">
        <v>75</v>
      </c>
      <c r="E8" s="5" t="s">
        <v>76</v>
      </c>
      <c r="F8" s="5" t="s">
        <v>77</v>
      </c>
      <c r="G8" s="5" t="s">
        <v>36</v>
      </c>
      <c r="H8" s="5" t="s">
        <v>36</v>
      </c>
      <c r="I8" s="5" t="s">
        <v>36</v>
      </c>
      <c r="J8" s="5" t="s">
        <v>78</v>
      </c>
    </row>
    <row r="9" spans="2:10">
      <c r="B9" s="5" t="s">
        <v>79</v>
      </c>
      <c r="D9" s="5" t="s">
        <v>80</v>
      </c>
      <c r="E9" s="5" t="s">
        <v>81</v>
      </c>
      <c r="F9" s="5" t="s">
        <v>82</v>
      </c>
      <c r="J9" s="5" t="s">
        <v>83</v>
      </c>
    </row>
    <row r="10" spans="2:10">
      <c r="B10" s="5" t="s">
        <v>84</v>
      </c>
      <c r="D10" s="5" t="s">
        <v>85</v>
      </c>
      <c r="E10" s="5" t="s">
        <v>86</v>
      </c>
      <c r="F10" s="5" t="s">
        <v>87</v>
      </c>
      <c r="J10" s="5" t="s">
        <v>88</v>
      </c>
    </row>
    <row r="11" spans="2:10">
      <c r="B11" s="5" t="s">
        <v>89</v>
      </c>
      <c r="D11" s="5" t="s">
        <v>90</v>
      </c>
      <c r="F11" s="5" t="s">
        <v>91</v>
      </c>
      <c r="J11" s="5" t="s">
        <v>92</v>
      </c>
    </row>
    <row r="12" spans="2:10">
      <c r="B12" s="5" t="s">
        <v>93</v>
      </c>
      <c r="F12" s="5" t="s">
        <v>94</v>
      </c>
      <c r="J12" s="5" t="s">
        <v>95</v>
      </c>
    </row>
    <row r="14" spans="2:10">
      <c r="J14" s="5" t="s">
        <v>96</v>
      </c>
    </row>
    <row r="15" spans="2:10">
      <c r="J15" s="5" t="s">
        <v>97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043E46-C74E-451E-B016-F3172218126B}"/>
</file>

<file path=customXml/itemProps2.xml><?xml version="1.0" encoding="utf-8"?>
<ds:datastoreItem xmlns:ds="http://schemas.openxmlformats.org/officeDocument/2006/customXml" ds:itemID="{85503822-DF13-4051-A489-72B75648E37A}"/>
</file>

<file path=customXml/itemProps3.xml><?xml version="1.0" encoding="utf-8"?>
<ds:datastoreItem xmlns:ds="http://schemas.openxmlformats.org/officeDocument/2006/customXml" ds:itemID="{431C8B5B-7A06-4686-9F8A-E8F24EECD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2025-05-16T09:56:07Z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