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momsoftware.sharepoint.com/sites/Commercial/Documents partages/06 Prospects/012 La rose blanche/22 Digitalisation La rose blanche/2 Préparation Offre/"/>
    </mc:Choice>
  </mc:AlternateContent>
  <xr:revisionPtr revIDLastSave="1" documentId="14_{96104B4A-E438-4303-B220-3907DA96BA50}" xr6:coauthVersionLast="47" xr6:coauthVersionMax="47" xr10:uidLastSave="{851C8023-13BF-4EA9-A704-034B5D1187DD}"/>
  <bookViews>
    <workbookView xWindow="-108" yWindow="-108" windowWidth="23256" windowHeight="12456" tabRatio="620" xr2:uid="{00000000-000D-0000-FFFF-FFFF00000000}"/>
  </bookViews>
  <sheets>
    <sheet name="Gestion Exigences" sheetId="27" r:id="rId1"/>
    <sheet name="Feuil1" sheetId="31" r:id="rId2"/>
    <sheet name="Modifs Doc" sheetId="29" r:id="rId3"/>
    <sheet name="Params" sheetId="30" r:id="rId4"/>
  </sheets>
  <definedNames>
    <definedName name="_xlnm.Print_Area" localSheetId="0">'Gestion Exigences'!$D$2:$M$18</definedName>
    <definedName name="_xlnm.Print_Area" localSheetId="2">'Modifs Doc'!$B$2:$G$16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2" i="27" l="1"/>
  <c r="T32" i="27" s="1"/>
  <c r="S33" i="27"/>
  <c r="T33" i="27" s="1"/>
  <c r="S34" i="27"/>
  <c r="T34" i="27" s="1"/>
  <c r="S35" i="27"/>
  <c r="T35" i="27" s="1"/>
  <c r="S36" i="27"/>
  <c r="T36" i="27" s="1"/>
  <c r="S37" i="27"/>
  <c r="T37" i="27" s="1"/>
  <c r="S38" i="27"/>
  <c r="T38" i="27" s="1"/>
  <c r="S39" i="27"/>
  <c r="T39" i="27" s="1"/>
  <c r="S40" i="27"/>
  <c r="T40" i="27" s="1"/>
  <c r="S41" i="27"/>
  <c r="T41" i="27" s="1"/>
  <c r="S42" i="27"/>
  <c r="T42" i="27" s="1"/>
  <c r="S43" i="27"/>
  <c r="T43" i="27" s="1"/>
  <c r="S44" i="27"/>
  <c r="T44" i="27" s="1"/>
  <c r="S45" i="27"/>
  <c r="T45" i="27" s="1"/>
  <c r="S46" i="27"/>
  <c r="T46" i="27" s="1"/>
  <c r="S47" i="27"/>
  <c r="T47" i="27" s="1"/>
  <c r="S48" i="27"/>
  <c r="T48" i="27" s="1"/>
  <c r="S49" i="27"/>
  <c r="T49" i="27" s="1"/>
  <c r="S50" i="27"/>
  <c r="T50" i="27" s="1"/>
  <c r="S51" i="27"/>
  <c r="T51" i="27" s="1"/>
  <c r="S52" i="27"/>
  <c r="T52" i="27" s="1"/>
  <c r="S53" i="27"/>
  <c r="T53" i="27" s="1"/>
  <c r="S54" i="27"/>
  <c r="T54" i="27" s="1"/>
  <c r="S55" i="27"/>
  <c r="T55" i="27" s="1"/>
  <c r="S56" i="27"/>
  <c r="T56" i="27" s="1"/>
  <c r="S57" i="27"/>
  <c r="T57" i="27" s="1"/>
  <c r="S58" i="27"/>
  <c r="T58" i="27" s="1"/>
  <c r="S59" i="27"/>
  <c r="T59" i="27" s="1"/>
  <c r="S60" i="27"/>
  <c r="T60" i="27" s="1"/>
  <c r="S61" i="27"/>
  <c r="T61" i="27" s="1"/>
  <c r="S62" i="27"/>
  <c r="T62" i="27" s="1"/>
  <c r="S63" i="27"/>
  <c r="T63" i="27" s="1"/>
  <c r="S64" i="27"/>
  <c r="T64" i="27" s="1"/>
  <c r="S65" i="27"/>
  <c r="T65" i="27" s="1"/>
  <c r="S66" i="27"/>
  <c r="T66" i="27" s="1"/>
  <c r="S67" i="27"/>
  <c r="T67" i="27" s="1"/>
  <c r="S21" i="27"/>
  <c r="T21" i="27" s="1"/>
  <c r="S19" i="27"/>
  <c r="T19" i="27" s="1"/>
  <c r="S20" i="27"/>
  <c r="T20" i="27" s="1"/>
  <c r="S22" i="27"/>
  <c r="T22" i="27" s="1"/>
  <c r="S23" i="27"/>
  <c r="T23" i="27" s="1"/>
  <c r="S24" i="27"/>
  <c r="T24" i="27" s="1"/>
  <c r="S25" i="27"/>
  <c r="T25" i="27" s="1"/>
  <c r="S26" i="27"/>
  <c r="T26" i="27" s="1"/>
  <c r="S27" i="27"/>
  <c r="T27" i="27" s="1"/>
  <c r="S28" i="27"/>
  <c r="T28" i="27" s="1"/>
  <c r="S29" i="27"/>
  <c r="T29" i="27" s="1"/>
  <c r="S30" i="27"/>
  <c r="T30" i="27" s="1"/>
  <c r="S31" i="27"/>
  <c r="T31" i="27" s="1"/>
  <c r="S12" i="27"/>
  <c r="T12" i="27" s="1"/>
  <c r="S13" i="27"/>
  <c r="T13" i="27" s="1"/>
  <c r="S14" i="27"/>
  <c r="T14" i="27" s="1"/>
  <c r="S15" i="27"/>
  <c r="T15" i="27" s="1"/>
  <c r="S16" i="27"/>
  <c r="T16" i="27" s="1"/>
  <c r="S17" i="27"/>
  <c r="T17" i="27" s="1"/>
  <c r="S18" i="27"/>
  <c r="T18" i="27" s="1"/>
  <c r="S68" i="27"/>
  <c r="T68" i="27" s="1"/>
  <c r="D5" i="29"/>
  <c r="D6" i="29"/>
  <c r="C8" i="29"/>
  <c r="C9" i="29"/>
  <c r="B6" i="29"/>
  <c r="B8" i="29"/>
  <c r="B9" i="29"/>
  <c r="B5" i="29"/>
  <c r="T69" i="27" l="1"/>
</calcChain>
</file>

<file path=xl/sharedStrings.xml><?xml version="1.0" encoding="utf-8"?>
<sst xmlns="http://schemas.openxmlformats.org/spreadsheetml/2006/main" count="207" uniqueCount="169">
  <si>
    <t>Gestion Exigences Projet</t>
  </si>
  <si>
    <t>Chiffrage Réalisation (SF only)</t>
  </si>
  <si>
    <t>Revue et Vérification Pendant la Conception</t>
  </si>
  <si>
    <t>BU</t>
  </si>
  <si>
    <t>SF</t>
  </si>
  <si>
    <t>Client</t>
  </si>
  <si>
    <t>La Rose Blanche</t>
  </si>
  <si>
    <t>Projet</t>
  </si>
  <si>
    <t>Digitalisation Groupe</t>
  </si>
  <si>
    <t>Réf Modèle Document</t>
  </si>
  <si>
    <t>MD203</t>
  </si>
  <si>
    <t>Confidentiel | Usage Client Limité</t>
  </si>
  <si>
    <t>Version Modèle Document</t>
  </si>
  <si>
    <t>V1.5</t>
  </si>
  <si>
    <t>ID</t>
  </si>
  <si>
    <t>Module</t>
  </si>
  <si>
    <t>Intitulé Exigence</t>
  </si>
  <si>
    <t>Effort</t>
  </si>
  <si>
    <t>Cricité</t>
  </si>
  <si>
    <t>Niveau d'exigence</t>
  </si>
  <si>
    <t>Nature</t>
  </si>
  <si>
    <t>Catégorie</t>
  </si>
  <si>
    <t>Exigence idenfiée pendant la phase</t>
  </si>
  <si>
    <t>Description de l'exigence</t>
  </si>
  <si>
    <t>Source</t>
  </si>
  <si>
    <t>Desciption de la solution ADDIXO</t>
  </si>
  <si>
    <t>Ecart entre exigence client et la solution proposée - préciser aussi les limites et hypothèses si applicable</t>
  </si>
  <si>
    <t>Validation Interne</t>
  </si>
  <si>
    <t>Validation Interne par:</t>
  </si>
  <si>
    <t>Statut Client</t>
  </si>
  <si>
    <t>HJ Dev</t>
  </si>
  <si>
    <t>HJ Analyse et Test</t>
  </si>
  <si>
    <t>Total HJ</t>
  </si>
  <si>
    <t>Description comment la conception de la solution prend en compte l'exigence client</t>
  </si>
  <si>
    <t>Conception réalisée par:</t>
  </si>
  <si>
    <t>Revue conception réalisée par</t>
  </si>
  <si>
    <t>Vérification de la conception réalisée par</t>
  </si>
  <si>
    <t xml:space="preserve">Preuve de vérification </t>
  </si>
  <si>
    <t>Notes</t>
  </si>
  <si>
    <t>E001</t>
  </si>
  <si>
    <t>Core</t>
  </si>
  <si>
    <t>Migration Cloud</t>
  </si>
  <si>
    <t>N/A</t>
  </si>
  <si>
    <t>E002</t>
  </si>
  <si>
    <t>Architecture Big Data</t>
  </si>
  <si>
    <t>E003</t>
  </si>
  <si>
    <t>Production</t>
  </si>
  <si>
    <t>Planificaition de la production</t>
  </si>
  <si>
    <t>Partiellemnt couvert</t>
  </si>
  <si>
    <t>E004</t>
  </si>
  <si>
    <t>Gestion des flux</t>
  </si>
  <si>
    <t>E005</t>
  </si>
  <si>
    <t>Gestion des OF</t>
  </si>
  <si>
    <t>E006</t>
  </si>
  <si>
    <t>Gestion procédures opérationnelles</t>
  </si>
  <si>
    <t>E007</t>
  </si>
  <si>
    <t>Ordonnancement</t>
  </si>
  <si>
    <t>Totalement couvert</t>
  </si>
  <si>
    <t>Gestion des ressources</t>
  </si>
  <si>
    <t>Maintenance</t>
  </si>
  <si>
    <t xml:space="preserve">Planificaition maintenance préventive </t>
  </si>
  <si>
    <t xml:space="preserve">Planificaition maintenance Curative </t>
  </si>
  <si>
    <t>Surveillance des paramètres machines</t>
  </si>
  <si>
    <t>Qualité</t>
  </si>
  <si>
    <t>Contrôle de la qualité</t>
  </si>
  <si>
    <t>Gestion de la traçabilité</t>
  </si>
  <si>
    <t>Gestion des dérogations</t>
  </si>
  <si>
    <t>Amélioration continue</t>
  </si>
  <si>
    <t>Transverse</t>
  </si>
  <si>
    <t>Gestion des MOD (Main d'œuvre directe)</t>
  </si>
  <si>
    <t>Monitoring de la performance</t>
  </si>
  <si>
    <t>Gestion des risques</t>
  </si>
  <si>
    <t>Affectation Opérateur/Poste</t>
  </si>
  <si>
    <t>Suivi OF en temps réel</t>
  </si>
  <si>
    <t>Suivi de la matière consommée en Temps réel</t>
  </si>
  <si>
    <t>Webservice Test Qualité SF-&gt;LIMS</t>
  </si>
  <si>
    <t>Ordonnancer la réception des matières réceptionnées selon l’état des emplacements de stockage (Silos, Bâtiment)</t>
  </si>
  <si>
    <t xml:space="preserve">Ordonnancer la préparation des mélanges d’encres </t>
  </si>
  <si>
    <t>Collecter et communiquer l’état de chaque 
emplacement de stockage (Disponible, Bloqué, en 
nettoyage, en Maintenance)</t>
  </si>
  <si>
    <t>Collecter et communiquer les paramètres définissant 
les conditions de stockage (Température, Humidité)</t>
  </si>
  <si>
    <t>Collecter et communiquer les paramètres définissant 
les conditions d'élevage (température, humidité, 
luminosité, taux de CO2, dépression)</t>
  </si>
  <si>
    <t>Déclencher automatiquement les processus de 
réajustement des conditions de stockage 
(Dépassement de température, dépassement 
d’humidité)</t>
  </si>
  <si>
    <t>Collecter et communiquer les données sur la 
quantité stocké (Poids, Alloué pour quel OF, Données 
qualité, emplacement)</t>
  </si>
  <si>
    <t>Collecter et communiquer la quantité de déchets/ 
déclassées</t>
  </si>
  <si>
    <t>Assurer un circuit de dérogation pour contrôler 
l’incorporation de la matières premières entre les 
équipes qualité et production</t>
  </si>
  <si>
    <t>Collecter et communiquer les OFs aux différents 
postes de travail à partir de Sage X3</t>
  </si>
  <si>
    <t>Proposer à l’opérateur un ordonnancement de la 
production</t>
  </si>
  <si>
    <t>Collecter et communiquer le temps écoulé par process</t>
  </si>
  <si>
    <t xml:space="preserve">Collecter et communiquer les paramètres d’humidité 
dans le processus </t>
  </si>
  <si>
    <t>Collecter la quantité de produits conformes, non conformes et sous dérogation</t>
  </si>
  <si>
    <t>Collecter les quantités injectées dans le process (céréales et dérivées, encres, eaux, poussins, œuf et additifs)</t>
  </si>
  <si>
    <t>Collecter et communiquer la recette entre les 
équipes formulation, production et qualité</t>
  </si>
  <si>
    <t>Assurer un circuit de validation de recette entre les 
différentes équipes concernées</t>
  </si>
  <si>
    <t>Collecter et communiquer les quantités produites</t>
  </si>
  <si>
    <t>Collecter et communiquer en temps réel les 
différents résultats des tests qualités</t>
  </si>
  <si>
    <t xml:space="preserve">Collecter les différentes variables pour le calcul des 
indicateurs de performance </t>
  </si>
  <si>
    <t>Digitaliser tous les rapports de production et qualité</t>
  </si>
  <si>
    <t>Collecter et communiquer les compteurs machines 
pour aider à la planification de la maintenance 
préventive</t>
  </si>
  <si>
    <t>Assurer un workflow automatique du processus de la 
maintenance curative depuis la création de la 
demande de travail jusqu'à la réception de 
l'équipement après réparation</t>
  </si>
  <si>
    <t xml:space="preserve">Collecter et communiquer en temps réel le statut des 
différentes machines (en prod/en panne) </t>
  </si>
  <si>
    <t xml:space="preserve">Collecter et communiquer en temps réel les 
différents paramètres machine (Cadence, Ampérage, 
Température, pression)
</t>
  </si>
  <si>
    <t>Alerter et bloquer le processus de fabrication en cas 
de dépassement de l’un des paramètres de machine</t>
  </si>
  <si>
    <t>Clôturer automatiquement les Ofs</t>
  </si>
  <si>
    <t>Collecter et communiquer en temps réel les 
paramètres nécessaires pour le reporting</t>
  </si>
  <si>
    <t>Optimiser la planification et l’ordonnancement de la
production par étape et par sous-étape</t>
  </si>
  <si>
    <t>Interagir en mode Q&amp;A pour la consultation des 
documents opérationnels</t>
  </si>
  <si>
    <t xml:space="preserve"> </t>
  </si>
  <si>
    <t>Version</t>
  </si>
  <si>
    <t>Date</t>
  </si>
  <si>
    <t>Modifications</t>
  </si>
  <si>
    <t>Auteur(s)</t>
  </si>
  <si>
    <t>Vérificateur(s)</t>
  </si>
  <si>
    <t>Approbateur</t>
  </si>
  <si>
    <t>V1.0</t>
  </si>
  <si>
    <t xml:space="preserve">Version initiale </t>
  </si>
  <si>
    <t>Nihel K.</t>
  </si>
  <si>
    <t xml:space="preserve">Mahdi B. + Ferjania BA </t>
  </si>
  <si>
    <t>Imed A.</t>
  </si>
  <si>
    <t>Exigence identifiée pendant la phase</t>
  </si>
  <si>
    <t>Oui/Non</t>
  </si>
  <si>
    <t>Statut Interne</t>
  </si>
  <si>
    <t>SE</t>
  </si>
  <si>
    <t>Fonctionnelle</t>
  </si>
  <si>
    <t>Commerciale</t>
  </si>
  <si>
    <t>CdC client</t>
  </si>
  <si>
    <t>Oui</t>
  </si>
  <si>
    <t>Validée par le client</t>
  </si>
  <si>
    <t>Validée</t>
  </si>
  <si>
    <t>*** SE</t>
  </si>
  <si>
    <t>SE-TN</t>
  </si>
  <si>
    <t>Performance</t>
  </si>
  <si>
    <t>Conception</t>
  </si>
  <si>
    <t>Workshop/réunion client</t>
  </si>
  <si>
    <t>Non</t>
  </si>
  <si>
    <t>Non validée par client</t>
  </si>
  <si>
    <t>Non validée</t>
  </si>
  <si>
    <t>SE-Processus</t>
  </si>
  <si>
    <t>SE-MA</t>
  </si>
  <si>
    <t>Reglementaire</t>
  </si>
  <si>
    <t>Réalisation</t>
  </si>
  <si>
    <t>Workshop/réunion Interne</t>
  </si>
  <si>
    <t>SE-Mécanique</t>
  </si>
  <si>
    <t>Sécurité</t>
  </si>
  <si>
    <t>Mise en œuvre</t>
  </si>
  <si>
    <t>Standards client</t>
  </si>
  <si>
    <t>SE-Electrique</t>
  </si>
  <si>
    <t>R&amp;D</t>
  </si>
  <si>
    <t>Standard Client</t>
  </si>
  <si>
    <t>Support et maintenance</t>
  </si>
  <si>
    <t>Standards ADDIXO</t>
  </si>
  <si>
    <t>SE-Soft</t>
  </si>
  <si>
    <t>LOOYAS</t>
  </si>
  <si>
    <t>Standard ADDIXO</t>
  </si>
  <si>
    <t>Reglementation</t>
  </si>
  <si>
    <t>SE-Auto</t>
  </si>
  <si>
    <t>A définir</t>
  </si>
  <si>
    <t>Demande modification</t>
  </si>
  <si>
    <t>SE-Fabrication</t>
  </si>
  <si>
    <t>SE-Intégration</t>
  </si>
  <si>
    <t>SE-Achats</t>
  </si>
  <si>
    <t>*** SF</t>
  </si>
  <si>
    <t>SF-Processus</t>
  </si>
  <si>
    <t>SF-Fonctionnelle</t>
  </si>
  <si>
    <t>SF-Connectivité Machine</t>
  </si>
  <si>
    <t>SF-Intégration SI</t>
  </si>
  <si>
    <t>SF-Software</t>
  </si>
  <si>
    <t>SF-Infra IT</t>
  </si>
  <si>
    <t>*** TC</t>
  </si>
  <si>
    <t>TC-Prestations sur site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</si>
</sst>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name val="Arial"/>
    </font>
    <font>
      <sz val="10"/>
      <name val="Calibri Light"/>
      <family val="2"/>
      <scheme val="major"/>
    </font>
    <font>
      <sz val="8"/>
      <name val="Arial"/>
      <family val="2"/>
    </font>
    <font>
      <sz val="11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name val="Calibri Light"/>
      <family val="2"/>
    </font>
    <font>
      <sz val="11"/>
      <name val="Arial"/>
      <family val="2"/>
    </font>
    <font>
      <sz val="11"/>
      <name val="Calibri Light"/>
      <family val="2"/>
    </font>
    <font>
      <b/>
      <sz val="12"/>
      <name val="Calibri Light"/>
      <family val="2"/>
    </font>
    <font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8"/>
      <name val="Calibri Light"/>
      <family val="2"/>
      <scheme val="major"/>
    </font>
    <font>
      <b/>
      <sz val="11"/>
      <color theme="2" tint="-0.89999084444715716"/>
      <name val="Calibri Light"/>
      <family val="2"/>
    </font>
    <font>
      <b/>
      <sz val="10"/>
      <color rgb="FFFF0000"/>
      <name val="Calibri Light"/>
      <family val="2"/>
      <scheme val="major"/>
    </font>
    <font>
      <sz val="4"/>
      <name val="Calibri Light"/>
      <family val="2"/>
    </font>
    <font>
      <sz val="4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14" fillId="3" borderId="0" xfId="0" applyFont="1" applyFill="1" applyAlignment="1">
      <alignment horizontal="center" vertical="center" wrapText="1"/>
    </xf>
    <xf numFmtId="0" fontId="10" fillId="4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5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5" fillId="0" borderId="0" xfId="0" applyFont="1" applyAlignment="1">
      <alignment horizontal="left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5" fillId="0" borderId="0" xfId="0" applyFont="1"/>
    <xf numFmtId="0" fontId="17" fillId="0" borderId="0" xfId="0" applyFont="1"/>
    <xf numFmtId="0" fontId="1" fillId="0" borderId="0" xfId="0" applyFont="1"/>
    <xf numFmtId="0" fontId="11" fillId="0" borderId="0" xfId="0" applyFont="1" applyAlignment="1">
      <alignment wrapText="1"/>
    </xf>
    <xf numFmtId="0" fontId="11" fillId="0" borderId="0" xfId="0" applyFont="1" applyAlignment="1">
      <alignment horizontal="left" wrapText="1"/>
    </xf>
    <xf numFmtId="14" fontId="3" fillId="0" borderId="0" xfId="0" applyNumberFormat="1" applyFont="1" applyAlignment="1">
      <alignment wrapText="1"/>
    </xf>
    <xf numFmtId="0" fontId="10" fillId="5" borderId="1" xfId="0" applyFont="1" applyFill="1" applyBorder="1" applyAlignment="1">
      <alignment vertical="center" wrapText="1"/>
    </xf>
    <xf numFmtId="0" fontId="10" fillId="5" borderId="2" xfId="0" applyFont="1" applyFill="1" applyBorder="1" applyAlignment="1">
      <alignment vertical="center" wrapText="1"/>
    </xf>
    <xf numFmtId="0" fontId="10" fillId="5" borderId="3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center" wrapText="1"/>
    </xf>
    <xf numFmtId="0" fontId="12" fillId="2" borderId="2" xfId="0" applyFont="1" applyFill="1" applyBorder="1" applyAlignment="1">
      <alignment horizontal="center" wrapText="1"/>
    </xf>
    <xf numFmtId="0" fontId="12" fillId="2" borderId="3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4" fillId="5" borderId="2" xfId="0" applyFont="1" applyFill="1" applyBorder="1" applyAlignment="1">
      <alignment horizontal="center" wrapText="1"/>
    </xf>
    <xf numFmtId="0" fontId="4" fillId="5" borderId="3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 Light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17929</xdr:colOff>
      <xdr:row>2</xdr:row>
      <xdr:rowOff>161363</xdr:rowOff>
    </xdr:from>
    <xdr:to>
      <xdr:col>3</xdr:col>
      <xdr:colOff>1518907</xdr:colOff>
      <xdr:row>2</xdr:row>
      <xdr:rowOff>600635</xdr:rowOff>
    </xdr:to>
    <xdr:pic>
      <xdr:nvPicPr>
        <xdr:cNvPr id="3" name="Image 2" descr="Une image contenant Graphique, graphisme, capture d’écran, Caractère coloré&#10;&#10;Description générée automatiquement">
          <a:extLst>
            <a:ext uri="{FF2B5EF4-FFF2-40B4-BE49-F238E27FC236}">
              <a16:creationId xmlns:a16="http://schemas.microsoft.com/office/drawing/2014/main" id="{7966670B-FD7D-478A-B1C8-F131A4F63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823" y="618563"/>
          <a:ext cx="2729143" cy="43927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A2C8B-EE0D-4C55-9256-CCC64E002CE6}" name="Tableau3" displayName="Tableau3" ref="B11:Z69" totalsRowCount="1" headerRowDxfId="59" dataDxfId="58">
  <autoFilter ref="B11:Z68" xr:uid="{DDEA2C8B-EE0D-4C55-9256-CCC64E002CE6}"/>
  <tableColumns count="25">
    <tableColumn id="1" xr3:uid="{E467E0EE-CDAA-4FF5-85A8-CDC0B23A5AD9}" name="ID" dataDxfId="56" totalsRowDxfId="57"/>
    <tableColumn id="23" xr3:uid="{792DCE61-AD16-42CE-BCAA-C26E3E1FD47C}" name="Module" dataDxfId="54" totalsRowDxfId="55"/>
    <tableColumn id="2" xr3:uid="{E53952AC-4972-47BD-8B1D-C7EF23088D0D}" name="Intitulé Exigence" dataDxfId="52" totalsRowDxfId="53"/>
    <tableColumn id="26" xr3:uid="{6E402EAD-A542-4544-B190-C51358EAA952}" name="Effort" dataDxfId="50" totalsRowDxfId="51"/>
    <tableColumn id="25" xr3:uid="{49346398-8ABF-4232-A6DD-70EC62F18B20}" name="Cricité" dataDxfId="48" totalsRowDxfId="49"/>
    <tableColumn id="19" xr3:uid="{11EB2FD2-98F1-48CF-A380-4AE23349C58A}" name="Niveau d'exigence" dataDxfId="46" totalsRowDxfId="47"/>
    <tableColumn id="8" xr3:uid="{B2D0BC2C-C803-4015-8FA6-70F84517BDB2}" name="Nature" dataDxfId="44" totalsRowDxfId="45"/>
    <tableColumn id="7" xr3:uid="{24F2F0ED-022E-4EC1-91D8-BFE0E4F2FD36}" name="Catégorie" dataDxfId="42" totalsRowDxfId="43"/>
    <tableColumn id="10" xr3:uid="{1FF81CF1-6D35-421C-8767-9E7FA06FEE6A}" name="Exigence idenfiée pendant la phase" dataDxfId="40" totalsRowDxfId="41"/>
    <tableColumn id="3" xr3:uid="{E7621A68-9552-4853-96A5-92A226EA42DD}" name="Description de l'exigence" dataDxfId="38" totalsRowDxfId="39"/>
    <tableColumn id="9" xr3:uid="{E6EEEC82-3576-4980-94B3-1423906CE531}" name="Source" dataDxfId="36" totalsRowDxfId="37"/>
    <tableColumn id="16" xr3:uid="{1441554A-79F9-4040-9CF5-AEBFF7ADF7D1}" name="Desciption de la solution ADDIXO" dataDxfId="34" totalsRowDxfId="35"/>
    <tableColumn id="17" xr3:uid="{D1BC9C86-C3CE-417F-AC83-FC4786A7656D}" name="Ecart entre exigence client et la solution proposée - préciser aussi les limites et hypothèses si applicable" dataDxfId="32" totalsRowDxfId="33"/>
    <tableColumn id="5" xr3:uid="{2649C3B7-E8B9-44F9-8883-E5BB6F91B4B1}" name="Validation Interne" dataDxfId="30" totalsRowDxfId="31"/>
    <tableColumn id="6" xr3:uid="{8CC493F8-0886-498D-AB98-B77300CC6510}" name="Validation Interne par:" dataDxfId="28" totalsRowDxfId="29"/>
    <tableColumn id="15" xr3:uid="{78231C60-0932-4386-925D-4C689A91C0E3}" name="Statut Client" dataDxfId="26" totalsRowDxfId="27"/>
    <tableColumn id="22" xr3:uid="{D944A0FD-E468-407F-91A6-BD8A29086A7B}" name="HJ Dev" dataDxfId="24" totalsRowDxfId="25"/>
    <tableColumn id="21" xr3:uid="{818C68C5-1CC3-4DC9-9BB8-2CB7816ABE9F}" name="HJ Analyse et Test" dataDxfId="22" totalsRowDxfId="23">
      <calculatedColumnFormula>Tableau3[[#This Row],[HJ Dev]]*(25%+25%)</calculatedColumnFormula>
    </tableColumn>
    <tableColumn id="20" xr3:uid="{81CB5860-4285-4425-ABF9-C91F3323BF25}" name="Total HJ" totalsRowFunction="sum" dataDxfId="20" totalsRowDxfId="21">
      <calculatedColumnFormula>Tableau3[[#This Row],[HJ Analyse et Test]]+Tableau3[[#This Row],[HJ Dev]]</calculatedColumnFormula>
    </tableColumn>
    <tableColumn id="11" xr3:uid="{20685332-73A9-4B9D-874E-F1C9F770405F}" name="Description comment la conception de la solution prend en compte l'exigence client" dataDxfId="18" totalsRowDxfId="19"/>
    <tableColumn id="12" xr3:uid="{36B390F4-625A-46E1-864B-7108903FFD96}" name="Conception réalisée par:" dataDxfId="16" totalsRowDxfId="17"/>
    <tableColumn id="13" xr3:uid="{9016419E-83A5-4950-AB28-EA27A0D72FAD}" name="Revue conception réalisée par" dataDxfId="14" totalsRowDxfId="15"/>
    <tableColumn id="14" xr3:uid="{B5F29B7E-09EB-43EF-BD3D-9ADF38F7CC12}" name="Vérification de la conception réalisée par" dataDxfId="12" totalsRowDxfId="13"/>
    <tableColumn id="18" xr3:uid="{0CA25C90-64D6-43D5-90C8-CE6D70CCA638}" name="Preuve de vérification " dataDxfId="10" totalsRowDxfId="11"/>
    <tableColumn id="4" xr3:uid="{B7406A3A-A365-4F76-9A20-372573D19BC9}" name="Notes" dataDxfId="8" totalsRowDxfId="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AD1385-A1F5-4391-ABC2-C9F250557626}" name="Tableau325" displayName="Tableau325" ref="B11:G16" totalsRowShown="0" headerRowDxfId="7" dataDxfId="6">
  <autoFilter ref="B11:G16" xr:uid="{96AD1385-A1F5-4391-ABC2-C9F250557626}"/>
  <tableColumns count="6">
    <tableColumn id="1" xr3:uid="{56DA355E-F205-482A-9CF1-CA3361A1D801}" name="Version" dataDxfId="5"/>
    <tableColumn id="2" xr3:uid="{C9D8A0D7-1D6E-479B-AF74-6D39D19E4653}" name="Date" dataDxfId="4"/>
    <tableColumn id="3" xr3:uid="{79109713-8A38-4162-A269-136157905B75}" name="Modifications" dataDxfId="3"/>
    <tableColumn id="4" xr3:uid="{AC928B3E-399C-4A3D-9FB5-9CD96F5D4745}" name="Auteur(s)" dataDxfId="2"/>
    <tableColumn id="5" xr3:uid="{0D0A428D-4F18-4D4E-A0CB-4D1A5057B6E9}" name="Vérificateur(s)" dataDxfId="1"/>
    <tableColumn id="6" xr3:uid="{D81EAB57-FBCA-44D9-8F45-58AF13AA08B6}" name="Approbateur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CD31-E0D8-4640-9FED-05D3282809B2}">
  <sheetPr>
    <pageSetUpPr fitToPage="1"/>
  </sheetPr>
  <dimension ref="B1:Z69"/>
  <sheetViews>
    <sheetView tabSelected="1" topLeftCell="A58" zoomScale="85" zoomScaleNormal="85" workbookViewId="0">
      <selection activeCell="G65" sqref="G65"/>
    </sheetView>
  </sheetViews>
  <sheetFormatPr defaultColWidth="11.42578125" defaultRowHeight="13.9"/>
  <cols>
    <col min="1" max="1" width="11.42578125" style="1"/>
    <col min="2" max="2" width="6.140625" style="1" customWidth="1"/>
    <col min="3" max="3" width="11.7109375" style="1" customWidth="1"/>
    <col min="4" max="7" width="27.42578125" style="1" customWidth="1"/>
    <col min="8" max="9" width="18.28515625" style="1" customWidth="1"/>
    <col min="10" max="10" width="19.42578125" style="1" customWidth="1"/>
    <col min="11" max="11" width="56.5703125" style="1" customWidth="1"/>
    <col min="12" max="12" width="18.42578125" style="1" customWidth="1"/>
    <col min="13" max="13" width="56.5703125" style="1" customWidth="1"/>
    <col min="14" max="14" width="33.140625" style="1" customWidth="1"/>
    <col min="15" max="16" width="13.5703125" style="1" customWidth="1"/>
    <col min="17" max="17" width="15.28515625" style="1" customWidth="1"/>
    <col min="18" max="18" width="11.85546875" style="1" customWidth="1"/>
    <col min="19" max="19" width="15.42578125" style="1" customWidth="1"/>
    <col min="20" max="20" width="13.7109375" style="1" customWidth="1"/>
    <col min="21" max="21" width="39.85546875" style="1" customWidth="1"/>
    <col min="22" max="22" width="15.7109375" style="1" customWidth="1"/>
    <col min="23" max="23" width="20.5703125" style="1" customWidth="1"/>
    <col min="24" max="24" width="20.140625" style="1" customWidth="1"/>
    <col min="25" max="25" width="15.140625" style="1" customWidth="1"/>
    <col min="26" max="26" width="30.85546875" style="1" customWidth="1"/>
    <col min="27" max="16384" width="11.42578125" style="1"/>
  </cols>
  <sheetData>
    <row r="1" spans="2:26" ht="14.45" thickBot="1"/>
    <row r="2" spans="2:26" ht="21.75" customHeight="1" thickBot="1">
      <c r="B2" s="36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8"/>
      <c r="R2" s="39" t="s">
        <v>1</v>
      </c>
      <c r="S2" s="40"/>
      <c r="T2" s="41"/>
      <c r="U2" s="33" t="s">
        <v>2</v>
      </c>
      <c r="V2" s="34"/>
      <c r="W2" s="34"/>
      <c r="X2" s="34"/>
      <c r="Y2" s="34"/>
      <c r="Z2" s="35"/>
    </row>
    <row r="3" spans="2:26" ht="53.25" customHeight="1">
      <c r="D3" s="8"/>
      <c r="E3" s="8"/>
      <c r="F3" s="8"/>
      <c r="G3" s="8"/>
      <c r="H3" s="8"/>
      <c r="I3" s="8"/>
      <c r="J3" s="8"/>
      <c r="K3" s="8"/>
      <c r="L3" s="8"/>
      <c r="M3" s="8"/>
    </row>
    <row r="4" spans="2:26" ht="21" customHeight="1">
      <c r="B4" s="27" t="s">
        <v>3</v>
      </c>
      <c r="C4" s="27"/>
      <c r="D4" s="8"/>
      <c r="E4" s="8"/>
      <c r="F4" s="8"/>
      <c r="G4" s="8"/>
      <c r="H4" s="28" t="s">
        <v>4</v>
      </c>
      <c r="I4" s="8"/>
      <c r="J4" s="8"/>
      <c r="K4" s="8"/>
      <c r="L4" s="8"/>
      <c r="M4" s="8"/>
    </row>
    <row r="5" spans="2:26" ht="21.75" customHeight="1">
      <c r="B5" s="24" t="s">
        <v>5</v>
      </c>
      <c r="C5" s="24"/>
      <c r="H5" s="3" t="s">
        <v>6</v>
      </c>
      <c r="I5" s="3"/>
      <c r="J5" s="3"/>
      <c r="K5" s="3"/>
      <c r="L5" s="3"/>
      <c r="M5" s="3"/>
    </row>
    <row r="6" spans="2:26" ht="21" customHeight="1">
      <c r="B6" s="24" t="s">
        <v>7</v>
      </c>
      <c r="C6" s="24"/>
      <c r="H6" s="3" t="s">
        <v>8</v>
      </c>
      <c r="I6" s="3"/>
      <c r="J6" s="3"/>
      <c r="K6" s="3"/>
      <c r="L6" s="3"/>
      <c r="M6" s="3"/>
    </row>
    <row r="7" spans="2:26" ht="14.45">
      <c r="D7" s="3"/>
      <c r="E7" s="3"/>
      <c r="F7" s="3"/>
      <c r="G7" s="3"/>
      <c r="H7" s="21"/>
      <c r="I7" s="21"/>
      <c r="J7" s="21"/>
      <c r="K7" s="21"/>
      <c r="L7" s="21"/>
      <c r="M7" s="21"/>
    </row>
    <row r="8" spans="2:26">
      <c r="B8" s="25" t="s">
        <v>9</v>
      </c>
      <c r="C8" s="25"/>
      <c r="D8" s="26"/>
      <c r="E8" s="26"/>
      <c r="F8" s="26"/>
      <c r="G8" s="26"/>
      <c r="H8" s="25" t="s">
        <v>10</v>
      </c>
      <c r="I8" s="9"/>
      <c r="J8" s="9"/>
      <c r="M8" s="18" t="s">
        <v>11</v>
      </c>
    </row>
    <row r="9" spans="2:26">
      <c r="B9" s="25" t="s">
        <v>12</v>
      </c>
      <c r="C9" s="25"/>
      <c r="D9" s="26"/>
      <c r="E9" s="26"/>
      <c r="F9" s="26"/>
      <c r="G9" s="26"/>
      <c r="H9" s="25" t="s">
        <v>13</v>
      </c>
      <c r="I9" s="9"/>
      <c r="J9" s="9"/>
    </row>
    <row r="10" spans="2:26" ht="14.45" thickBot="1"/>
    <row r="11" spans="2:26" s="10" customFormat="1" ht="55.9" thickBot="1">
      <c r="B11" s="30" t="s">
        <v>14</v>
      </c>
      <c r="C11" s="31" t="s">
        <v>15</v>
      </c>
      <c r="D11" s="31" t="s">
        <v>16</v>
      </c>
      <c r="E11" s="31" t="s">
        <v>17</v>
      </c>
      <c r="F11" s="31" t="s">
        <v>18</v>
      </c>
      <c r="G11" s="31" t="s">
        <v>19</v>
      </c>
      <c r="H11" s="31" t="s">
        <v>20</v>
      </c>
      <c r="I11" s="31" t="s">
        <v>21</v>
      </c>
      <c r="J11" s="31" t="s">
        <v>22</v>
      </c>
      <c r="K11" s="31" t="s">
        <v>23</v>
      </c>
      <c r="L11" s="31" t="s">
        <v>24</v>
      </c>
      <c r="M11" s="31" t="s">
        <v>25</v>
      </c>
      <c r="N11" s="31" t="s">
        <v>26</v>
      </c>
      <c r="O11" s="31" t="s">
        <v>27</v>
      </c>
      <c r="P11" s="31" t="s">
        <v>28</v>
      </c>
      <c r="Q11" s="32" t="s">
        <v>29</v>
      </c>
      <c r="R11" s="14" t="s">
        <v>30</v>
      </c>
      <c r="S11" s="14" t="s">
        <v>31</v>
      </c>
      <c r="T11" s="14" t="s">
        <v>32</v>
      </c>
      <c r="U11" s="15" t="s">
        <v>33</v>
      </c>
      <c r="V11" s="16" t="s">
        <v>34</v>
      </c>
      <c r="W11" s="16" t="s">
        <v>35</v>
      </c>
      <c r="X11" s="16" t="s">
        <v>36</v>
      </c>
      <c r="Y11" s="16" t="s">
        <v>37</v>
      </c>
      <c r="Z11" s="17" t="s">
        <v>38</v>
      </c>
    </row>
    <row r="12" spans="2:26" s="10" customFormat="1" ht="36" customHeight="1">
      <c r="B12" s="10" t="s">
        <v>39</v>
      </c>
      <c r="C12" s="10" t="s">
        <v>40</v>
      </c>
      <c r="D12" s="10" t="s">
        <v>41</v>
      </c>
      <c r="E12" s="10">
        <v>3</v>
      </c>
      <c r="F12" s="10">
        <v>3</v>
      </c>
      <c r="R12" s="10">
        <v>3</v>
      </c>
      <c r="S12" s="10">
        <f>Tableau3[[#This Row],[HJ Dev]]*(25%+25%)</f>
        <v>1.5</v>
      </c>
      <c r="T12" s="10">
        <f>Tableau3[[#This Row],[HJ Analyse et Test]]+Tableau3[[#This Row],[HJ Dev]]</f>
        <v>4.5</v>
      </c>
      <c r="U12" s="10" t="s">
        <v>42</v>
      </c>
      <c r="V12" s="10" t="s">
        <v>42</v>
      </c>
      <c r="W12" s="10" t="s">
        <v>42</v>
      </c>
      <c r="X12" s="10" t="s">
        <v>42</v>
      </c>
      <c r="Y12" s="10" t="s">
        <v>42</v>
      </c>
    </row>
    <row r="13" spans="2:26" s="10" customFormat="1" ht="36" customHeight="1">
      <c r="B13" s="10" t="s">
        <v>43</v>
      </c>
      <c r="C13" s="10" t="s">
        <v>40</v>
      </c>
      <c r="D13" s="10" t="s">
        <v>44</v>
      </c>
      <c r="E13" s="10">
        <v>3</v>
      </c>
      <c r="F13" s="10">
        <v>3</v>
      </c>
      <c r="R13" s="10">
        <v>2</v>
      </c>
      <c r="S13" s="10">
        <f>Tableau3[[#This Row],[HJ Dev]]*(25%+25%)</f>
        <v>1</v>
      </c>
      <c r="T13" s="10">
        <f>Tableau3[[#This Row],[HJ Analyse et Test]]+Tableau3[[#This Row],[HJ Dev]]</f>
        <v>3</v>
      </c>
    </row>
    <row r="14" spans="2:26" s="10" customFormat="1" ht="36" customHeight="1">
      <c r="B14" s="10" t="s">
        <v>45</v>
      </c>
      <c r="C14" s="10" t="s">
        <v>46</v>
      </c>
      <c r="D14" s="10" t="s">
        <v>47</v>
      </c>
      <c r="G14" s="10" t="s">
        <v>48</v>
      </c>
      <c r="R14" s="10">
        <v>0</v>
      </c>
      <c r="S14" s="10">
        <f>Tableau3[[#This Row],[HJ Dev]]*(25%+25%)</f>
        <v>0</v>
      </c>
      <c r="T14" s="10">
        <f>Tableau3[[#This Row],[HJ Analyse et Test]]+Tableau3[[#This Row],[HJ Dev]]</f>
        <v>0</v>
      </c>
    </row>
    <row r="15" spans="2:26" s="10" customFormat="1" ht="36" customHeight="1">
      <c r="B15" s="10" t="s">
        <v>49</v>
      </c>
      <c r="C15" s="10" t="s">
        <v>46</v>
      </c>
      <c r="D15" s="10" t="s">
        <v>50</v>
      </c>
      <c r="G15" s="10" t="s">
        <v>48</v>
      </c>
      <c r="R15" s="10">
        <v>0</v>
      </c>
      <c r="S15" s="10">
        <f>Tableau3[[#This Row],[HJ Dev]]*(25%+25%)</f>
        <v>0</v>
      </c>
      <c r="T15" s="10">
        <f>Tableau3[[#This Row],[HJ Analyse et Test]]+Tableau3[[#This Row],[HJ Dev]]</f>
        <v>0</v>
      </c>
    </row>
    <row r="16" spans="2:26" s="10" customFormat="1" ht="36" customHeight="1">
      <c r="B16" s="10" t="s">
        <v>51</v>
      </c>
      <c r="C16" s="10" t="s">
        <v>46</v>
      </c>
      <c r="D16" s="10" t="s">
        <v>52</v>
      </c>
      <c r="G16" s="10" t="s">
        <v>48</v>
      </c>
      <c r="R16" s="10">
        <v>0</v>
      </c>
      <c r="S16" s="10">
        <f>Tableau3[[#This Row],[HJ Dev]]*(25%+25%)</f>
        <v>0</v>
      </c>
      <c r="T16" s="10">
        <f>Tableau3[[#This Row],[HJ Analyse et Test]]+Tableau3[[#This Row],[HJ Dev]]</f>
        <v>0</v>
      </c>
    </row>
    <row r="17" spans="2:20" s="10" customFormat="1" ht="36" customHeight="1">
      <c r="B17" s="10" t="s">
        <v>53</v>
      </c>
      <c r="C17" s="10" t="s">
        <v>46</v>
      </c>
      <c r="D17" s="10" t="s">
        <v>54</v>
      </c>
      <c r="G17" s="10" t="s">
        <v>48</v>
      </c>
      <c r="R17" s="10">
        <v>0</v>
      </c>
      <c r="S17" s="10">
        <f>Tableau3[[#This Row],[HJ Dev]]*(25%+25%)</f>
        <v>0</v>
      </c>
      <c r="T17" s="10">
        <f>Tableau3[[#This Row],[HJ Analyse et Test]]+Tableau3[[#This Row],[HJ Dev]]</f>
        <v>0</v>
      </c>
    </row>
    <row r="18" spans="2:20" s="10" customFormat="1" ht="36" customHeight="1">
      <c r="B18" s="10" t="s">
        <v>55</v>
      </c>
      <c r="C18" s="10" t="s">
        <v>46</v>
      </c>
      <c r="D18" s="10" t="s">
        <v>56</v>
      </c>
      <c r="G18" s="10" t="s">
        <v>57</v>
      </c>
      <c r="R18" s="10">
        <v>0</v>
      </c>
      <c r="S18" s="10">
        <f>Tableau3[[#This Row],[HJ Dev]]*(25%+25%)</f>
        <v>0</v>
      </c>
      <c r="T18" s="10">
        <f>Tableau3[[#This Row],[HJ Analyse et Test]]+Tableau3[[#This Row],[HJ Dev]]</f>
        <v>0</v>
      </c>
    </row>
    <row r="19" spans="2:20" s="10" customFormat="1" ht="36" customHeight="1">
      <c r="C19" s="10" t="s">
        <v>46</v>
      </c>
      <c r="D19" s="10" t="s">
        <v>58</v>
      </c>
      <c r="G19" s="10" t="s">
        <v>57</v>
      </c>
      <c r="S19" s="10">
        <f>Tableau3[[#This Row],[HJ Dev]]*(25%+25%)</f>
        <v>0</v>
      </c>
      <c r="T19" s="10">
        <f>Tableau3[[#This Row],[HJ Analyse et Test]]+Tableau3[[#This Row],[HJ Dev]]</f>
        <v>0</v>
      </c>
    </row>
    <row r="20" spans="2:20" s="10" customFormat="1" ht="36" customHeight="1">
      <c r="C20" s="10" t="s">
        <v>59</v>
      </c>
      <c r="D20" s="10" t="s">
        <v>60</v>
      </c>
      <c r="G20" s="10" t="s">
        <v>48</v>
      </c>
      <c r="S20" s="10">
        <f>Tableau3[[#This Row],[HJ Dev]]*(25%+25%)</f>
        <v>0</v>
      </c>
      <c r="T20" s="10">
        <f>Tableau3[[#This Row],[HJ Analyse et Test]]+Tableau3[[#This Row],[HJ Dev]]</f>
        <v>0</v>
      </c>
    </row>
    <row r="21" spans="2:20" s="10" customFormat="1" ht="36" customHeight="1">
      <c r="C21" s="10" t="s">
        <v>59</v>
      </c>
      <c r="D21" s="10" t="s">
        <v>61</v>
      </c>
      <c r="G21" s="10" t="s">
        <v>48</v>
      </c>
      <c r="S21" s="10">
        <f>Tableau3[[#This Row],[HJ Dev]]*(25%+25%)</f>
        <v>0</v>
      </c>
      <c r="T21" s="10">
        <f>Tableau3[[#This Row],[HJ Analyse et Test]]+Tableau3[[#This Row],[HJ Dev]]</f>
        <v>0</v>
      </c>
    </row>
    <row r="22" spans="2:20" s="10" customFormat="1" ht="36" customHeight="1">
      <c r="C22" s="10" t="s">
        <v>59</v>
      </c>
      <c r="D22" s="10" t="s">
        <v>62</v>
      </c>
      <c r="G22" s="10" t="s">
        <v>57</v>
      </c>
      <c r="S22" s="10">
        <f>Tableau3[[#This Row],[HJ Dev]]*(25%+25%)</f>
        <v>0</v>
      </c>
      <c r="T22" s="10">
        <f>Tableau3[[#This Row],[HJ Analyse et Test]]+Tableau3[[#This Row],[HJ Dev]]</f>
        <v>0</v>
      </c>
    </row>
    <row r="23" spans="2:20" s="10" customFormat="1" ht="36" customHeight="1">
      <c r="C23" s="10" t="s">
        <v>63</v>
      </c>
      <c r="D23" s="10" t="s">
        <v>64</v>
      </c>
      <c r="G23" s="10" t="s">
        <v>48</v>
      </c>
      <c r="S23" s="10">
        <f>Tableau3[[#This Row],[HJ Dev]]*(25%+25%)</f>
        <v>0</v>
      </c>
      <c r="T23" s="10">
        <f>Tableau3[[#This Row],[HJ Analyse et Test]]+Tableau3[[#This Row],[HJ Dev]]</f>
        <v>0</v>
      </c>
    </row>
    <row r="24" spans="2:20" s="10" customFormat="1" ht="36" customHeight="1">
      <c r="C24" s="10" t="s">
        <v>63</v>
      </c>
      <c r="D24" s="10" t="s">
        <v>65</v>
      </c>
      <c r="G24" s="10" t="s">
        <v>48</v>
      </c>
      <c r="S24" s="10">
        <f>Tableau3[[#This Row],[HJ Dev]]*(25%+25%)</f>
        <v>0</v>
      </c>
      <c r="T24" s="10">
        <f>Tableau3[[#This Row],[HJ Analyse et Test]]+Tableau3[[#This Row],[HJ Dev]]</f>
        <v>0</v>
      </c>
    </row>
    <row r="25" spans="2:20" s="10" customFormat="1" ht="36" customHeight="1">
      <c r="C25" s="10" t="s">
        <v>63</v>
      </c>
      <c r="D25" s="10" t="s">
        <v>66</v>
      </c>
      <c r="G25" s="10" t="s">
        <v>48</v>
      </c>
      <c r="S25" s="10">
        <f>Tableau3[[#This Row],[HJ Dev]]*(25%+25%)</f>
        <v>0</v>
      </c>
      <c r="T25" s="10">
        <f>Tableau3[[#This Row],[HJ Analyse et Test]]+Tableau3[[#This Row],[HJ Dev]]</f>
        <v>0</v>
      </c>
    </row>
    <row r="26" spans="2:20" s="10" customFormat="1" ht="36" customHeight="1">
      <c r="C26" s="10" t="s">
        <v>63</v>
      </c>
      <c r="D26" s="10" t="s">
        <v>67</v>
      </c>
      <c r="G26" s="10" t="s">
        <v>48</v>
      </c>
      <c r="S26" s="10">
        <f>Tableau3[[#This Row],[HJ Dev]]*(25%+25%)</f>
        <v>0</v>
      </c>
      <c r="T26" s="10">
        <f>Tableau3[[#This Row],[HJ Analyse et Test]]+Tableau3[[#This Row],[HJ Dev]]</f>
        <v>0</v>
      </c>
    </row>
    <row r="27" spans="2:20" s="10" customFormat="1" ht="36" customHeight="1">
      <c r="C27" s="10" t="s">
        <v>68</v>
      </c>
      <c r="D27" s="10" t="s">
        <v>69</v>
      </c>
      <c r="S27" s="10">
        <f>Tableau3[[#This Row],[HJ Dev]]*(25%+25%)</f>
        <v>0</v>
      </c>
      <c r="T27" s="10">
        <f>Tableau3[[#This Row],[HJ Analyse et Test]]+Tableau3[[#This Row],[HJ Dev]]</f>
        <v>0</v>
      </c>
    </row>
    <row r="28" spans="2:20" s="10" customFormat="1" ht="36" customHeight="1">
      <c r="C28" s="10" t="s">
        <v>68</v>
      </c>
      <c r="D28" s="10" t="s">
        <v>70</v>
      </c>
      <c r="S28" s="10">
        <f>Tableau3[[#This Row],[HJ Dev]]*(25%+25%)</f>
        <v>0</v>
      </c>
      <c r="T28" s="10">
        <f>Tableau3[[#This Row],[HJ Analyse et Test]]+Tableau3[[#This Row],[HJ Dev]]</f>
        <v>0</v>
      </c>
    </row>
    <row r="29" spans="2:20" s="10" customFormat="1" ht="36" customHeight="1">
      <c r="C29" s="10" t="s">
        <v>68</v>
      </c>
      <c r="D29" s="10" t="s">
        <v>71</v>
      </c>
      <c r="S29" s="10">
        <f>Tableau3[[#This Row],[HJ Dev]]*(25%+25%)</f>
        <v>0</v>
      </c>
      <c r="T29" s="10">
        <f>Tableau3[[#This Row],[HJ Analyse et Test]]+Tableau3[[#This Row],[HJ Dev]]</f>
        <v>0</v>
      </c>
    </row>
    <row r="30" spans="2:20" s="10" customFormat="1" ht="36" customHeight="1">
      <c r="D30" s="10" t="s">
        <v>72</v>
      </c>
      <c r="S30" s="10">
        <f>Tableau3[[#This Row],[HJ Dev]]*(25%+25%)</f>
        <v>0</v>
      </c>
      <c r="T30" s="10">
        <f>Tableau3[[#This Row],[HJ Analyse et Test]]+Tableau3[[#This Row],[HJ Dev]]</f>
        <v>0</v>
      </c>
    </row>
    <row r="31" spans="2:20" s="10" customFormat="1" ht="36" customHeight="1">
      <c r="D31" s="10" t="s">
        <v>73</v>
      </c>
      <c r="S31" s="10">
        <f>Tableau3[[#This Row],[HJ Dev]]*(25%+25%)</f>
        <v>0</v>
      </c>
      <c r="T31" s="10">
        <f>Tableau3[[#This Row],[HJ Analyse et Test]]+Tableau3[[#This Row],[HJ Dev]]</f>
        <v>0</v>
      </c>
    </row>
    <row r="32" spans="2:20" s="10" customFormat="1" ht="36" customHeight="1">
      <c r="D32" s="10" t="s">
        <v>74</v>
      </c>
      <c r="S32" s="10">
        <f>Tableau3[[#This Row],[HJ Dev]]*(25%+25%)</f>
        <v>0</v>
      </c>
      <c r="T32" s="10">
        <f>Tableau3[[#This Row],[HJ Analyse et Test]]+Tableau3[[#This Row],[HJ Dev]]</f>
        <v>0</v>
      </c>
    </row>
    <row r="33" spans="4:20" s="10" customFormat="1" ht="36" customHeight="1">
      <c r="D33" s="10" t="s">
        <v>75</v>
      </c>
      <c r="S33" s="10">
        <f>Tableau3[[#This Row],[HJ Dev]]*(25%+25%)</f>
        <v>0</v>
      </c>
      <c r="T33" s="10">
        <f>Tableau3[[#This Row],[HJ Analyse et Test]]+Tableau3[[#This Row],[HJ Dev]]</f>
        <v>0</v>
      </c>
    </row>
    <row r="34" spans="4:20" s="10" customFormat="1" ht="67.900000000000006" customHeight="1">
      <c r="D34" s="10" t="s">
        <v>76</v>
      </c>
      <c r="S34" s="10">
        <f>Tableau3[[#This Row],[HJ Dev]]*(25%+25%)</f>
        <v>0</v>
      </c>
      <c r="T34" s="10">
        <f>Tableau3[[#This Row],[HJ Analyse et Test]]+Tableau3[[#This Row],[HJ Dev]]</f>
        <v>0</v>
      </c>
    </row>
    <row r="35" spans="4:20" s="10" customFormat="1" ht="36" customHeight="1">
      <c r="D35" s="10" t="s">
        <v>77</v>
      </c>
      <c r="S35" s="10">
        <f>Tableau3[[#This Row],[HJ Dev]]*(25%+25%)</f>
        <v>0</v>
      </c>
      <c r="T35" s="10">
        <f>Tableau3[[#This Row],[HJ Analyse et Test]]+Tableau3[[#This Row],[HJ Dev]]</f>
        <v>0</v>
      </c>
    </row>
    <row r="36" spans="4:20" s="10" customFormat="1" ht="69">
      <c r="D36" s="10" t="s">
        <v>78</v>
      </c>
      <c r="S36" s="10">
        <f>Tableau3[[#This Row],[HJ Dev]]*(25%+25%)</f>
        <v>0</v>
      </c>
      <c r="T36" s="10">
        <f>Tableau3[[#This Row],[HJ Analyse et Test]]+Tableau3[[#This Row],[HJ Dev]]</f>
        <v>0</v>
      </c>
    </row>
    <row r="37" spans="4:20" s="10" customFormat="1" ht="58.9" customHeight="1">
      <c r="D37" s="10" t="s">
        <v>79</v>
      </c>
      <c r="S37" s="10">
        <f>Tableau3[[#This Row],[HJ Dev]]*(25%+25%)</f>
        <v>0</v>
      </c>
      <c r="T37" s="10">
        <f>Tableau3[[#This Row],[HJ Analyse et Test]]+Tableau3[[#This Row],[HJ Dev]]</f>
        <v>0</v>
      </c>
    </row>
    <row r="38" spans="4:20" s="10" customFormat="1" ht="88.15" customHeight="1">
      <c r="D38" s="10" t="s">
        <v>80</v>
      </c>
      <c r="S38" s="10">
        <f>Tableau3[[#This Row],[HJ Dev]]*(25%+25%)</f>
        <v>0</v>
      </c>
      <c r="T38" s="10">
        <f>Tableau3[[#This Row],[HJ Analyse et Test]]+Tableau3[[#This Row],[HJ Dev]]</f>
        <v>0</v>
      </c>
    </row>
    <row r="39" spans="4:20" s="10" customFormat="1" ht="106.9" customHeight="1">
      <c r="D39" s="10" t="s">
        <v>81</v>
      </c>
      <c r="S39" s="10">
        <f>Tableau3[[#This Row],[HJ Dev]]*(25%+25%)</f>
        <v>0</v>
      </c>
      <c r="T39" s="10">
        <f>Tableau3[[#This Row],[HJ Analyse et Test]]+Tableau3[[#This Row],[HJ Dev]]</f>
        <v>0</v>
      </c>
    </row>
    <row r="40" spans="4:20" s="10" customFormat="1" ht="89.45" customHeight="1">
      <c r="D40" s="10" t="s">
        <v>82</v>
      </c>
      <c r="S40" s="10">
        <f>Tableau3[[#This Row],[HJ Dev]]*(25%+25%)</f>
        <v>0</v>
      </c>
      <c r="T40" s="10">
        <f>Tableau3[[#This Row],[HJ Analyse et Test]]+Tableau3[[#This Row],[HJ Dev]]</f>
        <v>0</v>
      </c>
    </row>
    <row r="41" spans="4:20" s="10" customFormat="1" ht="41.45">
      <c r="D41" s="10" t="s">
        <v>83</v>
      </c>
      <c r="S41" s="10">
        <f>Tableau3[[#This Row],[HJ Dev]]*(25%+25%)</f>
        <v>0</v>
      </c>
      <c r="T41" s="10">
        <f>Tableau3[[#This Row],[HJ Analyse et Test]]+Tableau3[[#This Row],[HJ Dev]]</f>
        <v>0</v>
      </c>
    </row>
    <row r="42" spans="4:20" s="10" customFormat="1" ht="69">
      <c r="D42" s="10" t="s">
        <v>84</v>
      </c>
      <c r="S42" s="10">
        <f>Tableau3[[#This Row],[HJ Dev]]*(25%+25%)</f>
        <v>0</v>
      </c>
      <c r="T42" s="10">
        <f>Tableau3[[#This Row],[HJ Analyse et Test]]+Tableau3[[#This Row],[HJ Dev]]</f>
        <v>0</v>
      </c>
    </row>
    <row r="43" spans="4:20" s="10" customFormat="1" ht="55.15">
      <c r="D43" s="10" t="s">
        <v>85</v>
      </c>
      <c r="S43" s="10">
        <f>Tableau3[[#This Row],[HJ Dev]]*(25%+25%)</f>
        <v>0</v>
      </c>
      <c r="T43" s="10">
        <f>Tableau3[[#This Row],[HJ Analyse et Test]]+Tableau3[[#This Row],[HJ Dev]]</f>
        <v>0</v>
      </c>
    </row>
    <row r="44" spans="4:20" s="10" customFormat="1" ht="55.9" customHeight="1">
      <c r="D44" s="10" t="s">
        <v>86</v>
      </c>
      <c r="S44" s="10">
        <f>Tableau3[[#This Row],[HJ Dev]]*(25%+25%)</f>
        <v>0</v>
      </c>
      <c r="T44" s="10">
        <f>Tableau3[[#This Row],[HJ Analyse et Test]]+Tableau3[[#This Row],[HJ Dev]]</f>
        <v>0</v>
      </c>
    </row>
    <row r="45" spans="4:20" s="10" customFormat="1" ht="36" customHeight="1">
      <c r="D45" s="10" t="s">
        <v>87</v>
      </c>
      <c r="S45" s="10">
        <f>Tableau3[[#This Row],[HJ Dev]]*(25%+25%)</f>
        <v>0</v>
      </c>
      <c r="T45" s="10">
        <f>Tableau3[[#This Row],[HJ Analyse et Test]]+Tableau3[[#This Row],[HJ Dev]]</f>
        <v>0</v>
      </c>
    </row>
    <row r="46" spans="4:20" s="10" customFormat="1" ht="53.45" customHeight="1">
      <c r="D46" s="10" t="s">
        <v>88</v>
      </c>
      <c r="S46" s="10">
        <f>Tableau3[[#This Row],[HJ Dev]]*(25%+25%)</f>
        <v>0</v>
      </c>
      <c r="T46" s="10">
        <f>Tableau3[[#This Row],[HJ Analyse et Test]]+Tableau3[[#This Row],[HJ Dev]]</f>
        <v>0</v>
      </c>
    </row>
    <row r="47" spans="4:20" s="10" customFormat="1" ht="62.45" customHeight="1">
      <c r="D47" s="10" t="s">
        <v>89</v>
      </c>
      <c r="S47" s="10">
        <f>Tableau3[[#This Row],[HJ Dev]]*(25%+25%)</f>
        <v>0</v>
      </c>
      <c r="T47" s="10">
        <f>Tableau3[[#This Row],[HJ Analyse et Test]]+Tableau3[[#This Row],[HJ Dev]]</f>
        <v>0</v>
      </c>
    </row>
    <row r="48" spans="4:20" s="10" customFormat="1" ht="55.15">
      <c r="D48" s="10" t="s">
        <v>90</v>
      </c>
      <c r="S48" s="10">
        <f>Tableau3[[#This Row],[HJ Dev]]*(25%+25%)</f>
        <v>0</v>
      </c>
      <c r="T48" s="10">
        <f>Tableau3[[#This Row],[HJ Analyse et Test]]+Tableau3[[#This Row],[HJ Dev]]</f>
        <v>0</v>
      </c>
    </row>
    <row r="49" spans="4:20" s="10" customFormat="1" ht="55.15">
      <c r="D49" s="10" t="s">
        <v>91</v>
      </c>
      <c r="S49" s="10">
        <f>Tableau3[[#This Row],[HJ Dev]]*(25%+25%)</f>
        <v>0</v>
      </c>
      <c r="T49" s="10">
        <f>Tableau3[[#This Row],[HJ Analyse et Test]]+Tableau3[[#This Row],[HJ Dev]]</f>
        <v>0</v>
      </c>
    </row>
    <row r="50" spans="4:20" s="10" customFormat="1" ht="41.45">
      <c r="D50" s="10" t="s">
        <v>92</v>
      </c>
      <c r="S50" s="10">
        <f>Tableau3[[#This Row],[HJ Dev]]*(25%+25%)</f>
        <v>0</v>
      </c>
      <c r="T50" s="10">
        <f>Tableau3[[#This Row],[HJ Analyse et Test]]+Tableau3[[#This Row],[HJ Dev]]</f>
        <v>0</v>
      </c>
    </row>
    <row r="51" spans="4:20" s="10" customFormat="1" ht="36" customHeight="1">
      <c r="D51" s="10" t="s">
        <v>93</v>
      </c>
      <c r="S51" s="10">
        <f>Tableau3[[#This Row],[HJ Dev]]*(25%+25%)</f>
        <v>0</v>
      </c>
      <c r="T51" s="10">
        <f>Tableau3[[#This Row],[HJ Analyse et Test]]+Tableau3[[#This Row],[HJ Dev]]</f>
        <v>0</v>
      </c>
    </row>
    <row r="52" spans="4:20" s="10" customFormat="1" ht="36" customHeight="1">
      <c r="D52" s="10" t="s">
        <v>94</v>
      </c>
      <c r="S52" s="10">
        <f>Tableau3[[#This Row],[HJ Dev]]*(25%+25%)</f>
        <v>0</v>
      </c>
      <c r="T52" s="10">
        <f>Tableau3[[#This Row],[HJ Analyse et Test]]+Tableau3[[#This Row],[HJ Dev]]</f>
        <v>0</v>
      </c>
    </row>
    <row r="53" spans="4:20" s="10" customFormat="1" ht="36" customHeight="1">
      <c r="D53" s="10" t="s">
        <v>95</v>
      </c>
      <c r="S53" s="10">
        <f>Tableau3[[#This Row],[HJ Dev]]*(25%+25%)</f>
        <v>0</v>
      </c>
      <c r="T53" s="10">
        <f>Tableau3[[#This Row],[HJ Analyse et Test]]+Tableau3[[#This Row],[HJ Dev]]</f>
        <v>0</v>
      </c>
    </row>
    <row r="54" spans="4:20" s="10" customFormat="1" ht="36" customHeight="1">
      <c r="D54" s="10" t="s">
        <v>96</v>
      </c>
      <c r="S54" s="10">
        <f>Tableau3[[#This Row],[HJ Dev]]*(25%+25%)</f>
        <v>0</v>
      </c>
      <c r="T54" s="10">
        <f>Tableau3[[#This Row],[HJ Analyse et Test]]+Tableau3[[#This Row],[HJ Dev]]</f>
        <v>0</v>
      </c>
    </row>
    <row r="55" spans="4:20" s="10" customFormat="1" ht="69">
      <c r="D55" s="10" t="s">
        <v>97</v>
      </c>
      <c r="S55" s="10">
        <f>Tableau3[[#This Row],[HJ Dev]]*(25%+25%)</f>
        <v>0</v>
      </c>
      <c r="T55" s="10">
        <f>Tableau3[[#This Row],[HJ Analyse et Test]]+Tableau3[[#This Row],[HJ Dev]]</f>
        <v>0</v>
      </c>
    </row>
    <row r="56" spans="4:20" s="10" customFormat="1" ht="96.6">
      <c r="D56" s="10" t="s">
        <v>98</v>
      </c>
      <c r="S56" s="10">
        <f>Tableau3[[#This Row],[HJ Dev]]*(25%+25%)</f>
        <v>0</v>
      </c>
      <c r="T56" s="10">
        <f>Tableau3[[#This Row],[HJ Analyse et Test]]+Tableau3[[#This Row],[HJ Dev]]</f>
        <v>0</v>
      </c>
    </row>
    <row r="57" spans="4:20" s="10" customFormat="1" ht="55.15">
      <c r="D57" s="10" t="s">
        <v>99</v>
      </c>
      <c r="S57" s="10">
        <f>Tableau3[[#This Row],[HJ Dev]]*(25%+25%)</f>
        <v>0</v>
      </c>
      <c r="T57" s="10">
        <f>Tableau3[[#This Row],[HJ Analyse et Test]]+Tableau3[[#This Row],[HJ Dev]]</f>
        <v>0</v>
      </c>
    </row>
    <row r="58" spans="4:20" s="10" customFormat="1" ht="82.9">
      <c r="D58" s="10" t="s">
        <v>100</v>
      </c>
      <c r="S58" s="10">
        <f>Tableau3[[#This Row],[HJ Dev]]*(25%+25%)</f>
        <v>0</v>
      </c>
      <c r="T58" s="10">
        <f>Tableau3[[#This Row],[HJ Analyse et Test]]+Tableau3[[#This Row],[HJ Dev]]</f>
        <v>0</v>
      </c>
    </row>
    <row r="59" spans="4:20" s="10" customFormat="1" ht="55.15">
      <c r="D59" s="10" t="s">
        <v>101</v>
      </c>
      <c r="S59" s="10">
        <f>Tableau3[[#This Row],[HJ Dev]]*(25%+25%)</f>
        <v>0</v>
      </c>
      <c r="T59" s="10">
        <f>Tableau3[[#This Row],[HJ Analyse et Test]]+Tableau3[[#This Row],[HJ Dev]]</f>
        <v>0</v>
      </c>
    </row>
    <row r="60" spans="4:20" s="10" customFormat="1" ht="36" customHeight="1">
      <c r="D60" s="10" t="s">
        <v>102</v>
      </c>
      <c r="S60" s="10">
        <f>Tableau3[[#This Row],[HJ Dev]]*(25%+25%)</f>
        <v>0</v>
      </c>
      <c r="T60" s="10">
        <f>Tableau3[[#This Row],[HJ Analyse et Test]]+Tableau3[[#This Row],[HJ Dev]]</f>
        <v>0</v>
      </c>
    </row>
    <row r="61" spans="4:20" s="10" customFormat="1" ht="55.15">
      <c r="D61" s="10" t="s">
        <v>103</v>
      </c>
      <c r="S61" s="10">
        <f>Tableau3[[#This Row],[HJ Dev]]*(25%+25%)</f>
        <v>0</v>
      </c>
      <c r="T61" s="10">
        <f>Tableau3[[#This Row],[HJ Analyse et Test]]+Tableau3[[#This Row],[HJ Dev]]</f>
        <v>0</v>
      </c>
    </row>
    <row r="62" spans="4:20" s="10" customFormat="1" ht="55.15">
      <c r="D62" s="10" t="s">
        <v>104</v>
      </c>
      <c r="S62" s="10">
        <f>Tableau3[[#This Row],[HJ Dev]]*(25%+25%)</f>
        <v>0</v>
      </c>
      <c r="T62" s="10">
        <f>Tableau3[[#This Row],[HJ Analyse et Test]]+Tableau3[[#This Row],[HJ Dev]]</f>
        <v>0</v>
      </c>
    </row>
    <row r="63" spans="4:20" s="10" customFormat="1" ht="41.45">
      <c r="D63" s="10" t="s">
        <v>105</v>
      </c>
      <c r="S63" s="10">
        <f>Tableau3[[#This Row],[HJ Dev]]*(25%+25%)</f>
        <v>0</v>
      </c>
      <c r="T63" s="10">
        <f>Tableau3[[#This Row],[HJ Analyse et Test]]+Tableau3[[#This Row],[HJ Dev]]</f>
        <v>0</v>
      </c>
    </row>
    <row r="64" spans="4:20" s="10" customFormat="1" ht="36" customHeight="1">
      <c r="S64" s="10">
        <f>Tableau3[[#This Row],[HJ Dev]]*(25%+25%)</f>
        <v>0</v>
      </c>
      <c r="T64" s="10">
        <f>Tableau3[[#This Row],[HJ Analyse et Test]]+Tableau3[[#This Row],[HJ Dev]]</f>
        <v>0</v>
      </c>
    </row>
    <row r="65" spans="2:26" s="10" customFormat="1" ht="36" customHeight="1">
      <c r="S65" s="10">
        <f>Tableau3[[#This Row],[HJ Dev]]*(25%+25%)</f>
        <v>0</v>
      </c>
      <c r="T65" s="10">
        <f>Tableau3[[#This Row],[HJ Analyse et Test]]+Tableau3[[#This Row],[HJ Dev]]</f>
        <v>0</v>
      </c>
    </row>
    <row r="66" spans="2:26" s="10" customFormat="1" ht="36" customHeight="1">
      <c r="S66" s="10">
        <f>Tableau3[[#This Row],[HJ Dev]]*(25%+25%)</f>
        <v>0</v>
      </c>
      <c r="T66" s="10">
        <f>Tableau3[[#This Row],[HJ Analyse et Test]]+Tableau3[[#This Row],[HJ Dev]]</f>
        <v>0</v>
      </c>
    </row>
    <row r="67" spans="2:26" s="10" customFormat="1" ht="36" customHeight="1">
      <c r="S67" s="10">
        <f>Tableau3[[#This Row],[HJ Dev]]*(25%+25%)</f>
        <v>0</v>
      </c>
      <c r="T67" s="10">
        <f>Tableau3[[#This Row],[HJ Analyse et Test]]+Tableau3[[#This Row],[HJ Dev]]</f>
        <v>0</v>
      </c>
    </row>
    <row r="68" spans="2:26" s="10" customFormat="1" ht="36" customHeight="1">
      <c r="R68" s="10">
        <v>0</v>
      </c>
      <c r="S68" s="10">
        <f>Tableau3[[#This Row],[HJ Dev]]*(25%+25%)</f>
        <v>0</v>
      </c>
      <c r="T68" s="10">
        <f>Tableau3[[#This Row],[HJ Analyse et Test]]+Tableau3[[#This Row],[HJ Dev]]</f>
        <v>0</v>
      </c>
    </row>
    <row r="69" spans="2:26" ht="36" customHeight="1"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f>SUBTOTAL(109,Tableau3[Total HJ])</f>
        <v>7.5</v>
      </c>
      <c r="U69" s="10"/>
      <c r="V69" s="10"/>
      <c r="W69" s="10"/>
      <c r="X69" s="10"/>
      <c r="Y69" s="10"/>
      <c r="Z69" s="10"/>
    </row>
  </sheetData>
  <mergeCells count="3">
    <mergeCell ref="U2:Z2"/>
    <mergeCell ref="B2:Q2"/>
    <mergeCell ref="R2:T2"/>
  </mergeCells>
  <phoneticPr fontId="2" type="noConversion"/>
  <dataValidations count="1">
    <dataValidation type="whole" operator="greaterThanOrEqual" allowBlank="1" showInputMessage="1" showErrorMessage="1" sqref="R12:T68" xr:uid="{10E2E794-3894-4CC1-AB1A-9BB5BF41EABB}">
      <formula1>0</formula1>
    </dataValidation>
  </dataValidations>
  <pageMargins left="0.7" right="0.7" top="0.75" bottom="0.75" header="0.3" footer="0.3"/>
  <pageSetup paperSize="9" scale="74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3E576AD-8CDE-4B1B-8DEC-1BE67CC8DE6D}">
          <x14:formula1>
            <xm:f>Params!$D$3:$D$10</xm:f>
          </x14:formula1>
          <xm:sqref>J12:J68</xm:sqref>
        </x14:dataValidation>
        <x14:dataValidation type="list" allowBlank="1" showInputMessage="1" showErrorMessage="1" xr:uid="{C43D2377-E8A5-4EC4-8F56-2516FCD07F2A}">
          <x14:formula1>
            <xm:f>Params!$E$3:$E$12</xm:f>
          </x14:formula1>
          <xm:sqref>L12:L68</xm:sqref>
        </x14:dataValidation>
        <x14:dataValidation type="list" allowBlank="1" showInputMessage="1" showErrorMessage="1" xr:uid="{06B2A4DB-2A94-4B0B-971B-CDFF438E23BA}">
          <x14:formula1>
            <xm:f>Params!$G$3:$G$9</xm:f>
          </x14:formula1>
          <xm:sqref>Q12:Q68</xm:sqref>
        </x14:dataValidation>
        <x14:dataValidation type="list" allowBlank="1" showInputMessage="1" showErrorMessage="1" xr:uid="{1F2CF1C1-BE35-4DC9-A975-F49F788F3D6A}">
          <x14:formula1>
            <xm:f>Params!$H$3:$H$6</xm:f>
          </x14:formula1>
          <xm:sqref>O12:O68</xm:sqref>
        </x14:dataValidation>
        <x14:dataValidation type="list" allowBlank="1" showInputMessage="1" showErrorMessage="1" xr:uid="{63FB3CBD-0303-4DD5-A1D9-0AE10EE7B36C}">
          <x14:formula1>
            <xm:f>Params!$C$3:$C$10</xm:f>
          </x14:formula1>
          <xm:sqref>H12:H68</xm:sqref>
        </x14:dataValidation>
        <x14:dataValidation type="list" allowBlank="1" showInputMessage="1" showErrorMessage="1" xr:uid="{ACD971DD-EBC0-49A2-8B0F-955749BFC348}">
          <x14:formula1>
            <xm:f>Params!$I$3:$I$19</xm:f>
          </x14:formula1>
          <xm:sqref>I12:I68</xm:sqref>
        </x14:dataValidation>
        <x14:dataValidation type="list" allowBlank="1" showInputMessage="1" showErrorMessage="1" xr:uid="{9E253E9F-6967-4CE3-BEC2-E6EF086F8550}">
          <x14:formula1>
            <xm:f>Params!$B$3:$B$10</xm:f>
          </x14:formula1>
          <xm:sqref>H4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1C104-9F3F-4786-A2C5-89A1C7598D98}">
  <dimension ref="A1"/>
  <sheetViews>
    <sheetView workbookViewId="0">
      <selection activeCell="E11" sqref="E11"/>
    </sheetView>
  </sheetViews>
  <sheetFormatPr defaultColWidth="11.42578125" defaultRowHeight="13.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013E-CD05-42BB-8D47-11438F5D0F13}">
  <sheetPr>
    <pageSetUpPr fitToPage="1"/>
  </sheetPr>
  <dimension ref="A2:G14"/>
  <sheetViews>
    <sheetView zoomScale="80" zoomScaleNormal="80" workbookViewId="0">
      <selection activeCell="D8" sqref="D8"/>
    </sheetView>
  </sheetViews>
  <sheetFormatPr defaultColWidth="11.42578125" defaultRowHeight="14.45"/>
  <cols>
    <col min="1" max="1" width="12" style="2" customWidth="1"/>
    <col min="2" max="2" width="10.140625" style="2" customWidth="1"/>
    <col min="3" max="3" width="11.42578125" style="2"/>
    <col min="4" max="4" width="58.28515625" style="2" customWidth="1"/>
    <col min="5" max="5" width="15.85546875" style="2" customWidth="1"/>
    <col min="6" max="6" width="22.28515625" style="2" customWidth="1"/>
    <col min="7" max="7" width="16.5703125" style="2" customWidth="1"/>
    <col min="8" max="16384" width="11.42578125" style="2"/>
  </cols>
  <sheetData>
    <row r="2" spans="1:7" ht="15" thickBot="1"/>
    <row r="3" spans="1:7" ht="24" customHeight="1" thickBot="1">
      <c r="A3" s="2" t="s">
        <v>106</v>
      </c>
      <c r="B3" s="42" t="s">
        <v>0</v>
      </c>
      <c r="C3" s="43"/>
      <c r="D3" s="43"/>
      <c r="E3" s="43"/>
      <c r="F3" s="43"/>
      <c r="G3" s="44"/>
    </row>
    <row r="4" spans="1:7">
      <c r="B4" s="4"/>
      <c r="C4" s="5"/>
      <c r="D4" s="5"/>
      <c r="E4" s="5"/>
      <c r="F4" s="5"/>
      <c r="G4" s="5"/>
    </row>
    <row r="5" spans="1:7">
      <c r="B5" s="12" t="str">
        <f>'Gestion Exigences'!B5</f>
        <v>Client</v>
      </c>
      <c r="D5" s="12" t="str">
        <f>'Gestion Exigences'!H5</f>
        <v>La Rose Blanche</v>
      </c>
      <c r="E5" s="5"/>
      <c r="F5" s="5"/>
      <c r="G5" s="5"/>
    </row>
    <row r="6" spans="1:7">
      <c r="B6" s="12" t="str">
        <f>'Gestion Exigences'!B6</f>
        <v>Projet</v>
      </c>
      <c r="D6" s="12" t="str">
        <f>'Gestion Exigences'!H6</f>
        <v>Digitalisation Groupe</v>
      </c>
      <c r="E6" s="5"/>
      <c r="F6" s="5"/>
      <c r="G6" s="5"/>
    </row>
    <row r="7" spans="1:7">
      <c r="B7" s="4"/>
      <c r="C7" s="12"/>
      <c r="D7" s="5"/>
      <c r="E7" s="5"/>
      <c r="F7" s="5"/>
      <c r="G7" s="5"/>
    </row>
    <row r="8" spans="1:7">
      <c r="B8" s="22" t="str">
        <f>'Gestion Exigences'!B8</f>
        <v>Réf Modèle Document</v>
      </c>
      <c r="C8" s="23" t="str">
        <f>'Gestion Exigences'!H8</f>
        <v>MD203</v>
      </c>
      <c r="D8" s="5"/>
      <c r="E8" s="5"/>
      <c r="F8" s="5"/>
      <c r="G8" s="5"/>
    </row>
    <row r="9" spans="1:7">
      <c r="B9" s="22" t="str">
        <f>'Gestion Exigences'!B9</f>
        <v>Version Modèle Document</v>
      </c>
      <c r="C9" s="23" t="str">
        <f>'Gestion Exigences'!H9</f>
        <v>V1.5</v>
      </c>
      <c r="D9" s="5"/>
      <c r="E9" s="5"/>
      <c r="F9" s="5"/>
      <c r="G9" s="5"/>
    </row>
    <row r="10" spans="1:7">
      <c r="B10" s="4"/>
      <c r="C10" s="5"/>
      <c r="D10" s="5"/>
      <c r="E10" s="5"/>
      <c r="F10" s="5"/>
      <c r="G10" s="5"/>
    </row>
    <row r="11" spans="1:7">
      <c r="B11" s="13" t="s">
        <v>107</v>
      </c>
      <c r="C11" s="13" t="s">
        <v>108</v>
      </c>
      <c r="D11" s="13" t="s">
        <v>109</v>
      </c>
      <c r="E11" s="13" t="s">
        <v>110</v>
      </c>
      <c r="F11" s="13" t="s">
        <v>111</v>
      </c>
      <c r="G11" s="13" t="s">
        <v>112</v>
      </c>
    </row>
    <row r="12" spans="1:7" ht="29.45" customHeight="1">
      <c r="B12" s="6" t="s">
        <v>113</v>
      </c>
      <c r="C12" s="7">
        <v>45342</v>
      </c>
      <c r="D12" s="20" t="s">
        <v>114</v>
      </c>
      <c r="E12" s="6" t="s">
        <v>115</v>
      </c>
      <c r="F12" s="19" t="s">
        <v>116</v>
      </c>
      <c r="G12" s="6" t="s">
        <v>117</v>
      </c>
    </row>
    <row r="13" spans="1:7">
      <c r="C13" s="29"/>
    </row>
    <row r="14" spans="1:7">
      <c r="C14" s="29"/>
    </row>
  </sheetData>
  <mergeCells count="1">
    <mergeCell ref="B3:G3"/>
  </mergeCells>
  <pageMargins left="0.7" right="0.7" top="0.75" bottom="0.75" header="0.3" footer="0.3"/>
  <pageSetup paperSize="9" scale="95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DE68-97A3-4D67-BA62-C4208BED1331}">
  <dimension ref="B2:I22"/>
  <sheetViews>
    <sheetView workbookViewId="0">
      <selection activeCell="B4" sqref="B4"/>
    </sheetView>
  </sheetViews>
  <sheetFormatPr defaultColWidth="11.42578125" defaultRowHeight="13.9"/>
  <cols>
    <col min="1" max="2" width="11.42578125" style="10"/>
    <col min="3" max="4" width="19.7109375" style="10" customWidth="1"/>
    <col min="5" max="5" width="23.85546875" style="10" customWidth="1"/>
    <col min="6" max="6" width="14.42578125" style="10" customWidth="1"/>
    <col min="7" max="7" width="23.85546875" style="10" customWidth="1"/>
    <col min="8" max="8" width="25.140625" style="10" customWidth="1"/>
    <col min="9" max="9" width="20.42578125" style="10" customWidth="1"/>
    <col min="10" max="16384" width="11.42578125" style="10"/>
  </cols>
  <sheetData>
    <row r="2" spans="2:9" ht="27.6">
      <c r="B2" s="11" t="s">
        <v>3</v>
      </c>
      <c r="C2" s="11" t="s">
        <v>20</v>
      </c>
      <c r="D2" s="11" t="s">
        <v>118</v>
      </c>
      <c r="E2" s="11" t="s">
        <v>24</v>
      </c>
      <c r="F2" s="11" t="s">
        <v>119</v>
      </c>
      <c r="G2" s="11" t="s">
        <v>29</v>
      </c>
      <c r="H2" s="11" t="s">
        <v>120</v>
      </c>
      <c r="I2" s="11" t="s">
        <v>21</v>
      </c>
    </row>
    <row r="3" spans="2:9">
      <c r="B3" s="10" t="s">
        <v>121</v>
      </c>
      <c r="C3" s="10" t="s">
        <v>122</v>
      </c>
      <c r="D3" s="10" t="s">
        <v>123</v>
      </c>
      <c r="E3" s="10" t="s">
        <v>124</v>
      </c>
      <c r="F3" s="10" t="s">
        <v>125</v>
      </c>
      <c r="G3" s="10" t="s">
        <v>126</v>
      </c>
      <c r="H3" s="10" t="s">
        <v>127</v>
      </c>
      <c r="I3" s="10" t="s">
        <v>128</v>
      </c>
    </row>
    <row r="4" spans="2:9">
      <c r="B4" s="10" t="s">
        <v>129</v>
      </c>
      <c r="C4" s="10" t="s">
        <v>130</v>
      </c>
      <c r="D4" s="10" t="s">
        <v>131</v>
      </c>
      <c r="E4" s="10" t="s">
        <v>132</v>
      </c>
      <c r="F4" s="10" t="s">
        <v>133</v>
      </c>
      <c r="G4" s="10" t="s">
        <v>134</v>
      </c>
      <c r="H4" s="10" t="s">
        <v>135</v>
      </c>
      <c r="I4" s="10" t="s">
        <v>136</v>
      </c>
    </row>
    <row r="5" spans="2:9">
      <c r="B5" s="10" t="s">
        <v>137</v>
      </c>
      <c r="C5" s="10" t="s">
        <v>138</v>
      </c>
      <c r="D5" s="10" t="s">
        <v>139</v>
      </c>
      <c r="E5" s="10" t="s">
        <v>140</v>
      </c>
      <c r="F5" s="10" t="s">
        <v>42</v>
      </c>
      <c r="G5" s="10" t="s">
        <v>42</v>
      </c>
      <c r="H5" s="10" t="s">
        <v>42</v>
      </c>
      <c r="I5" s="10" t="s">
        <v>141</v>
      </c>
    </row>
    <row r="6" spans="2:9">
      <c r="B6" s="10" t="s">
        <v>4</v>
      </c>
      <c r="C6" s="10" t="s">
        <v>142</v>
      </c>
      <c r="D6" s="10" t="s">
        <v>143</v>
      </c>
      <c r="E6" s="10" t="s">
        <v>144</v>
      </c>
      <c r="I6" s="10" t="s">
        <v>145</v>
      </c>
    </row>
    <row r="7" spans="2:9">
      <c r="B7" s="10" t="s">
        <v>146</v>
      </c>
      <c r="C7" s="10" t="s">
        <v>147</v>
      </c>
      <c r="D7" s="10" t="s">
        <v>148</v>
      </c>
      <c r="E7" s="10" t="s">
        <v>149</v>
      </c>
      <c r="I7" s="10" t="s">
        <v>150</v>
      </c>
    </row>
    <row r="8" spans="2:9">
      <c r="B8" s="10" t="s">
        <v>151</v>
      </c>
      <c r="C8" s="10" t="s">
        <v>152</v>
      </c>
      <c r="E8" s="10" t="s">
        <v>153</v>
      </c>
      <c r="I8" s="10" t="s">
        <v>154</v>
      </c>
    </row>
    <row r="9" spans="2:9">
      <c r="B9" s="10" t="s">
        <v>155</v>
      </c>
      <c r="E9" s="10" t="s">
        <v>156</v>
      </c>
      <c r="I9" s="10" t="s">
        <v>157</v>
      </c>
    </row>
    <row r="10" spans="2:9">
      <c r="I10" s="10" t="s">
        <v>158</v>
      </c>
    </row>
    <row r="11" spans="2:9">
      <c r="I11" s="10" t="s">
        <v>159</v>
      </c>
    </row>
    <row r="13" spans="2:9">
      <c r="I13" s="10" t="s">
        <v>160</v>
      </c>
    </row>
    <row r="14" spans="2:9">
      <c r="I14" s="10" t="s">
        <v>161</v>
      </c>
    </row>
    <row r="15" spans="2:9">
      <c r="I15" s="10" t="s">
        <v>162</v>
      </c>
    </row>
    <row r="16" spans="2:9">
      <c r="I16" s="10" t="s">
        <v>163</v>
      </c>
    </row>
    <row r="17" spans="9:9">
      <c r="I17" s="10" t="s">
        <v>164</v>
      </c>
    </row>
    <row r="18" spans="9:9">
      <c r="I18" s="10" t="s">
        <v>165</v>
      </c>
    </row>
    <row r="19" spans="9:9">
      <c r="I19" s="10" t="s">
        <v>166</v>
      </c>
    </row>
    <row r="21" spans="9:9">
      <c r="I21" s="10" t="s">
        <v>167</v>
      </c>
    </row>
    <row r="22" spans="9:9" ht="27.6">
      <c r="I22" s="10" t="s">
        <v>168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0D1F9D018AF642BD71F6EA77BA1FCC" ma:contentTypeVersion="15" ma:contentTypeDescription="Crée un document." ma:contentTypeScope="" ma:versionID="97fa8e5381d4afd3c2616966314fa889">
  <xsd:schema xmlns:xsd="http://www.w3.org/2001/XMLSchema" xmlns:xs="http://www.w3.org/2001/XMLSchema" xmlns:p="http://schemas.microsoft.com/office/2006/metadata/properties" xmlns:ns2="5f2f9e80-f74a-40c7-b145-b94d8e4966f0" xmlns:ns3="43b908ec-9e92-424c-a4ad-3174bac6e888" targetNamespace="http://schemas.microsoft.com/office/2006/metadata/properties" ma:root="true" ma:fieldsID="035e21461a3455a1fa8f9ac9d0103124" ns2:_="" ns3:_="">
    <xsd:import namespace="5f2f9e80-f74a-40c7-b145-b94d8e4966f0"/>
    <xsd:import namespace="43b908ec-9e92-424c-a4ad-3174bac6e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9e80-f74a-40c7-b145-b94d8e496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0894d81-c9a7-44d3-b7de-4b9756e0b1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908ec-9e92-424c-a4ad-3174bac6e8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9cff33-3cb1-46cb-abfa-a403cc2b0291}" ma:internalName="TaxCatchAll" ma:showField="CatchAllData" ma:web="43b908ec-9e92-424c-a4ad-3174bac6e8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2f9e80-f74a-40c7-b145-b94d8e4966f0">
      <Terms xmlns="http://schemas.microsoft.com/office/infopath/2007/PartnerControls"/>
    </lcf76f155ced4ddcb4097134ff3c332f>
    <TaxCatchAll xmlns="43b908ec-9e92-424c-a4ad-3174bac6e888" xsi:nil="true"/>
  </documentManagement>
</p:properties>
</file>

<file path=customXml/itemProps1.xml><?xml version="1.0" encoding="utf-8"?>
<ds:datastoreItem xmlns:ds="http://schemas.openxmlformats.org/officeDocument/2006/customXml" ds:itemID="{9B551CC8-7D36-4FDC-84C6-168F3E3A3DC7}"/>
</file>

<file path=customXml/itemProps2.xml><?xml version="1.0" encoding="utf-8"?>
<ds:datastoreItem xmlns:ds="http://schemas.openxmlformats.org/officeDocument/2006/customXml" ds:itemID="{431C8B5B-7A06-4686-9F8A-E8F24EECD8B3}"/>
</file>

<file path=customXml/itemProps3.xml><?xml version="1.0" encoding="utf-8"?>
<ds:datastoreItem xmlns:ds="http://schemas.openxmlformats.org/officeDocument/2006/customXml" ds:itemID="{85503822-DF13-4051-A489-72B75648E3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DACTEM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MEJRI Ahmed</dc:creator>
  <cp:keywords/>
  <dc:description/>
  <cp:lastModifiedBy>Siwar Abbes</cp:lastModifiedBy>
  <cp:revision/>
  <dcterms:created xsi:type="dcterms:W3CDTF">2000-07-05T17:03:55Z</dcterms:created>
  <dcterms:modified xsi:type="dcterms:W3CDTF">2024-09-02T11:30:57Z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fdf0aad6-f24a-491d-833a-8fe8a48f4ca6</vt:lpwstr>
  </property>
  <property fmtid="{D5CDD505-2E9C-101B-9397-08002B2CF9AE}" pid="3" name="ContentTypeId">
    <vt:lpwstr>0x010100080D1F9D018AF642BD71F6EA77BA1FCC</vt:lpwstr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  <property fmtid="{D5CDD505-2E9C-101B-9397-08002B2CF9AE}" pid="11" name="Order">
    <vt:r8>12812100</vt:r8>
  </property>
  <property fmtid="{D5CDD505-2E9C-101B-9397-08002B2CF9AE}" pid="12" name="_ColorHex">
    <vt:lpwstr/>
  </property>
  <property fmtid="{D5CDD505-2E9C-101B-9397-08002B2CF9AE}" pid="13" name="_ColorTag">
    <vt:lpwstr/>
  </property>
  <property fmtid="{D5CDD505-2E9C-101B-9397-08002B2CF9AE}" pid="14" name="_Emoji">
    <vt:lpwstr/>
  </property>
</Properties>
</file>