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21 APEM/20 Digitalisation Processus Qualité/2 Préparation Offre/"/>
    </mc:Choice>
  </mc:AlternateContent>
  <xr:revisionPtr revIDLastSave="2" documentId="8_{78DBCE08-C13D-4C8D-BF80-51DC72F6B9B0}" xr6:coauthVersionLast="47" xr6:coauthVersionMax="47" xr10:uidLastSave="{0F0EB3DC-20B9-4A63-93B5-C9D534310FB6}"/>
  <bookViews>
    <workbookView xWindow="-5775" yWindow="-16320" windowWidth="29040" windowHeight="15720" tabRatio="620" firstSheet="1" activeTab="1" xr2:uid="{00000000-000D-0000-FFFF-FFFF00000000}"/>
  </bookViews>
  <sheets>
    <sheet name="Fiche Client" sheetId="31" r:id="rId1"/>
    <sheet name="Gestion Exigences" sheetId="27" r:id="rId2"/>
    <sheet name="Modifs Doc" sheetId="29" r:id="rId3"/>
    <sheet name="Params" sheetId="30" r:id="rId4"/>
  </sheets>
  <definedNames>
    <definedName name="_xlnm.Print_Area" localSheetId="1">'Gestion Exigences'!$C$2:$I$16</definedName>
    <definedName name="_xlnm.Print_Area" localSheetId="2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7" l="1"/>
  <c r="P17" i="27" s="1"/>
  <c r="O18" i="27"/>
  <c r="P18" i="27" s="1"/>
  <c r="O19" i="27"/>
  <c r="P19" i="27" s="1"/>
  <c r="O20" i="27"/>
  <c r="P20" i="27" s="1"/>
  <c r="O21" i="27"/>
  <c r="P21" i="27" s="1"/>
  <c r="O22" i="27"/>
  <c r="P22" i="27" s="1"/>
  <c r="O23" i="27"/>
  <c r="P23" i="27" s="1"/>
  <c r="O24" i="27"/>
  <c r="P24" i="27" s="1"/>
  <c r="O25" i="27"/>
  <c r="P25" i="27" s="1"/>
  <c r="O26" i="27"/>
  <c r="P26" i="27" s="1"/>
  <c r="O27" i="27"/>
  <c r="P27" i="27" s="1"/>
  <c r="O14" i="27"/>
  <c r="P14" i="27" s="1"/>
  <c r="O15" i="27"/>
  <c r="P15" i="27" s="1"/>
  <c r="O16" i="27"/>
  <c r="P16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28" i="27" l="1"/>
</calcChain>
</file>

<file path=xl/sharedStrings.xml><?xml version="1.0" encoding="utf-8"?>
<sst xmlns="http://schemas.openxmlformats.org/spreadsheetml/2006/main" count="267" uniqueCount="156">
  <si>
    <t>Client</t>
  </si>
  <si>
    <t>Secteur</t>
  </si>
  <si>
    <t>Nombre de ligne de production</t>
  </si>
  <si>
    <t>Nombre de machine</t>
  </si>
  <si>
    <t>Nombre de poste manuel</t>
  </si>
  <si>
    <t>Gestion Exigences Projet</t>
  </si>
  <si>
    <t>Chiffrage Réalisation (SF only)</t>
  </si>
  <si>
    <t>Revue et Vérification Pendant la Conception</t>
  </si>
  <si>
    <t>BU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</si>
  <si>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</si>
  <si>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</si>
  <si>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</si>
  <si>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</si>
  <si>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</si>
  <si>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</si>
  <si>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</si>
  <si>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</si>
  <si>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</si>
  <si>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</si>
  <si>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</si>
  <si>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</si>
  <si>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Requirement</t>
  </si>
  <si>
    <t>Nature</t>
  </si>
  <si>
    <t>Catégorie</t>
  </si>
  <si>
    <t>Exigence idenfiée pendant la phase</t>
  </si>
  <si>
    <t>Requirement description</t>
  </si>
  <si>
    <t>Source</t>
  </si>
  <si>
    <t>Desciption de la solution MOMSOFT</t>
  </si>
  <si>
    <t>Proposed Solution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</si>
  <si>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</si>
  <si>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</si>
  <si>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</si>
  <si>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</si>
  <si>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</si>
  <si>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</si>
  <si>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</si>
  <si>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</si>
  <si>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</si>
  <si>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</si>
  <si>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</si>
  <si>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</si>
  <si>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</si>
  <si>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Data Configuration</t>
  </si>
  <si>
    <t>Fonctionnelle</t>
  </si>
  <si>
    <t>SF-Fonctionnelle</t>
  </si>
  <si>
    <t>Commerciale</t>
  </si>
  <si>
    <t>Complete configuration and factory management</t>
  </si>
  <si>
    <t>Workshop/réunion client</t>
  </si>
  <si>
    <t>Standard</t>
  </si>
  <si>
    <t>The solution offers a Core Module enabling modeling, management, and planning for a connected factory:
• Hierarchical modeling of the factory: Sites, workshops, lines, stations, machines
• Product management
• Incident and defect management
• User and authorization management: Roles and controlled access
• Team management
• Line and team planning</t>
  </si>
  <si>
    <t>Validée</t>
  </si>
  <si>
    <t>Mahdi B.</t>
  </si>
  <si>
    <t>N/A</t>
  </si>
  <si>
    <t>E002</t>
  </si>
  <si>
    <t>Data Import</t>
  </si>
  <si>
    <t>Automated data import into the solution</t>
  </si>
  <si>
    <t>The solution includes an 'IT Integration' module for automated data integration: Automatic data import from CSV files or client information systems. It supports product, user, and tooling entities, with detailed error management for integration.</t>
  </si>
  <si>
    <t>E003</t>
  </si>
  <si>
    <t>Work Order (WO) Management</t>
  </si>
  <si>
    <t>Creation, management, and tracking of manufacturing orders</t>
  </si>
  <si>
    <t>Adaptation</t>
  </si>
  <si>
    <t>The solution provides an interface for simplified WO management within the quality module, enabling:
• Manual addition of manufacturing orders with the necessary associated information: Workshop, line, order, product, target quantity, series change duration, material
• Centralized WO management: Tracking and management of various WO statuses (planned, launched, suspended, series change, etc.)
• Real-time status updates for WO validation processes (process monitoring validated/not validated)
• Quick access to the manufacturing file of the product associated with the WO</t>
  </si>
  <si>
    <t>E004</t>
  </si>
  <si>
    <t>Manual Declaration of Non-Conformities by WO</t>
  </si>
  <si>
    <t>Declaration of non-conformities detected by the operator</t>
  </si>
  <si>
    <t>Standard/adaptation</t>
  </si>
  <si>
    <t>The solution offers an intuitive interface, 'Quality Counting,' enabling operators to declare non-conformities detected during the production process, following these steps:
• Declaration of gross production
• Declaration of non-conforming quantity
• Identification of detection location
• Breakdown and quantification of defect types in non-conforming articles</t>
  </si>
  <si>
    <t>E005</t>
  </si>
  <si>
    <t>Non-Conformity Report</t>
  </si>
  <si>
    <t>Declaration of non-conformities detected by the operator/quality inspector and validation by the quality manager</t>
  </si>
  <si>
    <t>The solution provides a 'Non-Conformity Report' interface to identify, document, analyze, and resolve quality incidents in production, featuring:
•Problem identification: Define detection location, defect type, and affected quantity; analyze root causes (5W1H); indicate product status (isolated, delivered, blocked).
•Immediate actions: Define corrective actions, decide whether the product will be delivered after correction or requires further processing, provide a complete non-conformity description.
•Root cause analysis: Use 5M (Ishikawa) and 5 Whys methodologies.
•Definitive actions: Develop a plan to address root causes and prevent recurrence. Assign responsibilities, inform concerned parties, and schedule execution dates.
•History and consultation: Maintain a centralized repository of non-conformity reports.</t>
  </si>
  <si>
    <t>E006</t>
  </si>
  <si>
    <t>Root Cause Analysis of Non-Conformities with QRQC Tool</t>
  </si>
  <si>
    <t>Tracking and analyzing causes of non-conformities with the QRQC tool</t>
  </si>
  <si>
    <t>The solution provides a QRQC tool that enables non-conformity resolution by triggering report creation based on configurable quality thresholds, allowing:
•Problem identification and incident context analysis
•Classification of incidents based on severity
•Immediate action definition, including production blocking if necessary
•Root cause identification using the 5M and 5 Whys methods
•Definition and tracking of corrective action plans, assigning responsibilities, setting deadlines, and ensuring follow-up until completion</t>
  </si>
  <si>
    <t>E007</t>
  </si>
  <si>
    <t>Standardization of Corrective Actions</t>
  </si>
  <si>
    <t>Standardization of corrective actions and effectiveness measurement</t>
  </si>
  <si>
    <t>• The proposed solution enables the automated standardization of corrective actions derived from QRQC while providing a quantitative follow-up on their effectiveness through relevant indicators.</t>
  </si>
  <si>
    <t>E008</t>
  </si>
  <si>
    <t>History of Non-Conformity Declarations</t>
  </si>
  <si>
    <t>Providing a detailed history of non-conformity declarations</t>
  </si>
  <si>
    <t>• The solution includes a 'Quality Detail' interface that records all non-conformity declarations by Workshop, Line, WO, Product, and Client, with a detailed breakdown of defects for each declaration.</t>
  </si>
  <si>
    <t>E009</t>
  </si>
  <si>
    <t>Measurement Tool Management</t>
  </si>
  <si>
    <t>Managing quality measurement tools for products</t>
  </si>
  <si>
    <t>The solution offers a quality measurement tool management module that enables tracking and management of measurement tools, implementing R&amp;R studies to evaluate tool reliability and monitoring sampling status.</t>
  </si>
  <si>
    <t>E010</t>
  </si>
  <si>
    <t>Quality Reports</t>
  </si>
  <si>
    <t>Managing control procedures and generating quality reports based on configurable frequencies</t>
  </si>
  <si>
    <t>The solution provides a control procedure management module offering the following features:
• Control procedure definition: Detailed configuration of control criteria (visual, dimensional), process settings, tolerances, and frequency of report generation.
• Automated report generation: Automatic creation of startup, end-of-series, and tracking reports based on production events (WO launch, suspension, closure) and predefined frequencies.
• Validation workflow and tracking: Implementation of a multi-level validation workflow (operator, quality inspector, etc.) and storage of a complete report history for optimal traceability.</t>
  </si>
  <si>
    <t>E011</t>
  </si>
  <si>
    <t>SPC Monitoring</t>
  </si>
  <si>
    <t>Capability analysis and process deviation anticipation using SPC control charts</t>
  </si>
  <si>
    <t>The solution provides an 'SPC' module that enables:
• Specification of key characteristics to monitor, associated tolerances, and data collection frequency
• Stability evaluation of the production process by calculating capability indices (Cp, Cpk)
• Real-time statistical process control (mean, standard deviation) and control limit updates
• Monitoring and anticipation of quality variations using control charts, identifying significant trends and deviations
• Automatic alert configuration for control limit breaches or unexpected variations</t>
  </si>
  <si>
    <t>E012</t>
  </si>
  <si>
    <t>6S Audits</t>
  </si>
  <si>
    <t>Managing 6S actions, audits, and history tracking</t>
  </si>
  <si>
    <t>The solution provides a '6S' module enabling:
• Management of 6S actions and assignment to lines and workshops, with designated responsibilities
• Generation of audit forms for completion and validation by relevant personnel, with graphical visualization of audit result trends
• History tracking of audits and results for long-term monitoring and comparative analysis</t>
  </si>
  <si>
    <t>E013</t>
  </si>
  <si>
    <t>Quality Dashboard</t>
  </si>
  <si>
    <t>History tracking and visualization of quality performance indicators</t>
  </si>
  <si>
    <t>The solution provides a flexible quality dashboard allowing visualization of quality performance over flexible intervals (years, months, weeks, days, shifts), enabling:
• Monitoring quality and scrap rates by workshop and line
• Tracking quantities and costs of non-conformities
• Analyzing non-conformity quantities by defect type
• Presenting Pareto diagrams of defects</t>
  </si>
  <si>
    <t>E014</t>
  </si>
  <si>
    <t>Work Instructions</t>
  </si>
  <si>
    <t>Centralizing and distributing technical documents related to production and quality processes</t>
  </si>
  <si>
    <t>The solution includes a 'Work Instruction' module that allows:
• File Import: Uploading instruction files
• Categorization: Classification by quality, maintenance, and production
• Assignment: Allocation of instructions by line and product
• Version Control: Centralized management and version tracking of documents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</si>
  <si>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</si>
  <si>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</si>
  <si>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</si>
  <si>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</si>
  <si>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</si>
  <si>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</si>
  <si>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</si>
  <si>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</si>
  <si>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</si>
  <si>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</si>
  <si>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</si>
  <si>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</si>
  <si>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V1.1</t>
  </si>
  <si>
    <t xml:space="preserve"> Adaptation des paramètres et du logo</t>
  </si>
  <si>
    <t>Moatez D.</t>
  </si>
  <si>
    <t>Exigence identifiée pendant la phase</t>
  </si>
  <si>
    <t>Oui/Non</t>
  </si>
  <si>
    <t>Statut Interne</t>
  </si>
  <si>
    <t>SF</t>
  </si>
  <si>
    <t>CdC client</t>
  </si>
  <si>
    <t>Oui</t>
  </si>
  <si>
    <t>Validée par le client</t>
  </si>
  <si>
    <t>*** SF</t>
  </si>
  <si>
    <t>R&amp;D</t>
  </si>
  <si>
    <t>Performance</t>
  </si>
  <si>
    <t>Conception</t>
  </si>
  <si>
    <t>Non</t>
  </si>
  <si>
    <t>Non validée par client</t>
  </si>
  <si>
    <t>Non validée</t>
  </si>
  <si>
    <t>SF-Processus</t>
  </si>
  <si>
    <t>A définir</t>
  </si>
  <si>
    <t>Reglementaire</t>
  </si>
  <si>
    <t>Réalisation</t>
  </si>
  <si>
    <t>Workshop/réunion Interne</t>
  </si>
  <si>
    <t>Sécurité</t>
  </si>
  <si>
    <t>Mise en œuvre</t>
  </si>
  <si>
    <t>Standards client</t>
  </si>
  <si>
    <t>SF-Connectivité Machine</t>
  </si>
  <si>
    <t>Standard Client</t>
  </si>
  <si>
    <t>Support et maintenance</t>
  </si>
  <si>
    <t>Standards MOMSOFT</t>
  </si>
  <si>
    <t>SF-Intégration SI</t>
  </si>
  <si>
    <t>Standard MOMSOFT</t>
  </si>
  <si>
    <t>Reglementation</t>
  </si>
  <si>
    <t>SF-Software</t>
  </si>
  <si>
    <t>Demande modification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</si>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</sst>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8"/>
      <name val="Arial"/>
    </font>
    <font>
      <sz val="10"/>
      <color rgb="FF00000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52293</xdr:colOff>
      <xdr:row>2</xdr:row>
      <xdr:rowOff>171825</xdr:rowOff>
    </xdr:from>
    <xdr:to>
      <xdr:col>2</xdr:col>
      <xdr:colOff>1828776</xdr:colOff>
      <xdr:row>2</xdr:row>
      <xdr:rowOff>493060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E0C86A04-4B7C-4F14-9627-464F2D13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6" y="620060"/>
          <a:ext cx="2209777" cy="3212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8" totalsRowCount="1" headerRowDxfId="51" dataDxfId="50">
  <autoFilter ref="B13:V27" xr:uid="{DDEA2C8B-EE0D-4C55-9256-CCC64E002CE6}"/>
  <tableColumns count="21">
    <tableColumn id="1" xr3:uid="{E467E0EE-CDAA-4FF5-85A8-CDC0B23A5AD9}" name="ID" dataDxfId="48" totalsRowDxfId="49"/>
    <tableColumn id="2" xr3:uid="{E53952AC-4972-47BD-8B1D-C7EF23088D0D}" name="Requirement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Requirement description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Proposed Solution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dataDxfId="24" totalsRowDxfId="25"/>
    <tableColumn id="21" xr3:uid="{818C68C5-1CC3-4DC9-9BB8-2CB7816ABE9F}" name="HJ Analyse et Test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D2C8-04DA-4F1F-ACD1-FC1ABC271A02}">
  <dimension ref="B6:B10"/>
  <sheetViews>
    <sheetView workbookViewId="0">
      <selection activeCell="E9" sqref="E9"/>
    </sheetView>
  </sheetViews>
  <sheetFormatPr defaultColWidth="11.42578125" defaultRowHeight="13.15"/>
  <sheetData>
    <row r="6" spans="2:2">
      <c r="B6" t="s">
        <v>0</v>
      </c>
    </row>
    <row r="7" spans="2:2">
      <c r="B7" t="s">
        <v>1</v>
      </c>
    </row>
    <row r="8" spans="2:2">
      <c r="B8" t="s">
        <v>2</v>
      </c>
    </row>
    <row r="9" spans="2:2">
      <c r="B9" t="s">
        <v>3</v>
      </c>
    </row>
    <row r="10" spans="2:2">
      <c r="B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8"/>
  <sheetViews>
    <sheetView tabSelected="1" topLeftCell="A4" zoomScale="85" zoomScaleNormal="85" workbookViewId="0">
      <selection activeCell="G26" sqref="G26"/>
    </sheetView>
  </sheetViews>
  <sheetFormatPr defaultColWidth="11.42578125" defaultRowHeight="13.9"/>
  <cols>
    <col min="1" max="1" width="11.42578125" style="1"/>
    <col min="2" max="2" width="6.28515625" style="1" customWidth="1"/>
    <col min="3" max="3" width="29.28515625" style="1" customWidth="1"/>
    <col min="4" max="5" width="18.28515625" style="1" hidden="1" customWidth="1"/>
    <col min="6" max="6" width="19.42578125" style="1" hidden="1" customWidth="1"/>
    <col min="7" max="7" width="25.42578125" style="1" customWidth="1"/>
    <col min="8" max="8" width="18.42578125" style="1" hidden="1" customWidth="1"/>
    <col min="9" max="9" width="56.5703125" style="1" hidden="1" customWidth="1"/>
    <col min="10" max="10" width="142.7109375" style="1" customWidth="1"/>
    <col min="11" max="12" width="13.5703125" style="1" customWidth="1"/>
    <col min="13" max="13" width="15.28515625" style="1" customWidth="1"/>
    <col min="14" max="14" width="11.7109375" style="1" customWidth="1"/>
    <col min="15" max="15" width="15.42578125" style="1" customWidth="1"/>
    <col min="16" max="16" width="13.7109375" style="1" customWidth="1"/>
    <col min="17" max="17" width="39.7109375" style="1" customWidth="1"/>
    <col min="18" max="18" width="15.7109375" style="1" customWidth="1"/>
    <col min="19" max="19" width="20.5703125" style="1" customWidth="1"/>
    <col min="20" max="20" width="20.28515625" style="1" customWidth="1"/>
    <col min="21" max="21" width="15.28515625" style="1" customWidth="1"/>
    <col min="22" max="22" width="10.85546875" style="1" customWidth="1"/>
    <col min="23" max="16384" width="11.42578125" style="1"/>
  </cols>
  <sheetData>
    <row r="1" spans="2:22" ht="14.45" thickBot="1"/>
    <row r="2" spans="2:22" ht="21.75" customHeight="1" thickBot="1">
      <c r="B2" s="37" t="s">
        <v>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40" t="s">
        <v>6</v>
      </c>
      <c r="O2" s="41"/>
      <c r="P2" s="42"/>
      <c r="Q2" s="34" t="s">
        <v>7</v>
      </c>
      <c r="R2" s="35"/>
      <c r="S2" s="35"/>
      <c r="T2" s="35"/>
      <c r="U2" s="35"/>
      <c r="V2" s="36"/>
    </row>
    <row r="3" spans="2:22" ht="53.25" customHeight="1">
      <c r="C3" s="8"/>
      <c r="D3" s="8"/>
      <c r="E3" s="8"/>
      <c r="F3" s="8"/>
      <c r="G3" s="8"/>
      <c r="H3" s="8"/>
      <c r="I3" s="8"/>
    </row>
    <row r="4" spans="2:22" ht="21" customHeight="1">
      <c r="B4" s="23" t="s">
        <v>8</v>
      </c>
      <c r="C4" s="8"/>
      <c r="D4" s="25"/>
      <c r="E4" s="8"/>
      <c r="F4" s="8"/>
      <c r="G4" s="8"/>
      <c r="H4" s="8"/>
      <c r="I4" s="8"/>
    </row>
    <row r="5" spans="2:22" ht="21.75" customHeight="1">
      <c r="B5" s="20" t="s">
        <v>0</v>
      </c>
      <c r="D5" s="3"/>
      <c r="E5" s="3"/>
      <c r="F5" s="3"/>
      <c r="G5" s="3"/>
      <c r="H5" s="3"/>
      <c r="I5" s="3"/>
    </row>
    <row r="6" spans="2:22" ht="21" customHeight="1">
      <c r="B6" s="20" t="s">
        <v>9</v>
      </c>
      <c r="D6" s="3"/>
      <c r="E6" s="3"/>
      <c r="F6" s="3"/>
      <c r="G6" s="3"/>
      <c r="H6" s="3"/>
      <c r="I6" s="3"/>
    </row>
    <row r="7" spans="2:22" ht="20.65" customHeight="1" thickBot="1">
      <c r="B7" s="20" t="s">
        <v>10</v>
      </c>
      <c r="D7" s="3" t="s">
        <v>11</v>
      </c>
      <c r="E7" s="3"/>
      <c r="F7" s="3"/>
      <c r="G7" s="24" t="s">
        <v>12</v>
      </c>
      <c r="H7" s="3"/>
      <c r="I7" s="3"/>
    </row>
    <row r="8" spans="2:22" ht="21.6" customHeight="1">
      <c r="B8" s="20" t="s">
        <v>13</v>
      </c>
      <c r="D8" s="3" t="s">
        <v>14</v>
      </c>
      <c r="E8" s="3"/>
      <c r="F8" s="3"/>
      <c r="G8" s="3"/>
      <c r="H8" s="3"/>
      <c r="I8" s="3"/>
    </row>
    <row r="9" spans="2:22" ht="14.45">
      <c r="C9" s="3"/>
      <c r="D9" s="17"/>
      <c r="E9" s="17"/>
      <c r="F9" s="17"/>
      <c r="G9" s="17"/>
      <c r="H9" s="17"/>
      <c r="I9" s="17"/>
    </row>
    <row r="10" spans="2:22">
      <c r="B10" s="21" t="s">
        <v>15</v>
      </c>
      <c r="C10" s="22"/>
      <c r="D10" s="21" t="s">
        <v>16</v>
      </c>
      <c r="E10" s="9"/>
      <c r="F10" s="9"/>
      <c r="I10" s="14" t="s">
        <v>17</v>
      </c>
    </row>
    <row r="11" spans="2:22">
      <c r="B11" s="21" t="s">
        <v>18</v>
      </c>
      <c r="C11" s="22"/>
      <c r="D11" s="21" t="s">
        <v>19</v>
      </c>
      <c r="E11" s="9"/>
      <c r="F11" s="9"/>
    </row>
    <row r="12" spans="2:22" ht="14.45" thickBot="1"/>
    <row r="13" spans="2:22" s="10" customFormat="1" ht="28.15" thickBot="1">
      <c r="B13" s="27" t="s">
        <v>20</v>
      </c>
      <c r="C13" s="28" t="s">
        <v>21</v>
      </c>
      <c r="D13" s="28" t="s">
        <v>22</v>
      </c>
      <c r="E13" s="28" t="s">
        <v>23</v>
      </c>
      <c r="F13" s="28" t="s">
        <v>24</v>
      </c>
      <c r="G13" s="28" t="s">
        <v>25</v>
      </c>
      <c r="H13" s="28" t="s">
        <v>26</v>
      </c>
      <c r="I13" s="28" t="s">
        <v>27</v>
      </c>
      <c r="J13" s="28" t="s">
        <v>28</v>
      </c>
      <c r="K13" s="28" t="s">
        <v>29</v>
      </c>
      <c r="L13" s="28" t="s">
        <v>30</v>
      </c>
      <c r="M13" s="29" t="s">
        <v>31</v>
      </c>
      <c r="N13" s="28" t="s">
        <v>32</v>
      </c>
      <c r="O13" s="28" t="s">
        <v>33</v>
      </c>
      <c r="P13" s="28" t="s">
        <v>34</v>
      </c>
      <c r="Q13" s="30" t="s">
        <v>35</v>
      </c>
      <c r="R13" s="31" t="s">
        <v>36</v>
      </c>
      <c r="S13" s="31" t="s">
        <v>37</v>
      </c>
      <c r="T13" s="31" t="s">
        <v>38</v>
      </c>
      <c r="U13" s="31" t="s">
        <v>39</v>
      </c>
      <c r="V13" s="32" t="s">
        <v>40</v>
      </c>
    </row>
    <row r="14" spans="2:22" s="10" customFormat="1" ht="103.9" customHeight="1">
      <c r="B14" s="10" t="s">
        <v>41</v>
      </c>
      <c r="C14" s="10" t="s">
        <v>42</v>
      </c>
      <c r="D14" s="10" t="s">
        <v>43</v>
      </c>
      <c r="E14" s="10" t="s">
        <v>44</v>
      </c>
      <c r="F14" s="10" t="s">
        <v>45</v>
      </c>
      <c r="G14" s="10" t="s">
        <v>46</v>
      </c>
      <c r="H14" s="10" t="s">
        <v>47</v>
      </c>
      <c r="I14" s="10" t="s">
        <v>48</v>
      </c>
      <c r="J14" s="10" t="s">
        <v>49</v>
      </c>
      <c r="K14" s="10" t="s">
        <v>50</v>
      </c>
      <c r="L14" s="10" t="s">
        <v>51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52</v>
      </c>
      <c r="R14" s="10" t="s">
        <v>52</v>
      </c>
      <c r="S14" s="10" t="s">
        <v>52</v>
      </c>
      <c r="T14" s="10" t="s">
        <v>52</v>
      </c>
      <c r="U14" s="10" t="s">
        <v>52</v>
      </c>
    </row>
    <row r="15" spans="2:22" s="10" customFormat="1" ht="40.15" customHeight="1">
      <c r="B15" s="10" t="s">
        <v>53</v>
      </c>
      <c r="C15" s="10" t="s">
        <v>54</v>
      </c>
      <c r="D15" s="10" t="s">
        <v>43</v>
      </c>
      <c r="E15" s="10" t="s">
        <v>44</v>
      </c>
      <c r="F15" s="10" t="s">
        <v>45</v>
      </c>
      <c r="G15" s="10" t="s">
        <v>55</v>
      </c>
      <c r="H15" s="10" t="s">
        <v>47</v>
      </c>
      <c r="I15" s="10" t="s">
        <v>48</v>
      </c>
      <c r="J15" s="10" t="s">
        <v>56</v>
      </c>
      <c r="K15" s="10" t="s">
        <v>50</v>
      </c>
      <c r="L15" s="10" t="s">
        <v>51</v>
      </c>
      <c r="N15" s="10">
        <v>0</v>
      </c>
      <c r="O15" s="10">
        <f>Tableau3[[#This Row],[HJ Dev]]*(25%+25%)</f>
        <v>0</v>
      </c>
      <c r="P15" s="10">
        <f>Tableau3[[#This Row],[HJ Analyse et Test]]+Tableau3[[#This Row],[HJ Dev]]</f>
        <v>0</v>
      </c>
    </row>
    <row r="16" spans="2:22" s="10" customFormat="1" ht="105" customHeight="1">
      <c r="B16" s="10" t="s">
        <v>57</v>
      </c>
      <c r="C16" s="10" t="s">
        <v>58</v>
      </c>
      <c r="D16" s="10" t="s">
        <v>43</v>
      </c>
      <c r="E16" s="10" t="s">
        <v>44</v>
      </c>
      <c r="F16" s="10" t="s">
        <v>45</v>
      </c>
      <c r="G16" s="10" t="s">
        <v>59</v>
      </c>
      <c r="H16" s="10" t="s">
        <v>47</v>
      </c>
      <c r="I16" s="10" t="s">
        <v>60</v>
      </c>
      <c r="J16" s="33" t="s">
        <v>61</v>
      </c>
      <c r="K16" s="10" t="s">
        <v>50</v>
      </c>
      <c r="L16" s="10" t="s">
        <v>51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108.6" customHeight="1">
      <c r="B17" s="10" t="s">
        <v>62</v>
      </c>
      <c r="C17" s="10" t="s">
        <v>63</v>
      </c>
      <c r="D17" s="10" t="s">
        <v>43</v>
      </c>
      <c r="E17" s="10" t="s">
        <v>44</v>
      </c>
      <c r="F17" s="10" t="s">
        <v>45</v>
      </c>
      <c r="G17" s="10" t="s">
        <v>64</v>
      </c>
      <c r="H17" s="10" t="s">
        <v>47</v>
      </c>
      <c r="I17" s="10" t="s">
        <v>65</v>
      </c>
      <c r="J17" s="10" t="s">
        <v>66</v>
      </c>
      <c r="K17" s="10" t="s">
        <v>50</v>
      </c>
      <c r="L17" s="10" t="s">
        <v>51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114" customHeight="1">
      <c r="B18" s="10" t="s">
        <v>67</v>
      </c>
      <c r="C18" s="10" t="s">
        <v>68</v>
      </c>
      <c r="D18" s="10" t="s">
        <v>43</v>
      </c>
      <c r="E18" s="10" t="s">
        <v>44</v>
      </c>
      <c r="F18" s="10" t="s">
        <v>45</v>
      </c>
      <c r="G18" s="10" t="s">
        <v>69</v>
      </c>
      <c r="H18" s="10" t="s">
        <v>47</v>
      </c>
      <c r="I18" s="10" t="s">
        <v>48</v>
      </c>
      <c r="J18" s="10" t="s">
        <v>70</v>
      </c>
      <c r="K18" s="10" t="s">
        <v>50</v>
      </c>
      <c r="L18" s="10" t="s">
        <v>51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ht="106.15" customHeight="1">
      <c r="B19" s="10" t="s">
        <v>71</v>
      </c>
      <c r="C19" s="10" t="s">
        <v>72</v>
      </c>
      <c r="D19" s="10" t="s">
        <v>43</v>
      </c>
      <c r="E19" s="10" t="s">
        <v>44</v>
      </c>
      <c r="F19" s="10" t="s">
        <v>45</v>
      </c>
      <c r="G19" s="10" t="s">
        <v>73</v>
      </c>
      <c r="H19" s="10" t="s">
        <v>47</v>
      </c>
      <c r="I19" s="10" t="s">
        <v>48</v>
      </c>
      <c r="J19" s="10" t="s">
        <v>74</v>
      </c>
      <c r="K19" s="10" t="s">
        <v>50</v>
      </c>
      <c r="L19" s="10" t="s">
        <v>51</v>
      </c>
      <c r="M19" s="10"/>
      <c r="N19" s="10"/>
      <c r="O19" s="10">
        <f>Tableau3[[#This Row],[HJ Dev]]*(25%+25%)</f>
        <v>0</v>
      </c>
      <c r="P19" s="10">
        <f>Tableau3[[#This Row],[HJ Analyse et Test]]+Tableau3[[#This Row],[HJ Dev]]</f>
        <v>0</v>
      </c>
      <c r="Q19" s="10"/>
      <c r="R19" s="10"/>
      <c r="S19" s="10"/>
      <c r="T19" s="10"/>
      <c r="U19" s="10"/>
      <c r="V19" s="10"/>
    </row>
    <row r="20" spans="2:22" ht="45.6" customHeight="1">
      <c r="B20" s="10" t="s">
        <v>75</v>
      </c>
      <c r="C20" s="10" t="s">
        <v>76</v>
      </c>
      <c r="D20" s="10" t="s">
        <v>43</v>
      </c>
      <c r="E20" s="10" t="s">
        <v>44</v>
      </c>
      <c r="F20" s="10" t="s">
        <v>45</v>
      </c>
      <c r="G20" s="10" t="s">
        <v>77</v>
      </c>
      <c r="H20" s="10" t="s">
        <v>47</v>
      </c>
      <c r="I20" s="10" t="s">
        <v>60</v>
      </c>
      <c r="J20" s="10" t="s">
        <v>78</v>
      </c>
      <c r="K20" s="10" t="s">
        <v>50</v>
      </c>
      <c r="L20" s="10" t="s">
        <v>51</v>
      </c>
      <c r="M20" s="10"/>
      <c r="N20" s="10"/>
      <c r="O20" s="10">
        <f>Tableau3[[#This Row],[HJ Dev]]*(25%+25%)</f>
        <v>0</v>
      </c>
      <c r="P20" s="10">
        <f>Tableau3[[#This Row],[HJ Analyse et Test]]+Tableau3[[#This Row],[HJ Dev]]</f>
        <v>0</v>
      </c>
      <c r="Q20" s="10"/>
      <c r="R20" s="10"/>
      <c r="S20" s="10"/>
      <c r="T20" s="10"/>
      <c r="U20" s="10"/>
      <c r="V20" s="10"/>
    </row>
    <row r="21" spans="2:22" ht="51.6" customHeight="1">
      <c r="B21" s="10" t="s">
        <v>79</v>
      </c>
      <c r="C21" s="10" t="s">
        <v>80</v>
      </c>
      <c r="D21" s="10" t="s">
        <v>43</v>
      </c>
      <c r="E21" s="10" t="s">
        <v>44</v>
      </c>
      <c r="F21" s="10" t="s">
        <v>45</v>
      </c>
      <c r="G21" s="10" t="s">
        <v>81</v>
      </c>
      <c r="H21" s="10" t="s">
        <v>47</v>
      </c>
      <c r="I21" s="10" t="s">
        <v>48</v>
      </c>
      <c r="J21" s="10" t="s">
        <v>82</v>
      </c>
      <c r="K21" s="10" t="s">
        <v>50</v>
      </c>
      <c r="L21" s="10" t="s">
        <v>51</v>
      </c>
      <c r="M21" s="10"/>
      <c r="N21" s="10"/>
      <c r="O21" s="10">
        <f>Tableau3[[#This Row],[HJ Dev]]*(25%+25%)</f>
        <v>0</v>
      </c>
      <c r="P21" s="10">
        <f>Tableau3[[#This Row],[HJ Analyse et Test]]+Tableau3[[#This Row],[HJ Dev]]</f>
        <v>0</v>
      </c>
      <c r="Q21" s="10"/>
      <c r="R21" s="10"/>
      <c r="S21" s="10"/>
      <c r="T21" s="10"/>
      <c r="U21" s="10"/>
      <c r="V21" s="10"/>
    </row>
    <row r="22" spans="2:22" ht="41.45">
      <c r="B22" s="10" t="s">
        <v>83</v>
      </c>
      <c r="C22" s="10" t="s">
        <v>84</v>
      </c>
      <c r="D22" s="10" t="s">
        <v>43</v>
      </c>
      <c r="E22" s="10" t="s">
        <v>44</v>
      </c>
      <c r="F22" s="10" t="s">
        <v>45</v>
      </c>
      <c r="G22" s="10" t="s">
        <v>85</v>
      </c>
      <c r="H22" s="10" t="s">
        <v>47</v>
      </c>
      <c r="I22" s="10" t="s">
        <v>48</v>
      </c>
      <c r="J22" s="10" t="s">
        <v>86</v>
      </c>
      <c r="K22" s="10" t="s">
        <v>50</v>
      </c>
      <c r="L22" s="10" t="s">
        <v>51</v>
      </c>
      <c r="M22" s="10"/>
      <c r="N22" s="10"/>
      <c r="O22" s="10">
        <f>Tableau3[[#This Row],[HJ Dev]]*(25%+25%)</f>
        <v>0</v>
      </c>
      <c r="P22" s="10">
        <f>Tableau3[[#This Row],[HJ Analyse et Test]]+Tableau3[[#This Row],[HJ Dev]]</f>
        <v>0</v>
      </c>
      <c r="Q22" s="10"/>
      <c r="R22" s="10"/>
      <c r="S22" s="10"/>
      <c r="T22" s="10"/>
      <c r="U22" s="10"/>
      <c r="V22" s="10"/>
    </row>
    <row r="23" spans="2:22" ht="76.900000000000006" customHeight="1">
      <c r="B23" s="10" t="s">
        <v>87</v>
      </c>
      <c r="C23" s="10" t="s">
        <v>88</v>
      </c>
      <c r="D23" s="10" t="s">
        <v>43</v>
      </c>
      <c r="E23" s="10" t="s">
        <v>44</v>
      </c>
      <c r="F23" s="10" t="s">
        <v>45</v>
      </c>
      <c r="G23" s="10" t="s">
        <v>89</v>
      </c>
      <c r="H23" s="10" t="s">
        <v>47</v>
      </c>
      <c r="I23" s="10" t="s">
        <v>48</v>
      </c>
      <c r="J23" s="33" t="s">
        <v>90</v>
      </c>
      <c r="K23" s="10" t="s">
        <v>50</v>
      </c>
      <c r="L23" s="10" t="s">
        <v>51</v>
      </c>
      <c r="M23" s="10"/>
      <c r="N23" s="10"/>
      <c r="O23" s="10">
        <f>Tableau3[[#This Row],[HJ Dev]]*(25%+25%)</f>
        <v>0</v>
      </c>
      <c r="P23" s="10">
        <f>Tableau3[[#This Row],[HJ Analyse et Test]]+Tableau3[[#This Row],[HJ Dev]]</f>
        <v>0</v>
      </c>
      <c r="Q23" s="10"/>
      <c r="R23" s="10"/>
      <c r="S23" s="10"/>
      <c r="T23" s="10"/>
      <c r="U23" s="10"/>
      <c r="V23" s="10"/>
    </row>
    <row r="24" spans="2:22" ht="91.15" customHeight="1">
      <c r="B24" s="10" t="s">
        <v>91</v>
      </c>
      <c r="C24" s="10" t="s">
        <v>92</v>
      </c>
      <c r="D24" s="10" t="s">
        <v>43</v>
      </c>
      <c r="E24" s="10" t="s">
        <v>44</v>
      </c>
      <c r="F24" s="10" t="s">
        <v>45</v>
      </c>
      <c r="G24" s="10" t="s">
        <v>93</v>
      </c>
      <c r="H24" s="10" t="s">
        <v>47</v>
      </c>
      <c r="I24" s="10" t="s">
        <v>48</v>
      </c>
      <c r="J24" s="10" t="s">
        <v>94</v>
      </c>
      <c r="K24" s="10" t="s">
        <v>50</v>
      </c>
      <c r="L24" s="10" t="s">
        <v>51</v>
      </c>
      <c r="M24" s="10"/>
      <c r="N24" s="10"/>
      <c r="O24" s="10">
        <f>Tableau3[[#This Row],[HJ Dev]]*(25%+25%)</f>
        <v>0</v>
      </c>
      <c r="P24" s="10">
        <f>Tableau3[[#This Row],[HJ Analyse et Test]]+Tableau3[[#This Row],[HJ Dev]]</f>
        <v>0</v>
      </c>
      <c r="Q24" s="10"/>
      <c r="R24" s="10"/>
      <c r="S24" s="10"/>
      <c r="T24" s="10"/>
      <c r="U24" s="10"/>
      <c r="V24" s="10"/>
    </row>
    <row r="25" spans="2:22" ht="55.15">
      <c r="B25" s="10" t="s">
        <v>95</v>
      </c>
      <c r="C25" s="10" t="s">
        <v>96</v>
      </c>
      <c r="D25" s="10" t="s">
        <v>43</v>
      </c>
      <c r="E25" s="10" t="s">
        <v>44</v>
      </c>
      <c r="F25" s="10" t="s">
        <v>45</v>
      </c>
      <c r="G25" s="10" t="s">
        <v>97</v>
      </c>
      <c r="H25" s="10" t="s">
        <v>47</v>
      </c>
      <c r="I25" s="10" t="s">
        <v>48</v>
      </c>
      <c r="J25" s="10" t="s">
        <v>98</v>
      </c>
      <c r="K25" s="10" t="s">
        <v>50</v>
      </c>
      <c r="L25" s="10" t="s">
        <v>51</v>
      </c>
      <c r="M25" s="10"/>
      <c r="N25" s="10"/>
      <c r="O25" s="10">
        <f>Tableau3[[#This Row],[HJ Dev]]*(25%+25%)</f>
        <v>0</v>
      </c>
      <c r="P25" s="10">
        <f>Tableau3[[#This Row],[HJ Analyse et Test]]+Tableau3[[#This Row],[HJ Dev]]</f>
        <v>0</v>
      </c>
      <c r="Q25" s="10"/>
      <c r="R25" s="10"/>
      <c r="S25" s="10"/>
      <c r="T25" s="10"/>
      <c r="U25" s="10"/>
      <c r="V25" s="10"/>
    </row>
    <row r="26" spans="2:22" ht="69">
      <c r="B26" s="10" t="s">
        <v>99</v>
      </c>
      <c r="C26" s="10" t="s">
        <v>100</v>
      </c>
      <c r="D26" s="10" t="s">
        <v>43</v>
      </c>
      <c r="E26" s="10" t="s">
        <v>44</v>
      </c>
      <c r="F26" s="10" t="s">
        <v>45</v>
      </c>
      <c r="G26" s="10" t="s">
        <v>101</v>
      </c>
      <c r="H26" s="10" t="s">
        <v>47</v>
      </c>
      <c r="I26" s="10" t="s">
        <v>65</v>
      </c>
      <c r="J26" s="10" t="s">
        <v>102</v>
      </c>
      <c r="K26" s="10" t="s">
        <v>50</v>
      </c>
      <c r="L26" s="10" t="s">
        <v>51</v>
      </c>
      <c r="M26" s="10"/>
      <c r="N26" s="10"/>
      <c r="O26" s="10">
        <f>Tableau3[[#This Row],[HJ Dev]]*(25%+25%)</f>
        <v>0</v>
      </c>
      <c r="P26" s="10">
        <f>Tableau3[[#This Row],[HJ Analyse et Test]]+Tableau3[[#This Row],[HJ Dev]]</f>
        <v>0</v>
      </c>
      <c r="Q26" s="10"/>
      <c r="R26" s="10"/>
      <c r="S26" s="10"/>
      <c r="T26" s="10"/>
      <c r="U26" s="10"/>
      <c r="V26" s="10"/>
    </row>
    <row r="27" spans="2:22" ht="69">
      <c r="B27" s="10" t="s">
        <v>103</v>
      </c>
      <c r="C27" s="10" t="s">
        <v>104</v>
      </c>
      <c r="D27" s="10" t="s">
        <v>43</v>
      </c>
      <c r="E27" s="10" t="s">
        <v>44</v>
      </c>
      <c r="F27" s="10" t="s">
        <v>45</v>
      </c>
      <c r="G27" s="10" t="s">
        <v>105</v>
      </c>
      <c r="H27" s="10" t="s">
        <v>47</v>
      </c>
      <c r="I27" s="10" t="s">
        <v>48</v>
      </c>
      <c r="J27" s="10" t="s">
        <v>106</v>
      </c>
      <c r="K27" s="10" t="s">
        <v>50</v>
      </c>
      <c r="L27" s="10" t="s">
        <v>51</v>
      </c>
      <c r="M27" s="10"/>
      <c r="N27" s="10"/>
      <c r="O27" s="10">
        <f>Tableau3[[#This Row],[HJ Dev]]*(25%+25%)</f>
        <v>0</v>
      </c>
      <c r="P27" s="10">
        <f>Tableau3[[#This Row],[HJ Analyse et Test]]+Tableau3[[#This Row],[HJ Dev]]</f>
        <v>0</v>
      </c>
      <c r="Q27" s="10"/>
      <c r="R27" s="10"/>
      <c r="S27" s="10"/>
      <c r="T27" s="10"/>
      <c r="U27" s="10"/>
      <c r="V27" s="10"/>
    </row>
    <row r="28" spans="2:2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f>SUBTOTAL(109,Tableau3[Total HJ])</f>
        <v>4.5</v>
      </c>
      <c r="Q28" s="10"/>
      <c r="R28" s="10"/>
      <c r="S28" s="10"/>
      <c r="T28" s="10"/>
      <c r="U28" s="10"/>
      <c r="V28" s="10"/>
    </row>
  </sheetData>
  <mergeCells count="3">
    <mergeCell ref="Q2:V2"/>
    <mergeCell ref="B2:M2"/>
    <mergeCell ref="N2:P2"/>
  </mergeCells>
  <phoneticPr fontId="2" type="noConversion"/>
  <dataValidations disablePrompts="1" count="1">
    <dataValidation type="whole" operator="greaterThanOrEqual" allowBlank="1" showInputMessage="1" showErrorMessage="1" sqref="N14:P27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E253E9F-6967-4CE3-BEC2-E6EF086F8550}">
          <x14:formula1>
            <xm:f>Params!$B$3:$B$5</xm:f>
          </x14:formula1>
          <xm:sqref>D4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M14:M27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J16" sqref="J16"/>
    </sheetView>
  </sheetViews>
  <sheetFormatPr defaultColWidth="11.42578125" defaultRowHeight="14.45"/>
  <cols>
    <col min="1" max="1" width="12" style="2" customWidth="1"/>
    <col min="2" max="2" width="10.28515625" style="2" customWidth="1"/>
    <col min="3" max="3" width="11.42578125" style="2"/>
    <col min="4" max="4" width="58.28515625" style="2" customWidth="1"/>
    <col min="5" max="5" width="15.71093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107</v>
      </c>
      <c r="B3" s="43" t="s">
        <v>5</v>
      </c>
      <c r="C3" s="44"/>
      <c r="D3" s="44"/>
      <c r="E3" s="44"/>
      <c r="F3" s="44"/>
      <c r="G3" s="45"/>
    </row>
    <row r="4" spans="1:7">
      <c r="B4" s="4"/>
      <c r="C4" s="5"/>
      <c r="D4" s="5"/>
      <c r="E4" s="5"/>
      <c r="F4" s="5"/>
      <c r="G4" s="5"/>
    </row>
    <row r="5" spans="1:7">
      <c r="B5" s="12" t="str">
        <f>'Gestion Exigences'!B5</f>
        <v>Client</v>
      </c>
      <c r="D5" s="12">
        <f>'Gestion Exigences'!D5</f>
        <v>0</v>
      </c>
      <c r="E5" s="5"/>
      <c r="F5" s="5"/>
      <c r="G5" s="5"/>
    </row>
    <row r="6" spans="1:7">
      <c r="B6" s="12" t="str">
        <f>'Gestion Exigences'!B6</f>
        <v>Projet</v>
      </c>
      <c r="D6" s="12">
        <f>'Gestion Exigences'!D6</f>
        <v>0</v>
      </c>
      <c r="E6" s="5"/>
      <c r="F6" s="5"/>
      <c r="G6" s="5"/>
    </row>
    <row r="7" spans="1:7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>
      <c r="B9" s="4"/>
      <c r="C9" s="12"/>
      <c r="D9" s="5"/>
      <c r="E9" s="5"/>
      <c r="F9" s="5"/>
      <c r="G9" s="5"/>
    </row>
    <row r="10" spans="1:7">
      <c r="B10" s="18" t="str">
        <f>'Gestion Exigences'!B10</f>
        <v>Réf Modèle Document</v>
      </c>
      <c r="C10" s="19" t="str">
        <f>'Gestion Exigences'!D10</f>
        <v>MD203</v>
      </c>
      <c r="D10" s="5"/>
      <c r="E10" s="5"/>
      <c r="F10" s="5"/>
      <c r="G10" s="5"/>
    </row>
    <row r="11" spans="1:7">
      <c r="B11" s="18" t="str">
        <f>'Gestion Exigences'!B11</f>
        <v>Version Modèle Document</v>
      </c>
      <c r="C11" s="19" t="str">
        <f>'Gestion Exigences'!D11</f>
        <v>V1.5</v>
      </c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13" t="s">
        <v>108</v>
      </c>
      <c r="C13" s="13" t="s">
        <v>109</v>
      </c>
      <c r="D13" s="13" t="s">
        <v>110</v>
      </c>
      <c r="E13" s="13" t="s">
        <v>111</v>
      </c>
      <c r="F13" s="13" t="s">
        <v>112</v>
      </c>
      <c r="G13" s="13" t="s">
        <v>113</v>
      </c>
    </row>
    <row r="14" spans="1:7" ht="29.65" customHeight="1">
      <c r="B14" s="6" t="s">
        <v>114</v>
      </c>
      <c r="C14" s="7">
        <v>45342</v>
      </c>
      <c r="D14" s="16" t="s">
        <v>115</v>
      </c>
      <c r="E14" s="6" t="s">
        <v>116</v>
      </c>
      <c r="F14" s="15" t="s">
        <v>117</v>
      </c>
      <c r="G14" s="6" t="s">
        <v>118</v>
      </c>
    </row>
    <row r="15" spans="1:7">
      <c r="B15" s="6" t="s">
        <v>119</v>
      </c>
      <c r="C15" s="26">
        <v>45701</v>
      </c>
      <c r="D15" s="2" t="s">
        <v>120</v>
      </c>
      <c r="E15" s="2" t="s">
        <v>121</v>
      </c>
      <c r="F15" s="15" t="s">
        <v>51</v>
      </c>
      <c r="G15" s="6" t="s">
        <v>118</v>
      </c>
    </row>
    <row r="16" spans="1:7">
      <c r="C16" s="26"/>
    </row>
  </sheetData>
  <mergeCells count="1">
    <mergeCell ref="B3:G3"/>
  </mergeCells>
  <phoneticPr fontId="18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12"/>
  <sheetViews>
    <sheetView workbookViewId="0">
      <selection activeCell="I17" sqref="I17"/>
    </sheetView>
  </sheetViews>
  <sheetFormatPr defaultColWidth="11.42578125" defaultRowHeight="13.9"/>
  <cols>
    <col min="1" max="2" width="11.42578125" style="10"/>
    <col min="3" max="4" width="19.7109375" style="10" customWidth="1"/>
    <col min="5" max="5" width="23.7109375" style="10" customWidth="1"/>
    <col min="6" max="6" width="14.42578125" style="10" customWidth="1"/>
    <col min="7" max="7" width="23.7109375" style="10" customWidth="1"/>
    <col min="8" max="8" width="25.28515625" style="10" customWidth="1"/>
    <col min="9" max="9" width="20.42578125" style="10" customWidth="1"/>
    <col min="10" max="16384" width="11.42578125" style="10"/>
  </cols>
  <sheetData>
    <row r="2" spans="2:9" ht="27.6">
      <c r="B2" s="11" t="s">
        <v>8</v>
      </c>
      <c r="C2" s="11" t="s">
        <v>22</v>
      </c>
      <c r="D2" s="11" t="s">
        <v>122</v>
      </c>
      <c r="E2" s="11" t="s">
        <v>26</v>
      </c>
      <c r="F2" s="11" t="s">
        <v>123</v>
      </c>
      <c r="G2" s="11" t="s">
        <v>31</v>
      </c>
      <c r="H2" s="11" t="s">
        <v>124</v>
      </c>
      <c r="I2" s="11" t="s">
        <v>23</v>
      </c>
    </row>
    <row r="3" spans="2:9">
      <c r="B3" s="10" t="s">
        <v>125</v>
      </c>
      <c r="C3" s="10" t="s">
        <v>43</v>
      </c>
      <c r="D3" s="10" t="s">
        <v>45</v>
      </c>
      <c r="E3" s="10" t="s">
        <v>126</v>
      </c>
      <c r="F3" s="10" t="s">
        <v>127</v>
      </c>
      <c r="G3" s="10" t="s">
        <v>128</v>
      </c>
      <c r="H3" s="10" t="s">
        <v>50</v>
      </c>
      <c r="I3" s="10" t="s">
        <v>129</v>
      </c>
    </row>
    <row r="4" spans="2:9">
      <c r="B4" s="10" t="s">
        <v>130</v>
      </c>
      <c r="C4" s="10" t="s">
        <v>131</v>
      </c>
      <c r="D4" s="10" t="s">
        <v>132</v>
      </c>
      <c r="E4" s="10" t="s">
        <v>47</v>
      </c>
      <c r="F4" s="10" t="s">
        <v>133</v>
      </c>
      <c r="G4" s="10" t="s">
        <v>134</v>
      </c>
      <c r="H4" s="10" t="s">
        <v>135</v>
      </c>
      <c r="I4" s="10" t="s">
        <v>136</v>
      </c>
    </row>
    <row r="5" spans="2:9">
      <c r="B5" s="10" t="s">
        <v>137</v>
      </c>
      <c r="C5" s="10" t="s">
        <v>138</v>
      </c>
      <c r="D5" s="10" t="s">
        <v>139</v>
      </c>
      <c r="E5" s="10" t="s">
        <v>140</v>
      </c>
      <c r="F5" s="10" t="s">
        <v>52</v>
      </c>
      <c r="G5" s="10" t="s">
        <v>52</v>
      </c>
      <c r="H5" s="10" t="s">
        <v>52</v>
      </c>
      <c r="I5" s="10" t="s">
        <v>44</v>
      </c>
    </row>
    <row r="6" spans="2:9">
      <c r="B6" s="10" t="s">
        <v>137</v>
      </c>
      <c r="C6" s="10" t="s">
        <v>141</v>
      </c>
      <c r="D6" s="10" t="s">
        <v>142</v>
      </c>
      <c r="E6" s="10" t="s">
        <v>143</v>
      </c>
      <c r="I6" s="10" t="s">
        <v>144</v>
      </c>
    </row>
    <row r="7" spans="2:9">
      <c r="C7" s="10" t="s">
        <v>145</v>
      </c>
      <c r="D7" s="10" t="s">
        <v>146</v>
      </c>
      <c r="E7" s="10" t="s">
        <v>147</v>
      </c>
      <c r="I7" s="10" t="s">
        <v>148</v>
      </c>
    </row>
    <row r="8" spans="2:9">
      <c r="C8" s="10" t="s">
        <v>149</v>
      </c>
      <c r="E8" s="10" t="s">
        <v>150</v>
      </c>
      <c r="I8" s="10" t="s">
        <v>151</v>
      </c>
    </row>
    <row r="9" spans="2:9">
      <c r="E9" s="10" t="s">
        <v>152</v>
      </c>
      <c r="I9" s="10" t="s">
        <v>153</v>
      </c>
    </row>
    <row r="11" spans="2:9">
      <c r="I11" s="10" t="s">
        <v>154</v>
      </c>
    </row>
    <row r="12" spans="2:9" ht="27.6">
      <c r="I12" s="10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03822-DF13-4051-A489-72B75648E37A}"/>
</file>

<file path=customXml/itemProps2.xml><?xml version="1.0" encoding="utf-8"?>
<ds:datastoreItem xmlns:ds="http://schemas.openxmlformats.org/officeDocument/2006/customXml" ds:itemID="{431C8B5B-7A06-4686-9F8A-E8F24EECD8B3}"/>
</file>

<file path=customXml/itemProps3.xml><?xml version="1.0" encoding="utf-8"?>
<ds:datastoreItem xmlns:ds="http://schemas.openxmlformats.org/officeDocument/2006/customXml" ds:itemID="{5E1D232B-B78B-43CB-89D6-630CFA17B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2025-08-01T12:53:59Z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