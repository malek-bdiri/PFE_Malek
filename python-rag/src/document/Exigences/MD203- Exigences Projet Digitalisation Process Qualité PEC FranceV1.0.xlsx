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mc:AlternateContent xmlns:mc="http://schemas.openxmlformats.org/markup-compatibility/2006">
    <mc:Choice Requires="x15">
      <x15ac:absPath xmlns:x15ac="http://schemas.microsoft.com/office/spreadsheetml/2010/11/ac" url="https://momsoftware.sharepoint.com/sites/Commercial/Documents partages/04 Clients/007 PEC/14 PEC France/2 Préparation Offre/"/>
    </mc:Choice>
  </mc:AlternateContent>
  <xr:revisionPtr revIDLastSave="25" documentId="8_{8A763FC9-CBC1-480E-BB6E-3C4E12781201}" xr6:coauthVersionLast="47" xr6:coauthVersionMax="47" xr10:uidLastSave="{C8A73D39-83E2-48E4-9531-699CB2EF85E3}"/>
  <bookViews>
    <workbookView xWindow="-108" yWindow="-108" windowWidth="23256" windowHeight="12456" tabRatio="620" firstSheet="1" activeTab="1" xr2:uid="{00000000-000D-0000-FFFF-FFFF00000000}"/>
  </bookViews>
  <sheets>
    <sheet name="Fiche Client" sheetId="31" r:id="rId1"/>
    <sheet name="Gestion Exigences" sheetId="27" r:id="rId2"/>
    <sheet name="Modifs Doc" sheetId="29" r:id="rId3"/>
    <sheet name="Params" sheetId="30" r:id="rId4"/>
  </sheets>
  <definedNames>
    <definedName name="_xlnm.Print_Area" localSheetId="1">'Gestion Exigences'!$C$2:$I$17</definedName>
    <definedName name="_xlnm.Print_Area" localSheetId="2">'Modifs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27" l="1"/>
  <c r="P14" i="27"/>
  <c r="O18" i="27"/>
  <c r="P18" i="27" s="1"/>
  <c r="O19" i="27"/>
  <c r="P19" i="27" s="1"/>
  <c r="O20" i="27"/>
  <c r="P20" i="27" s="1"/>
  <c r="O21" i="27"/>
  <c r="P21" i="27" s="1"/>
  <c r="O22" i="27"/>
  <c r="P22" i="27" s="1"/>
  <c r="O23" i="27"/>
  <c r="P23" i="27" s="1"/>
  <c r="O24" i="27"/>
  <c r="P24" i="27" s="1"/>
  <c r="O25" i="27"/>
  <c r="P25" i="27" s="1"/>
  <c r="O26" i="27"/>
  <c r="P26" i="27" s="1"/>
  <c r="O27" i="27"/>
  <c r="P27" i="27" s="1"/>
  <c r="O28" i="27"/>
  <c r="P28" i="27" s="1"/>
  <c r="O15" i="27"/>
  <c r="P15" i="27" s="1"/>
  <c r="O16" i="27"/>
  <c r="P16" i="27" s="1"/>
  <c r="O17" i="27"/>
  <c r="P17" i="27" s="1"/>
  <c r="D5" i="29"/>
  <c r="D6" i="29"/>
  <c r="D7" i="29"/>
  <c r="D8" i="29"/>
  <c r="C10" i="29"/>
  <c r="C11" i="29"/>
  <c r="B6" i="29"/>
  <c r="B7" i="29"/>
  <c r="B8" i="29"/>
  <c r="B10" i="29"/>
  <c r="B11" i="29"/>
  <c r="B5" i="29"/>
  <c r="P29" i="27" l="1"/>
</calcChain>
</file>

<file path=xl/sharedStrings.xml><?xml version="1.0" encoding="utf-8"?>
<sst xmlns="http://schemas.openxmlformats.org/spreadsheetml/2006/main" count="267" uniqueCount="156">
  <si>
    <t>Client</t>
  </si>
  <si>
    <t>Secteur</t>
  </si>
  <si>
    <t>Nombre de ligne de production</t>
  </si>
  <si>
    <t>Nombre de machine</t>
  </si>
  <si>
    <t>Nombre de poste manuel</t>
  </si>
  <si>
    <t>Gestion Exigences Projet</t>
  </si>
  <si>
    <t>Chiffrage Réalisation (SF only)</t>
  </si>
  <si>
    <t>Revue et Vérification Pendant la Conception</t>
  </si>
  <si>
    <t>BU</t>
  </si>
  <si>
    <t>Projet</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</si>
  <si>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</si>
  <si>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</si>
  <si>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</si>
  <si>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</si>
  <si>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</si>
  <si>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</si>
  <si>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</si>
  <si>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</si>
  <si>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</si>
  <si>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</si>
  <si>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</si>
  <si>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</si>
  <si>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</si>
  <si>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</si>
  <si>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</si>
  <si>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</si>
  <si>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</si>
  <si>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MOMSOFT</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</si>
  <si>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</si>
  <si>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</si>
  <si>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</si>
  <si>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</si>
  <si>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</si>
  <si>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</si>
  <si>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</si>
  <si>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</si>
  <si>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</si>
  <si>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</si>
  <si>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</si>
  <si>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</si>
  <si>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</si>
  <si>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</si>
  <si>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Configuration des données </t>
  </si>
  <si>
    <t>Fonctionnelle</t>
  </si>
  <si>
    <t>SF-Fonctionnelle</t>
  </si>
  <si>
    <t>Commerciale</t>
  </si>
  <si>
    <t>Configuration complète et gestion de l'usine</t>
  </si>
  <si>
    <t>Workshop/réunion client</t>
  </si>
  <si>
    <t>Standard</t>
  </si>
  <si>
    <t>La solution offre un Module Core permettant la modélisation, gestion et planification pour une usine connectée:
• Modélisation hiérarchique de l'usine: Sites, ateliers, lignes, postes, machines, 
• Gestion des produits
• Gestion des incidents et défauts
• Gestion des utilisateurs et des autorisations: Rôles et accès contrôlés.
• Gestion des équipes
• Planification des lignes et des équipes</t>
  </si>
  <si>
    <t>Validée</t>
  </si>
  <si>
    <t>Mahdi B.</t>
  </si>
  <si>
    <t>N/A</t>
  </si>
  <si>
    <t>E002</t>
  </si>
  <si>
    <t xml:space="preserve">Chargement des données </t>
  </si>
  <si>
    <t xml:space="preserve"> Automatisation de l'importation de données dans la solution</t>
  </si>
  <si>
    <t xml:space="preserve">La solution comprend un module "Intégartion SI" permettant l'intégration automatisée de données: Chargement automatique de données depuis des fichiers CSV ou des systèmes d'information clients. En supportant les entités produits, utilisateurs et outillages, avec une gestion détaillée des erreurs d'intégration. </t>
  </si>
  <si>
    <t>E003</t>
  </si>
  <si>
    <t>Gestion des OF</t>
  </si>
  <si>
    <t xml:space="preserve">Création , gestion et suivi des ordres de fabrications </t>
  </si>
  <si>
    <t>Adaptation</t>
  </si>
  <si>
    <r>
      <rPr>
        <sz val="10"/>
        <color rgb="FF000000"/>
        <rFont val="Calibri Light"/>
        <scheme val="major"/>
      </rPr>
      <t>La solution offre une interface pour la gestion simplifié des OF sous le module qualité permettant de :
• Ajout manuel des Ordres de fabrication en spécifiant les informations associées nécessaires : Atelier , ligne , commande , produit , quantité objectif , durée  de changement de série ,</t>
    </r>
    <r>
      <rPr>
        <sz val="10"/>
        <color rgb="FFFF0000"/>
        <rFont val="Calibri Light"/>
        <scheme val="major"/>
      </rPr>
      <t xml:space="preserve"> </t>
    </r>
    <r>
      <rPr>
        <sz val="10"/>
        <color rgb="FF000000"/>
        <rFont val="Calibri Light"/>
        <scheme val="major"/>
      </rPr>
      <t>matière .
•Gestion centralisée des OF:
Gestion et suivi des différents statuts des OF (planifié, lancé, suspendu, changement de série, etc.)
• Mise à jour en temps réel des statuts du validation process des OF ( Surveillance process validé / non validé) 
• Accés rapide aux dossier de fabrication du produit associé à l'OF</t>
    </r>
  </si>
  <si>
    <t>E004</t>
  </si>
  <si>
    <t>Déclaration manuelle des non-conformités par OF</t>
  </si>
  <si>
    <t>Déclaration des non-conformités détectées par l'opérateur</t>
  </si>
  <si>
    <t>Standard/adaptation</t>
  </si>
  <si>
    <t>La solution propose une interface intuitive pour les opérateurs "Compatge qualité ", permettant la déclaration des non-conformités détectées lors du processus de production en suivant les étapes :
• Déclaration de la production brute
• Déclaration de la quantité non conforme
• Identification du lieu de détection
• Décomposition et quantification des types de défauts des articles non conformes.</t>
  </si>
  <si>
    <t>E005</t>
  </si>
  <si>
    <t>Fiche non conformité</t>
  </si>
  <si>
    <t>Déclaration des non-conformités détectées par l'opérateur/ contrôleur qualité et leur validation par le responsable qualité.</t>
  </si>
  <si>
    <t>La solution propose une interface "Fiche Non-Conformité" pour identifier, documenter, analyser et résoudre les incidents de qualité en production, avec les fonctionnalités suivantes :
• Identification du problème :Définir le lieu de détection, le type de défaut, et la quantité affectée,Analyser les causes racines (QQCQ), Indiquer le statut du produit (isolé, livré, bloqué).
• Actions immédiates :Définir les actions correctives, Décider si le produit sera livré après correction ou nécessite un traitement supplémentaire, Fournir une description complète de la non-conformité.
• Analyse des causes :Utiliser les méthodologies 5M (Ishikawa) et 5 Pourquoi.
• Actions définitives :Élaborer un plan pour traiter les causes profondes et prévenir la récurrence.
Attribuer les responsabilités, informer les parties concernées, et planifier les dates d'exécution.
• Historique et consultation :Maintenir un référentiel centralisé des fiches de non-conformité</t>
  </si>
  <si>
    <t>E006</t>
  </si>
  <si>
    <t>Analyse des causes des non-conformités avec l'outil QRQC</t>
  </si>
  <si>
    <t>Suivi et analyses des causes des non-conformités avec l'outil QRQC</t>
  </si>
  <si>
    <t xml:space="preserve">la solution offre un QRQC qui permet de rédoudre les non conformité en déclenchant la création des fiches  en s'appuyant sur des seuils de qualité paramètrable , permettant ainsi: 
• D'idententifier le problème et le contexte de l'incident
• De mettre en place un tri pour catégoriser les incidents en fonction de leur gravité
• De définir les actions immédiates et bloquer la production si nécéssaire
• De définir les causes racines avec les méthodes 5M et 5 pourquoi 
• Définition et suivi des actions définitives en élaborant un plan d'action correctif détaillé, en assignant des responsabilités aux personnes concernées et en définissant des échéances . Le système assure un suivi de l'avancement des actions et permet une validation une fois les actions terminées. </t>
  </si>
  <si>
    <t>E007</t>
  </si>
  <si>
    <t>Standardisation des actions correctives</t>
  </si>
  <si>
    <t xml:space="preserve">Standardisation des actions correctives et mesure de l'efficacité </t>
  </si>
  <si>
    <t xml:space="preserve">La solution proposée permettre la standardisation automatisée des actions correctives issues des QRQC, ainsi qu'un suivi quantitatif de leur efficacité, mesurée par des indicateurs pertinents. </t>
  </si>
  <si>
    <t>E008</t>
  </si>
  <si>
    <t>Historisation des déclarations de non conformités</t>
  </si>
  <si>
    <t xml:space="preserve">Fournir un historique détaillé des déclarations de non-conformité </t>
  </si>
  <si>
    <t xml:space="preserve">La solution offre une interface "Détail Qualité" permettant d'historiser tous les déclaration des non-conformité par Atelier , Ligne , OF , produits , client avec une décortication des défauts de chaque déclaration </t>
  </si>
  <si>
    <t>E009</t>
  </si>
  <si>
    <t xml:space="preserve">Gestion des outils de mesures </t>
  </si>
  <si>
    <t>Gérer les outils de mesures de qualité des produits</t>
  </si>
  <si>
    <r>
      <rPr>
        <sz val="10"/>
        <color rgb="FF000000"/>
        <rFont val="Calibri Light"/>
        <scheme val="major"/>
      </rPr>
      <t>la solution offre un module de gestion des outils de mesure de qualité permet de suivre et gérer les outils de mesures de la qualité des prodduits en  mettant en place des études R&amp;R pour évaluer la fiabilité des outils avec un suivi de statut de échantillonnage</t>
    </r>
    <r>
      <rPr>
        <sz val="10"/>
        <color rgb="FFFF0000"/>
        <rFont val="Calibri Light"/>
        <scheme val="major"/>
      </rPr>
      <t xml:space="preserve"> </t>
    </r>
    <r>
      <rPr>
        <sz val="10"/>
        <color rgb="FF000000"/>
        <rFont val="Calibri Light"/>
        <scheme val="major"/>
      </rPr>
      <t>.</t>
    </r>
  </si>
  <si>
    <t>E010</t>
  </si>
  <si>
    <t>Fiches Qualité</t>
  </si>
  <si>
    <t>Gérer les gammes de contrôles et générer des fiches de qualité selon des fréquences paramétrables</t>
  </si>
  <si>
    <r>
      <rPr>
        <sz val="10"/>
        <color rgb="FF000000"/>
        <rFont val="Calibri Light"/>
        <scheme val="major"/>
      </rPr>
      <t xml:space="preserve">La solution propose un module de gestion des gammes de contrôle offrant les fonctionnalités suivantes :
• Définition de </t>
    </r>
    <r>
      <rPr>
        <b/>
        <sz val="10"/>
        <color rgb="FF000000"/>
        <rFont val="Calibri Light"/>
        <scheme val="major"/>
      </rPr>
      <t>gammes de contrôle</t>
    </r>
    <r>
      <rPr>
        <sz val="10"/>
        <color rgb="FF000000"/>
        <rFont val="Calibri Light"/>
        <scheme val="major"/>
      </rPr>
      <t xml:space="preserve">: Configuration détaillée des critères de contrôle (visuels, dimensionnels), des paramètres de réglage du processus, des tolérances et des fréquences de génération des fiches.
• Génération automatisée de fiches de contrôle: Création automatique de </t>
    </r>
    <r>
      <rPr>
        <b/>
        <sz val="10"/>
        <color rgb="FF000000"/>
        <rFont val="Calibri Light"/>
        <scheme val="major"/>
      </rPr>
      <t xml:space="preserve">fiches de démarrage, de fin de série </t>
    </r>
    <r>
      <rPr>
        <sz val="10"/>
        <color rgb="FF000000"/>
        <rFont val="Calibri Light"/>
        <scheme val="major"/>
      </rPr>
      <t xml:space="preserve">et de suivi en fonction des événements de production (lancement, suspension, clôture d'OF) et des fréquences définies , ainsi que des </t>
    </r>
    <r>
      <rPr>
        <b/>
        <sz val="10"/>
        <color rgb="FF000000"/>
        <rFont val="Calibri Light"/>
        <scheme val="major"/>
      </rPr>
      <t>fiches de suivi</t>
    </r>
    <r>
      <rPr>
        <sz val="10"/>
        <color rgb="FF000000"/>
        <rFont val="Calibri Light"/>
        <scheme val="major"/>
      </rPr>
      <t xml:space="preserve"> périodiques en fonction des fréquences définies.
• Workflow de validation et suivi: Implémentation d'un workflow de validation multi-niveaux (opérateur, contrôleur qualité, etc.) et stockage d'un historique complet des fiches pour une traçabilité optimale.</t>
    </r>
  </si>
  <si>
    <t>E011</t>
  </si>
  <si>
    <t>Suivi MSP</t>
  </si>
  <si>
    <t xml:space="preserve">
Analyse de la capabilité et anticipation des écarts des processus de production avec des cartes de contrôle MSP.</t>
  </si>
  <si>
    <t>La solution offre un module "MSP" permettant de : 
•Spécifier les caractéristiques spéciaux à surveiller, les tolérances associées et la fréquence de collecte des données.
• Évaluer la stabilité du processus de production en calculant des indices de capabilité (Cp, Cpk) 
• Mettre en œuvre des contrôles statistiques en temps réel (moyenne, écart-type) et mettre à jour les limites de contrôle 
• Suivre et anticiper les variations de qualité:  des processus avec des cartes de contrôle et identifier les tendances et les déviations significatives.
• Configurer des alertes automatiques pour signaler les dépassements des limites de contrôle ou les variations inattendues</t>
  </si>
  <si>
    <t>E012</t>
  </si>
  <si>
    <t>Suivi 6S</t>
  </si>
  <si>
    <t xml:space="preserve">
Gérer les actions 6s et génération et suivi  et historisation des audits 6s .</t>
  </si>
  <si>
    <t>La solution offre un module "6S" permettant de:
• Gérer les actions 6s et les assigner aux lignes et ateliers, en définissant les responsables.
•  Générer des formulaires d'audit à remplir et à valider par les personnes concernées et visualiser l'évolution des résultats d'audit grâce et des graphiques
• Historiser les audits et les résultats pour faciliter le suivi dans le temps et les analyses comparatives.</t>
  </si>
  <si>
    <t>E013</t>
  </si>
  <si>
    <t>Tableau de bord qualité</t>
  </si>
  <si>
    <t xml:space="preserve">
Historisation et visualisation des indicateurs de performance qualité</t>
  </si>
  <si>
    <t>La solution offre Un tableau de bord qualité fournissant une visualisation flexible des performances qualité selon des intervalles flexibles (années, mois, semaines, jours, shifts), permettant de :
• Suivre les taux de qualité et les taux de rebut par atelier et par ligne
• Suivre les quantités et les coûts des non-conformités
• Analyser les quantités de non-conformités par type de défaut
• Présenter des diagrammes de Pareto des défauts</t>
  </si>
  <si>
    <t>E014</t>
  </si>
  <si>
    <t>Instruction de travail</t>
  </si>
  <si>
    <t>Centraliser et diffuser les documents techniques relatifs aux processus de production et de qualité.</t>
  </si>
  <si>
    <t>La solution offre un module "Instruction de travail" qui permet :
• Chargement : Importation des fichiers d'instructions.
• Catégorisation : Classification par qualité, maintenance, et production.
• Affectation : Attribution des instructions par ligne et produit.
• Gestion des Versions : Centralisation et gestion du versionnage des documents.</t>
  </si>
  <si>
    <t xml:space="preserve"> </t>
  </si>
  <si>
    <t>Version</t>
  </si>
  <si>
    <t>Date</t>
  </si>
  <si>
    <t>Modifications</t>
  </si>
  <si>
    <t>Auteur(s)</t>
  </si>
  <si>
    <t>Vérificateur(s)</t>
  </si>
  <si>
    <t>Approbateur</t>
  </si>
  <si>
    <t>V1.0</t>
  </si>
  <si>
    <t xml:space="preserve">Version initiale </t>
  </si>
  <si>
    <t>Nihel K.</t>
  </si>
  <si>
    <t xml:space="preserve">Mahdi B. + Ferjania BA </t>
  </si>
  <si>
    <t>Imed A.</t>
  </si>
  <si>
    <t>V1.1</t>
  </si>
  <si>
    <t xml:space="preserve"> Adaptation des paramètres et du logo</t>
  </si>
  <si>
    <t>Moatez D.</t>
  </si>
  <si>
    <t>Exigence identifiée pendant la phase</t>
  </si>
  <si>
    <t>Oui/Non</t>
  </si>
  <si>
    <t>Statut Interne</t>
  </si>
  <si>
    <t>SF</t>
  </si>
  <si>
    <t>CdC client</t>
  </si>
  <si>
    <t>Oui</t>
  </si>
  <si>
    <t>Validée par le client</t>
  </si>
  <si>
    <t>*** SF</t>
  </si>
  <si>
    <t>R&amp;D</t>
  </si>
  <si>
    <t>Performance</t>
  </si>
  <si>
    <t>Conception</t>
  </si>
  <si>
    <t>Non</t>
  </si>
  <si>
    <t>Non validée par client</t>
  </si>
  <si>
    <t>Non validée</t>
  </si>
  <si>
    <t>SF-Processus</t>
  </si>
  <si>
    <t>A définir</t>
  </si>
  <si>
    <t>Reglementaire</t>
  </si>
  <si>
    <t>Réalisation</t>
  </si>
  <si>
    <t>Workshop/réunion Interne</t>
  </si>
  <si>
    <t>Sécurité</t>
  </si>
  <si>
    <t>Mise en œuvre</t>
  </si>
  <si>
    <t>Standards client</t>
  </si>
  <si>
    <t>SF-Connectivité Machine</t>
  </si>
  <si>
    <t>Standard Client</t>
  </si>
  <si>
    <t>Support et maintenance</t>
  </si>
  <si>
    <t>Standards MOMSOFT</t>
  </si>
  <si>
    <t>SF-Intégration SI</t>
  </si>
  <si>
    <t>Standard MOMSOFT</t>
  </si>
  <si>
    <t>Reglementation</t>
  </si>
  <si>
    <t>SF-Software</t>
  </si>
  <si>
    <t>Demande modification</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</si>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</sst>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0"/>
      <color rgb="FF000000"/>
      <name val="Calibri Light"/>
      <family val="2"/>
    </font>
    <font>
      <sz val="10"/>
      <name val="Calibri Light"/>
      <scheme val="major"/>
    </font>
    <font>
      <sz val="10"/>
      <color rgb="FF000000"/>
      <name val="Calibri Light"/>
      <scheme val="major"/>
    </font>
    <font>
      <sz val="10"/>
      <color rgb="FFFF0000"/>
      <name val="Calibri Light"/>
      <scheme val="major"/>
    </font>
    <font>
      <b/>
      <sz val="10"/>
      <color rgb="FF000000"/>
      <name val="Calibri Light"/>
      <scheme val="major"/>
    </font>
  </fonts>
  <fills count="7">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9"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6" borderId="1" xfId="0" applyFont="1" applyFill="1" applyBorder="1" applyAlignment="1">
      <alignment vertical="center" wrapText="1"/>
    </xf>
    <xf numFmtId="0" fontId="10" fillId="6" borderId="2" xfId="0" applyFont="1" applyFill="1" applyBorder="1" applyAlignment="1">
      <alignment vertical="center" wrapText="1"/>
    </xf>
    <xf numFmtId="0" fontId="10" fillId="6" borderId="3" xfId="0" applyFont="1" applyFill="1" applyBorder="1" applyAlignment="1">
      <alignment vertical="center" wrapText="1"/>
    </xf>
    <xf numFmtId="0" fontId="1" fillId="6" borderId="1" xfId="0" applyFont="1" applyFill="1" applyBorder="1" applyAlignment="1">
      <alignment vertical="center" wrapText="1"/>
    </xf>
    <xf numFmtId="0" fontId="1" fillId="6" borderId="2" xfId="0" applyFont="1" applyFill="1" applyBorder="1" applyAlignment="1">
      <alignment vertical="center" wrapText="1"/>
    </xf>
    <xf numFmtId="0" fontId="1" fillId="6" borderId="3" xfId="0" applyFont="1" applyFill="1" applyBorder="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1" fillId="6" borderId="0" xfId="0" applyFont="1" applyFill="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6" borderId="1" xfId="0" applyFont="1" applyFill="1" applyBorder="1" applyAlignment="1">
      <alignment horizontal="center" wrapText="1"/>
    </xf>
    <xf numFmtId="0" fontId="4" fillId="6" borderId="2" xfId="0" applyFont="1" applyFill="1" applyBorder="1" applyAlignment="1">
      <alignment horizontal="center" wrapText="1"/>
    </xf>
    <xf numFmtId="0" fontId="4" fillId="6"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9"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52293</xdr:colOff>
      <xdr:row>2</xdr:row>
      <xdr:rowOff>171825</xdr:rowOff>
    </xdr:from>
    <xdr:to>
      <xdr:col>2</xdr:col>
      <xdr:colOff>1828776</xdr:colOff>
      <xdr:row>2</xdr:row>
      <xdr:rowOff>493060</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E0C86A04-4B7C-4F14-9627-464F2D137E63}"/>
            </a:ext>
          </a:extLst>
        </xdr:cNvPr>
        <xdr:cNvPicPr>
          <a:picLocks noChangeAspect="1"/>
        </xdr:cNvPicPr>
      </xdr:nvPicPr>
      <xdr:blipFill>
        <a:blip xmlns:r="http://schemas.openxmlformats.org/officeDocument/2006/relationships" r:embed="rId1"/>
        <a:stretch>
          <a:fillRect/>
        </a:stretch>
      </xdr:blipFill>
      <xdr:spPr>
        <a:xfrm>
          <a:off x="851646" y="620060"/>
          <a:ext cx="2209777" cy="3212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29" totalsRowCount="1" headerRowDxfId="51" dataDxfId="50">
  <autoFilter ref="B13:V28" xr:uid="{DDEA2C8B-EE0D-4C55-9256-CCC64E002CE6}"/>
  <tableColumns count="21">
    <tableColumn id="1" xr3:uid="{E467E0EE-CDAA-4FF5-85A8-CDC0B23A5AD9}" name="ID" dataDxfId="48" totalsRowDxfId="49"/>
    <tableColumn id="2" xr3:uid="{E53952AC-4972-47BD-8B1D-C7EF23088D0D}" name="Intitulé 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iption de la solution MOMSOFT" dataDxfId="34" totalsRowDxfId="35"/>
    <tableColumn id="17" xr3:uid="{D1BC9C86-C3CE-417F-AC83-FC4786A7656D}" name="E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dataDxfId="24" totalsRowDxfId="25"/>
    <tableColumn id="21" xr3:uid="{818C68C5-1CC3-4DC9-9BB8-2CB7816ABE9F}" name="HJ Analyse et Test" dataDxfId="22" totalsRowDxfId="23">
      <calculatedColumnFormula>Tableau3[[#This Row],[HJ Dev]]*(25%+25%)</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B10"/>
  <sheetViews>
    <sheetView workbookViewId="0">
      <selection activeCell="E9" sqref="E9"/>
    </sheetView>
  </sheetViews>
  <sheetFormatPr defaultColWidth="11.42578125" defaultRowHeight="13.15"/>
  <sheetData>
    <row r="6" spans="2:2">
      <c r="B6" t="s">
        <v>0</v>
      </c>
    </row>
    <row r="7" spans="2:2">
      <c r="B7" t="s">
        <v>1</v>
      </c>
    </row>
    <row r="8" spans="2:2">
      <c r="B8" t="s">
        <v>2</v>
      </c>
    </row>
    <row r="9" spans="2:2">
      <c r="B9" t="s">
        <v>3</v>
      </c>
    </row>
    <row r="10" spans="2:2">
      <c r="B10"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29"/>
  <sheetViews>
    <sheetView tabSelected="1" topLeftCell="I4" zoomScale="85" zoomScaleNormal="85" workbookViewId="0">
      <selection activeCell="J23" sqref="J21:J23"/>
    </sheetView>
  </sheetViews>
  <sheetFormatPr defaultColWidth="11.42578125" defaultRowHeight="13.9"/>
  <cols>
    <col min="1" max="1" width="11.42578125" style="1"/>
    <col min="2" max="2" width="6.28515625" style="1" customWidth="1"/>
    <col min="3" max="3" width="29.28515625" style="1" customWidth="1"/>
    <col min="4" max="5" width="18.28515625" style="1" customWidth="1"/>
    <col min="6" max="6" width="19.42578125" style="1" customWidth="1"/>
    <col min="7" max="7" width="25.42578125" style="1" customWidth="1"/>
    <col min="8" max="8" width="18.42578125" style="1" customWidth="1"/>
    <col min="9" max="9" width="56.5703125" style="1" customWidth="1"/>
    <col min="10" max="10" width="142.7109375" style="1" customWidth="1"/>
    <col min="11" max="12" width="13.5703125" style="1" customWidth="1"/>
    <col min="13" max="13" width="15.28515625" style="1" customWidth="1"/>
    <col min="14" max="14" width="11.7109375" style="1" customWidth="1"/>
    <col min="15" max="15" width="15.42578125" style="1" customWidth="1"/>
    <col min="16" max="16" width="13.7109375" style="1" customWidth="1"/>
    <col min="17" max="17" width="39.7109375" style="1" customWidth="1"/>
    <col min="18" max="18" width="15.7109375" style="1" customWidth="1"/>
    <col min="19" max="19" width="20.5703125" style="1" customWidth="1"/>
    <col min="20" max="20" width="20.28515625" style="1" customWidth="1"/>
    <col min="21" max="21" width="15.28515625" style="1" customWidth="1"/>
    <col min="22" max="22" width="10.85546875" style="1" customWidth="1"/>
    <col min="23" max="16384" width="11.42578125" style="1"/>
  </cols>
  <sheetData>
    <row r="1" spans="2:22" ht="14.45" thickBot="1"/>
    <row r="2" spans="2:22" ht="21.75" customHeight="1" thickBot="1">
      <c r="B2" s="40" t="s">
        <v>5</v>
      </c>
      <c r="C2" s="41"/>
      <c r="D2" s="41"/>
      <c r="E2" s="41"/>
      <c r="F2" s="41"/>
      <c r="G2" s="41"/>
      <c r="H2" s="41"/>
      <c r="I2" s="41"/>
      <c r="J2" s="41"/>
      <c r="K2" s="41"/>
      <c r="L2" s="41"/>
      <c r="M2" s="42"/>
      <c r="N2" s="43" t="s">
        <v>6</v>
      </c>
      <c r="O2" s="44"/>
      <c r="P2" s="45"/>
      <c r="Q2" s="37" t="s">
        <v>7</v>
      </c>
      <c r="R2" s="38"/>
      <c r="S2" s="38"/>
      <c r="T2" s="38"/>
      <c r="U2" s="38"/>
      <c r="V2" s="39"/>
    </row>
    <row r="3" spans="2:22" ht="53.25" customHeight="1">
      <c r="C3" s="8"/>
      <c r="D3" s="8"/>
      <c r="E3" s="8"/>
      <c r="F3" s="8"/>
      <c r="G3" s="8"/>
      <c r="H3" s="8"/>
      <c r="I3" s="8"/>
    </row>
    <row r="4" spans="2:22" ht="21" customHeight="1">
      <c r="B4" s="23" t="s">
        <v>8</v>
      </c>
      <c r="C4" s="8"/>
      <c r="D4" s="25"/>
      <c r="E4" s="8"/>
      <c r="F4" s="8"/>
      <c r="G4" s="8"/>
      <c r="H4" s="8"/>
      <c r="I4" s="8"/>
    </row>
    <row r="5" spans="2:22" ht="21.75" customHeight="1">
      <c r="B5" s="20" t="s">
        <v>0</v>
      </c>
      <c r="D5" s="3"/>
      <c r="E5" s="3"/>
      <c r="F5" s="3"/>
      <c r="G5" s="3"/>
      <c r="H5" s="3"/>
      <c r="I5" s="3"/>
    </row>
    <row r="6" spans="2:22" ht="21" customHeight="1">
      <c r="B6" s="20" t="s">
        <v>9</v>
      </c>
      <c r="D6" s="3"/>
      <c r="E6" s="3"/>
      <c r="F6" s="3"/>
      <c r="G6" s="3"/>
      <c r="H6" s="3"/>
      <c r="I6" s="3"/>
    </row>
    <row r="7" spans="2:22" ht="20.65" customHeight="1" thickBot="1">
      <c r="B7" s="20" t="s">
        <v>10</v>
      </c>
      <c r="D7" s="3" t="s">
        <v>11</v>
      </c>
      <c r="E7" s="3"/>
      <c r="F7" s="3"/>
      <c r="G7" s="24" t="s">
        <v>12</v>
      </c>
      <c r="H7" s="3"/>
      <c r="I7" s="3"/>
    </row>
    <row r="8" spans="2:22" ht="21.6" customHeight="1">
      <c r="B8" s="20" t="s">
        <v>13</v>
      </c>
      <c r="D8" s="3" t="s">
        <v>14</v>
      </c>
      <c r="E8" s="3"/>
      <c r="F8" s="3"/>
      <c r="G8" s="3"/>
      <c r="H8" s="3"/>
      <c r="I8" s="3"/>
    </row>
    <row r="9" spans="2:22" ht="14.45">
      <c r="C9" s="3"/>
      <c r="D9" s="17"/>
      <c r="E9" s="17"/>
      <c r="F9" s="17"/>
      <c r="G9" s="17"/>
      <c r="H9" s="17"/>
      <c r="I9" s="17"/>
    </row>
    <row r="10" spans="2:22">
      <c r="B10" s="21" t="s">
        <v>15</v>
      </c>
      <c r="C10" s="22"/>
      <c r="D10" s="21" t="s">
        <v>16</v>
      </c>
      <c r="E10" s="9"/>
      <c r="F10" s="9"/>
      <c r="I10" s="14" t="s">
        <v>17</v>
      </c>
    </row>
    <row r="11" spans="2:22">
      <c r="B11" s="21" t="s">
        <v>18</v>
      </c>
      <c r="C11" s="22"/>
      <c r="D11" s="21" t="s">
        <v>19</v>
      </c>
      <c r="E11" s="9"/>
      <c r="F11" s="9"/>
    </row>
    <row r="12" spans="2:22" ht="14.45" thickBot="1"/>
    <row r="13" spans="2:22" s="10" customFormat="1" ht="42" thickBot="1">
      <c r="B13" s="27" t="s">
        <v>20</v>
      </c>
      <c r="C13" s="28" t="s">
        <v>21</v>
      </c>
      <c r="D13" s="28" t="s">
        <v>22</v>
      </c>
      <c r="E13" s="28" t="s">
        <v>23</v>
      </c>
      <c r="F13" s="28" t="s">
        <v>24</v>
      </c>
      <c r="G13" s="28" t="s">
        <v>25</v>
      </c>
      <c r="H13" s="28" t="s">
        <v>26</v>
      </c>
      <c r="I13" s="28" t="s">
        <v>27</v>
      </c>
      <c r="J13" s="28" t="s">
        <v>28</v>
      </c>
      <c r="K13" s="28" t="s">
        <v>29</v>
      </c>
      <c r="L13" s="28" t="s">
        <v>30</v>
      </c>
      <c r="M13" s="29" t="s">
        <v>31</v>
      </c>
      <c r="N13" s="28" t="s">
        <v>32</v>
      </c>
      <c r="O13" s="28" t="s">
        <v>33</v>
      </c>
      <c r="P13" s="28" t="s">
        <v>34</v>
      </c>
      <c r="Q13" s="30" t="s">
        <v>35</v>
      </c>
      <c r="R13" s="31" t="s">
        <v>36</v>
      </c>
      <c r="S13" s="31" t="s">
        <v>37</v>
      </c>
      <c r="T13" s="31" t="s">
        <v>38</v>
      </c>
      <c r="U13" s="31" t="s">
        <v>39</v>
      </c>
      <c r="V13" s="32" t="s">
        <v>40</v>
      </c>
    </row>
    <row r="14" spans="2:22" s="10" customFormat="1" ht="12.75">
      <c r="B14" s="36"/>
      <c r="C14" s="36"/>
      <c r="D14" s="36"/>
      <c r="E14" s="36"/>
      <c r="F14" s="36"/>
      <c r="G14" s="36"/>
      <c r="H14" s="36"/>
      <c r="I14" s="36"/>
      <c r="J14" s="36"/>
      <c r="K14" s="36"/>
      <c r="L14" s="36"/>
      <c r="M14" s="36"/>
      <c r="N14" s="36"/>
      <c r="O14" s="36">
        <f>Tableau3[[#This Row],[HJ Dev]]*(25%+25%)</f>
        <v>0</v>
      </c>
      <c r="P14" s="36">
        <f>Tableau3[[#This Row],[HJ Analyse et Test]]+Tableau3[[#This Row],[HJ Dev]]</f>
        <v>0</v>
      </c>
      <c r="Q14" s="36"/>
      <c r="R14" s="36"/>
      <c r="S14" s="36"/>
      <c r="T14" s="36"/>
      <c r="U14" s="36"/>
      <c r="V14" s="36"/>
    </row>
    <row r="15" spans="2:22" s="10" customFormat="1" ht="103.9" customHeight="1">
      <c r="B15" s="10" t="s">
        <v>41</v>
      </c>
      <c r="C15" s="10" t="s">
        <v>42</v>
      </c>
      <c r="D15" s="10" t="s">
        <v>43</v>
      </c>
      <c r="E15" s="10" t="s">
        <v>44</v>
      </c>
      <c r="F15" s="10" t="s">
        <v>45</v>
      </c>
      <c r="G15" s="10" t="s">
        <v>46</v>
      </c>
      <c r="H15" s="10" t="s">
        <v>47</v>
      </c>
      <c r="I15" s="10" t="s">
        <v>48</v>
      </c>
      <c r="J15" s="10" t="s">
        <v>49</v>
      </c>
      <c r="K15" s="10" t="s">
        <v>50</v>
      </c>
      <c r="L15" s="10" t="s">
        <v>51</v>
      </c>
      <c r="N15" s="10">
        <v>0</v>
      </c>
      <c r="O15" s="10">
        <f>Tableau3[[#This Row],[HJ Dev]]*(25%+25%)</f>
        <v>0</v>
      </c>
      <c r="P15" s="10">
        <f>Tableau3[[#This Row],[HJ Analyse et Test]]+Tableau3[[#This Row],[HJ Dev]]</f>
        <v>0</v>
      </c>
      <c r="Q15" s="10" t="s">
        <v>52</v>
      </c>
      <c r="R15" s="10" t="s">
        <v>52</v>
      </c>
      <c r="S15" s="10" t="s">
        <v>52</v>
      </c>
      <c r="T15" s="10" t="s">
        <v>52</v>
      </c>
      <c r="U15" s="10" t="s">
        <v>52</v>
      </c>
    </row>
    <row r="16" spans="2:22" s="10" customFormat="1" ht="44.25">
      <c r="B16" s="10" t="s">
        <v>53</v>
      </c>
      <c r="C16" s="10" t="s">
        <v>54</v>
      </c>
      <c r="D16" s="10" t="s">
        <v>43</v>
      </c>
      <c r="E16" s="10" t="s">
        <v>44</v>
      </c>
      <c r="F16" s="10" t="s">
        <v>45</v>
      </c>
      <c r="G16" s="10" t="s">
        <v>55</v>
      </c>
      <c r="H16" s="10" t="s">
        <v>47</v>
      </c>
      <c r="I16" s="10" t="s">
        <v>48</v>
      </c>
      <c r="J16" s="10" t="s">
        <v>56</v>
      </c>
      <c r="K16" s="10" t="s">
        <v>50</v>
      </c>
      <c r="L16" s="10" t="s">
        <v>51</v>
      </c>
      <c r="N16" s="10">
        <v>0</v>
      </c>
      <c r="O16" s="10">
        <f>Tableau3[[#This Row],[HJ Dev]]*(25%+25%)</f>
        <v>0</v>
      </c>
      <c r="P16" s="10">
        <f>Tableau3[[#This Row],[HJ Analyse et Test]]+Tableau3[[#This Row],[HJ Dev]]</f>
        <v>0</v>
      </c>
    </row>
    <row r="17" spans="2:22" s="10" customFormat="1" ht="105" customHeight="1">
      <c r="B17" s="10" t="s">
        <v>57</v>
      </c>
      <c r="C17" s="10" t="s">
        <v>58</v>
      </c>
      <c r="D17" s="10" t="s">
        <v>43</v>
      </c>
      <c r="E17" s="10" t="s">
        <v>44</v>
      </c>
      <c r="F17" s="10" t="s">
        <v>45</v>
      </c>
      <c r="G17" s="10" t="s">
        <v>59</v>
      </c>
      <c r="H17" s="10" t="s">
        <v>47</v>
      </c>
      <c r="I17" s="10" t="s">
        <v>60</v>
      </c>
      <c r="J17" s="34" t="s">
        <v>61</v>
      </c>
      <c r="K17" s="10" t="s">
        <v>50</v>
      </c>
      <c r="L17" s="10" t="s">
        <v>51</v>
      </c>
      <c r="N17" s="10">
        <v>0</v>
      </c>
      <c r="O17" s="10">
        <f>Tableau3[[#This Row],[HJ Dev]]*(25%+25%)</f>
        <v>0</v>
      </c>
      <c r="P17" s="10">
        <f>Tableau3[[#This Row],[HJ Analyse et Test]]+Tableau3[[#This Row],[HJ Dev]]</f>
        <v>0</v>
      </c>
    </row>
    <row r="18" spans="2:22" s="10" customFormat="1" ht="108.6" customHeight="1">
      <c r="B18" s="10" t="s">
        <v>62</v>
      </c>
      <c r="C18" s="10" t="s">
        <v>63</v>
      </c>
      <c r="D18" s="10" t="s">
        <v>43</v>
      </c>
      <c r="E18" s="10" t="s">
        <v>44</v>
      </c>
      <c r="F18" s="10" t="s">
        <v>45</v>
      </c>
      <c r="G18" s="10" t="s">
        <v>64</v>
      </c>
      <c r="H18" s="10" t="s">
        <v>47</v>
      </c>
      <c r="I18" s="10" t="s">
        <v>65</v>
      </c>
      <c r="J18" s="10" t="s">
        <v>66</v>
      </c>
      <c r="K18" s="10" t="s">
        <v>50</v>
      </c>
      <c r="L18" s="10" t="s">
        <v>51</v>
      </c>
      <c r="O18" s="10">
        <f>Tableau3[[#This Row],[HJ Dev]]*(25%+25%)</f>
        <v>0</v>
      </c>
      <c r="P18" s="10">
        <f>Tableau3[[#This Row],[HJ Analyse et Test]]+Tableau3[[#This Row],[HJ Dev]]</f>
        <v>0</v>
      </c>
    </row>
    <row r="19" spans="2:22" s="10" customFormat="1" ht="114" customHeight="1">
      <c r="B19" s="10" t="s">
        <v>67</v>
      </c>
      <c r="C19" s="10" t="s">
        <v>68</v>
      </c>
      <c r="D19" s="10" t="s">
        <v>43</v>
      </c>
      <c r="E19" s="10" t="s">
        <v>44</v>
      </c>
      <c r="F19" s="10" t="s">
        <v>45</v>
      </c>
      <c r="G19" s="10" t="s">
        <v>69</v>
      </c>
      <c r="H19" s="10" t="s">
        <v>47</v>
      </c>
      <c r="I19" s="10" t="s">
        <v>48</v>
      </c>
      <c r="J19" s="10" t="s">
        <v>70</v>
      </c>
      <c r="K19" s="10" t="s">
        <v>50</v>
      </c>
      <c r="L19" s="10" t="s">
        <v>51</v>
      </c>
      <c r="O19" s="10">
        <f>Tableau3[[#This Row],[HJ Dev]]*(25%+25%)</f>
        <v>0</v>
      </c>
      <c r="P19" s="10">
        <f>Tableau3[[#This Row],[HJ Analyse et Test]]+Tableau3[[#This Row],[HJ Dev]]</f>
        <v>0</v>
      </c>
    </row>
    <row r="20" spans="2:22" ht="106.15" customHeight="1">
      <c r="B20" s="10" t="s">
        <v>71</v>
      </c>
      <c r="C20" s="10" t="s">
        <v>72</v>
      </c>
      <c r="D20" s="10" t="s">
        <v>43</v>
      </c>
      <c r="E20" s="10" t="s">
        <v>44</v>
      </c>
      <c r="F20" s="10" t="s">
        <v>45</v>
      </c>
      <c r="G20" s="33" t="s">
        <v>73</v>
      </c>
      <c r="H20" s="10" t="s">
        <v>47</v>
      </c>
      <c r="I20" s="10" t="s">
        <v>48</v>
      </c>
      <c r="J20" s="10" t="s">
        <v>74</v>
      </c>
      <c r="K20" s="10" t="s">
        <v>50</v>
      </c>
      <c r="L20" s="10" t="s">
        <v>51</v>
      </c>
      <c r="M20" s="10"/>
      <c r="N20" s="10"/>
      <c r="O20" s="10">
        <f>Tableau3[[#This Row],[HJ Dev]]*(25%+25%)</f>
        <v>0</v>
      </c>
      <c r="P20" s="10">
        <f>Tableau3[[#This Row],[HJ Analyse et Test]]+Tableau3[[#This Row],[HJ Dev]]</f>
        <v>0</v>
      </c>
      <c r="Q20" s="10"/>
      <c r="R20" s="10"/>
      <c r="S20" s="10"/>
      <c r="T20" s="10"/>
      <c r="U20" s="10"/>
      <c r="V20" s="10"/>
    </row>
    <row r="21" spans="2:22" ht="45.6" customHeight="1">
      <c r="B21" s="10" t="s">
        <v>75</v>
      </c>
      <c r="C21" s="10" t="s">
        <v>76</v>
      </c>
      <c r="D21" s="10" t="s">
        <v>43</v>
      </c>
      <c r="E21" s="10" t="s">
        <v>44</v>
      </c>
      <c r="F21" s="10" t="s">
        <v>45</v>
      </c>
      <c r="G21" s="10" t="s">
        <v>77</v>
      </c>
      <c r="H21" s="10" t="s">
        <v>47</v>
      </c>
      <c r="I21" s="10" t="s">
        <v>60</v>
      </c>
      <c r="J21" s="10" t="s">
        <v>78</v>
      </c>
      <c r="K21" s="10" t="s">
        <v>50</v>
      </c>
      <c r="L21" s="10" t="s">
        <v>51</v>
      </c>
      <c r="M21" s="10"/>
      <c r="N21" s="10"/>
      <c r="O21" s="10">
        <f>Tableau3[[#This Row],[HJ Dev]]*(25%+25%)</f>
        <v>0</v>
      </c>
      <c r="P21" s="10">
        <f>Tableau3[[#This Row],[HJ Analyse et Test]]+Tableau3[[#This Row],[HJ Dev]]</f>
        <v>0</v>
      </c>
      <c r="Q21" s="10"/>
      <c r="R21" s="10"/>
      <c r="S21" s="10"/>
      <c r="T21" s="10"/>
      <c r="U21" s="10"/>
      <c r="V21" s="10"/>
    </row>
    <row r="22" spans="2:22" ht="51.6" customHeight="1">
      <c r="B22" s="10" t="s">
        <v>79</v>
      </c>
      <c r="C22" s="10" t="s">
        <v>80</v>
      </c>
      <c r="D22" s="10" t="s">
        <v>43</v>
      </c>
      <c r="E22" s="10" t="s">
        <v>44</v>
      </c>
      <c r="F22" s="10" t="s">
        <v>45</v>
      </c>
      <c r="G22" s="10" t="s">
        <v>81</v>
      </c>
      <c r="H22" s="10" t="s">
        <v>47</v>
      </c>
      <c r="I22" s="10" t="s">
        <v>48</v>
      </c>
      <c r="J22" s="10" t="s">
        <v>82</v>
      </c>
      <c r="K22" s="10" t="s">
        <v>50</v>
      </c>
      <c r="L22" s="10" t="s">
        <v>51</v>
      </c>
      <c r="M22" s="10"/>
      <c r="N22" s="10"/>
      <c r="O22" s="10">
        <f>Tableau3[[#This Row],[HJ Dev]]*(25%+25%)</f>
        <v>0</v>
      </c>
      <c r="P22" s="10">
        <f>Tableau3[[#This Row],[HJ Analyse et Test]]+Tableau3[[#This Row],[HJ Dev]]</f>
        <v>0</v>
      </c>
      <c r="Q22" s="10"/>
      <c r="R22" s="10"/>
      <c r="S22" s="10"/>
      <c r="T22" s="10"/>
      <c r="U22" s="10"/>
      <c r="V22" s="10"/>
    </row>
    <row r="23" spans="2:22" ht="27.6">
      <c r="B23" s="10" t="s">
        <v>83</v>
      </c>
      <c r="C23" s="10" t="s">
        <v>84</v>
      </c>
      <c r="D23" s="10" t="s">
        <v>43</v>
      </c>
      <c r="E23" s="10" t="s">
        <v>44</v>
      </c>
      <c r="F23" s="10" t="s">
        <v>45</v>
      </c>
      <c r="G23" s="10" t="s">
        <v>85</v>
      </c>
      <c r="H23" s="10" t="s">
        <v>47</v>
      </c>
      <c r="I23" s="10" t="s">
        <v>48</v>
      </c>
      <c r="J23" s="34" t="s">
        <v>86</v>
      </c>
      <c r="K23" s="10" t="s">
        <v>50</v>
      </c>
      <c r="L23" s="10" t="s">
        <v>51</v>
      </c>
      <c r="M23" s="10"/>
      <c r="N23" s="10"/>
      <c r="O23" s="10">
        <f>Tableau3[[#This Row],[HJ Dev]]*(25%+25%)</f>
        <v>0</v>
      </c>
      <c r="P23" s="10">
        <f>Tableau3[[#This Row],[HJ Analyse et Test]]+Tableau3[[#This Row],[HJ Dev]]</f>
        <v>0</v>
      </c>
      <c r="Q23" s="10"/>
      <c r="R23" s="10"/>
      <c r="S23" s="10"/>
      <c r="T23" s="10"/>
      <c r="U23" s="10"/>
      <c r="V23" s="10"/>
    </row>
    <row r="24" spans="2:22" ht="113.45" customHeight="1">
      <c r="B24" s="10" t="s">
        <v>87</v>
      </c>
      <c r="C24" s="10" t="s">
        <v>88</v>
      </c>
      <c r="D24" s="10" t="s">
        <v>43</v>
      </c>
      <c r="E24" s="10" t="s">
        <v>44</v>
      </c>
      <c r="F24" s="10" t="s">
        <v>45</v>
      </c>
      <c r="G24" s="10" t="s">
        <v>89</v>
      </c>
      <c r="H24" s="10" t="s">
        <v>47</v>
      </c>
      <c r="I24" s="10" t="s">
        <v>48</v>
      </c>
      <c r="J24" s="35" t="s">
        <v>90</v>
      </c>
      <c r="K24" s="10" t="s">
        <v>50</v>
      </c>
      <c r="L24" s="10" t="s">
        <v>51</v>
      </c>
      <c r="M24" s="10"/>
      <c r="N24" s="10"/>
      <c r="O24" s="10">
        <f>Tableau3[[#This Row],[HJ Dev]]*(25%+25%)</f>
        <v>0</v>
      </c>
      <c r="P24" s="10">
        <f>Tableau3[[#This Row],[HJ Analyse et Test]]+Tableau3[[#This Row],[HJ Dev]]</f>
        <v>0</v>
      </c>
      <c r="Q24" s="10"/>
      <c r="R24" s="10"/>
      <c r="S24" s="10"/>
      <c r="T24" s="10"/>
      <c r="U24" s="10"/>
      <c r="V24" s="10"/>
    </row>
    <row r="25" spans="2:22" ht="91.15" customHeight="1">
      <c r="B25" s="10" t="s">
        <v>91</v>
      </c>
      <c r="C25" s="10" t="s">
        <v>92</v>
      </c>
      <c r="D25" s="10" t="s">
        <v>43</v>
      </c>
      <c r="E25" s="10" t="s">
        <v>44</v>
      </c>
      <c r="F25" s="10" t="s">
        <v>45</v>
      </c>
      <c r="G25" s="10" t="s">
        <v>93</v>
      </c>
      <c r="H25" s="10" t="s">
        <v>47</v>
      </c>
      <c r="I25" s="10" t="s">
        <v>48</v>
      </c>
      <c r="J25" s="10" t="s">
        <v>94</v>
      </c>
      <c r="K25" s="10" t="s">
        <v>50</v>
      </c>
      <c r="L25" s="10" t="s">
        <v>51</v>
      </c>
      <c r="M25" s="10"/>
      <c r="N25" s="10"/>
      <c r="O25" s="10">
        <f>Tableau3[[#This Row],[HJ Dev]]*(25%+25%)</f>
        <v>0</v>
      </c>
      <c r="P25" s="10">
        <f>Tableau3[[#This Row],[HJ Analyse et Test]]+Tableau3[[#This Row],[HJ Dev]]</f>
        <v>0</v>
      </c>
      <c r="Q25" s="10"/>
      <c r="R25" s="10"/>
      <c r="S25" s="10"/>
      <c r="T25" s="10"/>
      <c r="U25" s="10"/>
      <c r="V25" s="10"/>
    </row>
    <row r="26" spans="2:22" ht="69">
      <c r="B26" s="10" t="s">
        <v>95</v>
      </c>
      <c r="C26" s="10" t="s">
        <v>96</v>
      </c>
      <c r="D26" s="10" t="s">
        <v>43</v>
      </c>
      <c r="E26" s="10" t="s">
        <v>44</v>
      </c>
      <c r="F26" s="10" t="s">
        <v>45</v>
      </c>
      <c r="G26" s="10" t="s">
        <v>97</v>
      </c>
      <c r="H26" s="10" t="s">
        <v>47</v>
      </c>
      <c r="I26" s="10" t="s">
        <v>48</v>
      </c>
      <c r="J26" s="10" t="s">
        <v>98</v>
      </c>
      <c r="K26" s="10" t="s">
        <v>50</v>
      </c>
      <c r="L26" s="10" t="s">
        <v>51</v>
      </c>
      <c r="M26" s="10"/>
      <c r="N26" s="10"/>
      <c r="O26" s="10">
        <f>Tableau3[[#This Row],[HJ Dev]]*(25%+25%)</f>
        <v>0</v>
      </c>
      <c r="P26" s="10">
        <f>Tableau3[[#This Row],[HJ Analyse et Test]]+Tableau3[[#This Row],[HJ Dev]]</f>
        <v>0</v>
      </c>
      <c r="Q26" s="10"/>
      <c r="R26" s="10"/>
      <c r="S26" s="10"/>
      <c r="T26" s="10"/>
      <c r="U26" s="10"/>
      <c r="V26" s="10"/>
    </row>
    <row r="27" spans="2:22" ht="88.5">
      <c r="B27" s="10" t="s">
        <v>99</v>
      </c>
      <c r="C27" s="10" t="s">
        <v>100</v>
      </c>
      <c r="D27" s="10" t="s">
        <v>43</v>
      </c>
      <c r="E27" s="10" t="s">
        <v>44</v>
      </c>
      <c r="F27" s="10" t="s">
        <v>45</v>
      </c>
      <c r="G27" s="10" t="s">
        <v>101</v>
      </c>
      <c r="H27" s="10" t="s">
        <v>47</v>
      </c>
      <c r="I27" s="10" t="s">
        <v>65</v>
      </c>
      <c r="J27" s="10" t="s">
        <v>102</v>
      </c>
      <c r="K27" s="10" t="s">
        <v>50</v>
      </c>
      <c r="L27" s="10" t="s">
        <v>51</v>
      </c>
      <c r="M27" s="10"/>
      <c r="N27" s="10"/>
      <c r="O27" s="10">
        <f>Tableau3[[#This Row],[HJ Dev]]*(25%+25%)</f>
        <v>0</v>
      </c>
      <c r="P27" s="10">
        <f>Tableau3[[#This Row],[HJ Analyse et Test]]+Tableau3[[#This Row],[HJ Dev]]</f>
        <v>0</v>
      </c>
      <c r="Q27" s="10"/>
      <c r="R27" s="10"/>
      <c r="S27" s="10"/>
      <c r="T27" s="10"/>
      <c r="U27" s="10"/>
      <c r="V27" s="10"/>
    </row>
    <row r="28" spans="2:22" ht="72.75">
      <c r="B28" s="10" t="s">
        <v>103</v>
      </c>
      <c r="C28" s="10" t="s">
        <v>104</v>
      </c>
      <c r="D28" s="10" t="s">
        <v>43</v>
      </c>
      <c r="E28" s="10" t="s">
        <v>44</v>
      </c>
      <c r="F28" s="10" t="s">
        <v>45</v>
      </c>
      <c r="G28" s="10" t="s">
        <v>105</v>
      </c>
      <c r="H28" s="10" t="s">
        <v>47</v>
      </c>
      <c r="I28" s="10" t="s">
        <v>48</v>
      </c>
      <c r="J28" s="10" t="s">
        <v>106</v>
      </c>
      <c r="K28" s="10" t="s">
        <v>50</v>
      </c>
      <c r="L28" s="10" t="s">
        <v>51</v>
      </c>
      <c r="M28" s="10"/>
      <c r="N28" s="10"/>
      <c r="O28" s="10">
        <f>Tableau3[[#This Row],[HJ Dev]]*(25%+25%)</f>
        <v>0</v>
      </c>
      <c r="P28" s="10">
        <f>Tableau3[[#This Row],[HJ Analyse et Test]]+Tableau3[[#This Row],[HJ Dev]]</f>
        <v>0</v>
      </c>
      <c r="Q28" s="10"/>
      <c r="R28" s="10"/>
      <c r="S28" s="10"/>
      <c r="T28" s="10"/>
      <c r="U28" s="10"/>
      <c r="V28" s="10"/>
    </row>
    <row r="29" spans="2:22" ht="12.75">
      <c r="B29" s="10"/>
      <c r="C29" s="10"/>
      <c r="D29" s="10"/>
      <c r="E29" s="10"/>
      <c r="F29" s="10"/>
      <c r="G29" s="10"/>
      <c r="H29" s="10"/>
      <c r="I29" s="10"/>
      <c r="J29" s="10"/>
      <c r="K29" s="10"/>
      <c r="L29" s="10"/>
      <c r="M29" s="10"/>
      <c r="N29" s="10"/>
      <c r="O29" s="10"/>
      <c r="P29" s="10">
        <f>SUBTOTAL(109,Tableau3[Total HJ])</f>
        <v>0</v>
      </c>
      <c r="Q29" s="10"/>
      <c r="R29" s="10"/>
      <c r="S29" s="10"/>
      <c r="T29" s="10"/>
      <c r="U29" s="10"/>
      <c r="V29" s="10"/>
    </row>
  </sheetData>
  <mergeCells count="3">
    <mergeCell ref="Q2:V2"/>
    <mergeCell ref="B2:M2"/>
    <mergeCell ref="N2:P2"/>
  </mergeCells>
  <phoneticPr fontId="2" type="noConversion"/>
  <dataValidations disablePrompts="1" count="1">
    <dataValidation type="whole" operator="greaterThanOrEqual" allowBlank="1" showInputMessage="1" showErrorMessage="1" sqref="N14:P28" xr:uid="{10E2E794-3894-4CC1-AB1A-9BB5BF41EABB}">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M14:M28</xm:sqref>
        </x14:dataValidation>
        <x14:dataValidation type="list" allowBlank="1" showInputMessage="1" showErrorMessage="1" xr:uid="{1F2CF1C1-BE35-4DC9-A975-F49F788F3D6A}">
          <x14:formula1>
            <xm:f>Params!$H$3:$H$6</xm:f>
          </x14:formula1>
          <xm:sqref>K14:K28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6" sqref="J16"/>
    </sheetView>
  </sheetViews>
  <sheetFormatPr defaultColWidth="11.42578125" defaultRowHeight="14.45"/>
  <cols>
    <col min="1" max="1" width="12" style="2" customWidth="1"/>
    <col min="2" max="2" width="10.28515625" style="2" customWidth="1"/>
    <col min="3" max="3" width="11.42578125" style="2"/>
    <col min="4" max="4" width="58.28515625" style="2" customWidth="1"/>
    <col min="5" max="5" width="15.7109375" style="2" customWidth="1"/>
    <col min="6" max="6" width="22.28515625" style="2" customWidth="1"/>
    <col min="7" max="7" width="16.5703125" style="2" customWidth="1"/>
    <col min="8" max="16384" width="11.42578125" style="2"/>
  </cols>
  <sheetData>
    <row r="2" spans="1:7" ht="15" thickBot="1"/>
    <row r="3" spans="1:7" ht="24" customHeight="1" thickBot="1">
      <c r="A3" s="2" t="s">
        <v>107</v>
      </c>
      <c r="B3" s="46" t="s">
        <v>5</v>
      </c>
      <c r="C3" s="47"/>
      <c r="D3" s="47"/>
      <c r="E3" s="47"/>
      <c r="F3" s="47"/>
      <c r="G3" s="48"/>
    </row>
    <row r="4" spans="1:7">
      <c r="B4" s="4"/>
      <c r="C4" s="5"/>
      <c r="D4" s="5"/>
      <c r="E4" s="5"/>
      <c r="F4" s="5"/>
      <c r="G4" s="5"/>
    </row>
    <row r="5" spans="1:7">
      <c r="B5" s="12" t="str">
        <f>'Gestion Exigences'!B5</f>
        <v>Client</v>
      </c>
      <c r="D5" s="12">
        <f>'Gestion Exigences'!D5</f>
        <v>0</v>
      </c>
      <c r="E5" s="5"/>
      <c r="F5" s="5"/>
      <c r="G5" s="5"/>
    </row>
    <row r="6" spans="1:7">
      <c r="B6" s="12" t="str">
        <f>'Gestion Exigences'!B6</f>
        <v>Projet</v>
      </c>
      <c r="D6" s="12">
        <f>'Gestion Exigences'!D6</f>
        <v>0</v>
      </c>
      <c r="E6" s="5"/>
      <c r="F6" s="5"/>
      <c r="G6" s="5"/>
    </row>
    <row r="7" spans="1:7">
      <c r="B7" s="12" t="str">
        <f>'Gestion Exigences'!B7</f>
        <v>Réf BPA du Devis</v>
      </c>
      <c r="D7" s="12" t="str">
        <f>'Gestion Exigences'!D7</f>
        <v>S0-00xyz</v>
      </c>
      <c r="E7" s="5"/>
      <c r="F7" s="5"/>
      <c r="G7" s="5"/>
    </row>
    <row r="8" spans="1:7">
      <c r="B8" s="12" t="str">
        <f>'Gestion Exigences'!B8</f>
        <v>Réf BPA du Projet</v>
      </c>
      <c r="D8" s="12" t="str">
        <f>'Gestion Exigences'!D8</f>
        <v>PR-22-0xyz</v>
      </c>
      <c r="E8" s="5"/>
      <c r="F8" s="5"/>
      <c r="G8" s="5"/>
    </row>
    <row r="9" spans="1:7">
      <c r="B9" s="4"/>
      <c r="C9" s="12"/>
      <c r="D9" s="5"/>
      <c r="E9" s="5"/>
      <c r="F9" s="5"/>
      <c r="G9" s="5"/>
    </row>
    <row r="10" spans="1:7">
      <c r="B10" s="18" t="str">
        <f>'Gestion Exigences'!B10</f>
        <v>Réf Modèle Document</v>
      </c>
      <c r="C10" s="19" t="str">
        <f>'Gestion Exigences'!D10</f>
        <v>MD203</v>
      </c>
      <c r="D10" s="5"/>
      <c r="E10" s="5"/>
      <c r="F10" s="5"/>
      <c r="G10" s="5"/>
    </row>
    <row r="11" spans="1:7">
      <c r="B11" s="18" t="str">
        <f>'Gestion Exigences'!B11</f>
        <v>Version Modèle Document</v>
      </c>
      <c r="C11" s="19" t="str">
        <f>'Gestion Exigences'!D11</f>
        <v>V1.5</v>
      </c>
      <c r="D11" s="5"/>
      <c r="E11" s="5"/>
      <c r="F11" s="5"/>
      <c r="G11" s="5"/>
    </row>
    <row r="12" spans="1:7">
      <c r="B12" s="4"/>
      <c r="C12" s="5"/>
      <c r="D12" s="5"/>
      <c r="E12" s="5"/>
      <c r="F12" s="5"/>
      <c r="G12" s="5"/>
    </row>
    <row r="13" spans="1:7">
      <c r="B13" s="13" t="s">
        <v>108</v>
      </c>
      <c r="C13" s="13" t="s">
        <v>109</v>
      </c>
      <c r="D13" s="13" t="s">
        <v>110</v>
      </c>
      <c r="E13" s="13" t="s">
        <v>111</v>
      </c>
      <c r="F13" s="13" t="s">
        <v>112</v>
      </c>
      <c r="G13" s="13" t="s">
        <v>113</v>
      </c>
    </row>
    <row r="14" spans="1:7" ht="29.65" customHeight="1">
      <c r="B14" s="6" t="s">
        <v>114</v>
      </c>
      <c r="C14" s="7">
        <v>45342</v>
      </c>
      <c r="D14" s="16" t="s">
        <v>115</v>
      </c>
      <c r="E14" s="6" t="s">
        <v>116</v>
      </c>
      <c r="F14" s="15" t="s">
        <v>117</v>
      </c>
      <c r="G14" s="6" t="s">
        <v>118</v>
      </c>
    </row>
    <row r="15" spans="1:7">
      <c r="B15" s="6" t="s">
        <v>119</v>
      </c>
      <c r="C15" s="26">
        <v>45701</v>
      </c>
      <c r="D15" s="2" t="s">
        <v>120</v>
      </c>
      <c r="E15" s="2" t="s">
        <v>121</v>
      </c>
      <c r="F15" s="15" t="s">
        <v>51</v>
      </c>
      <c r="G15" s="6" t="s">
        <v>118</v>
      </c>
    </row>
    <row r="16" spans="1:7">
      <c r="C16" s="26"/>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workbookViewId="0">
      <selection activeCell="I17" sqref="I17"/>
    </sheetView>
  </sheetViews>
  <sheetFormatPr defaultColWidth="11.42578125" defaultRowHeight="13.9"/>
  <cols>
    <col min="1" max="2" width="11.42578125" style="10"/>
    <col min="3" max="4" width="19.7109375" style="10" customWidth="1"/>
    <col min="5" max="5" width="23.7109375" style="10" customWidth="1"/>
    <col min="6" max="6" width="14.42578125" style="10" customWidth="1"/>
    <col min="7" max="7" width="23.7109375" style="10" customWidth="1"/>
    <col min="8" max="8" width="25.28515625" style="10" customWidth="1"/>
    <col min="9" max="9" width="20.42578125" style="10" customWidth="1"/>
    <col min="10" max="16384" width="11.42578125" style="10"/>
  </cols>
  <sheetData>
    <row r="2" spans="2:9" ht="27.6">
      <c r="B2" s="11" t="s">
        <v>8</v>
      </c>
      <c r="C2" s="11" t="s">
        <v>22</v>
      </c>
      <c r="D2" s="11" t="s">
        <v>122</v>
      </c>
      <c r="E2" s="11" t="s">
        <v>26</v>
      </c>
      <c r="F2" s="11" t="s">
        <v>123</v>
      </c>
      <c r="G2" s="11" t="s">
        <v>31</v>
      </c>
      <c r="H2" s="11" t="s">
        <v>124</v>
      </c>
      <c r="I2" s="11" t="s">
        <v>23</v>
      </c>
    </row>
    <row r="3" spans="2:9">
      <c r="B3" s="10" t="s">
        <v>125</v>
      </c>
      <c r="C3" s="10" t="s">
        <v>43</v>
      </c>
      <c r="D3" s="10" t="s">
        <v>45</v>
      </c>
      <c r="E3" s="10" t="s">
        <v>126</v>
      </c>
      <c r="F3" s="10" t="s">
        <v>127</v>
      </c>
      <c r="G3" s="10" t="s">
        <v>128</v>
      </c>
      <c r="H3" s="10" t="s">
        <v>50</v>
      </c>
      <c r="I3" s="10" t="s">
        <v>129</v>
      </c>
    </row>
    <row r="4" spans="2:9">
      <c r="B4" s="10" t="s">
        <v>130</v>
      </c>
      <c r="C4" s="10" t="s">
        <v>131</v>
      </c>
      <c r="D4" s="10" t="s">
        <v>132</v>
      </c>
      <c r="E4" s="10" t="s">
        <v>47</v>
      </c>
      <c r="F4" s="10" t="s">
        <v>133</v>
      </c>
      <c r="G4" s="10" t="s">
        <v>134</v>
      </c>
      <c r="H4" s="10" t="s">
        <v>135</v>
      </c>
      <c r="I4" s="10" t="s">
        <v>136</v>
      </c>
    </row>
    <row r="5" spans="2:9">
      <c r="B5" s="10" t="s">
        <v>137</v>
      </c>
      <c r="C5" s="10" t="s">
        <v>138</v>
      </c>
      <c r="D5" s="10" t="s">
        <v>139</v>
      </c>
      <c r="E5" s="10" t="s">
        <v>140</v>
      </c>
      <c r="F5" s="10" t="s">
        <v>52</v>
      </c>
      <c r="G5" s="10" t="s">
        <v>52</v>
      </c>
      <c r="H5" s="10" t="s">
        <v>52</v>
      </c>
      <c r="I5" s="10" t="s">
        <v>44</v>
      </c>
    </row>
    <row r="6" spans="2:9">
      <c r="B6" s="10" t="s">
        <v>137</v>
      </c>
      <c r="C6" s="10" t="s">
        <v>141</v>
      </c>
      <c r="D6" s="10" t="s">
        <v>142</v>
      </c>
      <c r="E6" s="10" t="s">
        <v>143</v>
      </c>
      <c r="I6" s="10" t="s">
        <v>144</v>
      </c>
    </row>
    <row r="7" spans="2:9">
      <c r="C7" s="10" t="s">
        <v>145</v>
      </c>
      <c r="D7" s="10" t="s">
        <v>146</v>
      </c>
      <c r="E7" s="10" t="s">
        <v>147</v>
      </c>
      <c r="I7" s="10" t="s">
        <v>148</v>
      </c>
    </row>
    <row r="8" spans="2:9">
      <c r="C8" s="10" t="s">
        <v>149</v>
      </c>
      <c r="E8" s="10" t="s">
        <v>150</v>
      </c>
      <c r="I8" s="10" t="s">
        <v>151</v>
      </c>
    </row>
    <row r="9" spans="2:9">
      <c r="E9" s="10" t="s">
        <v>152</v>
      </c>
      <c r="I9" s="10" t="s">
        <v>153</v>
      </c>
    </row>
    <row r="11" spans="2:9">
      <c r="I11" s="10" t="s">
        <v>154</v>
      </c>
    </row>
    <row r="12" spans="2:9" ht="27.6">
      <c r="I12" s="10" t="s">
        <v>155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9B3EC5-1645-443A-9AB9-EFACFFBB850D}"/>
</file>

<file path=customXml/itemProps2.xml><?xml version="1.0" encoding="utf-8"?>
<ds:datastoreItem xmlns:ds="http://schemas.openxmlformats.org/officeDocument/2006/customXml" ds:itemID="{431C8B5B-7A06-4686-9F8A-E8F24EECD8B3}"/>
</file>

<file path=customXml/itemProps3.xml><?xml version="1.0" encoding="utf-8"?>
<ds:datastoreItem xmlns:ds="http://schemas.openxmlformats.org/officeDocument/2006/customXml" ds:itemID="{85503822-DF13-4051-A489-72B75648E37A}"/>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2025-07-03T15:56:57Z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