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https://addixo.sharepoint.com/COM/Documents partages/01 Clients/SKG/SF/05 Smart Factory 2022/2 Préparation Offre/"/>
    </mc:Choice>
  </mc:AlternateContent>
  <xr:revisionPtr revIDLastSave="362" documentId="8_{FF9190EB-7BA0-46E6-81EB-6DB904DB0DF6}" xr6:coauthVersionLast="47" xr6:coauthVersionMax="47" xr10:uidLastSave="{98F075C1-E586-48DC-860F-C43D2EAF99ED}"/>
  <bookViews>
    <workbookView xWindow="-120" yWindow="-120" windowWidth="20730" windowHeight="11040" tabRatio="620" xr2:uid="{00000000-000D-0000-FFFF-FFFF00000000}"/>
  </bookViews>
  <sheets>
    <sheet name="Gestion Exigences" sheetId="31" r:id="rId1"/>
    <sheet name="Modifs Doc" sheetId="29" r:id="rId2"/>
    <sheet name="Params" sheetId="30" r:id="rId3"/>
  </sheets>
  <definedNames>
    <definedName name="_xlnm.Print_Area" localSheetId="0">'Gestion Exigences'!$C$2:$I$26</definedName>
    <definedName name="_xlnm.Print_Area" localSheetId="1">'Modifs Doc'!$B$2:$G$18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6" i="29" l="1"/>
  <c r="C9" i="29"/>
  <c r="C10" i="29"/>
  <c r="B6" i="29"/>
  <c r="B7" i="29"/>
  <c r="B8" i="29"/>
  <c r="B9" i="29"/>
  <c r="B10" i="29"/>
  <c r="C5" i="29"/>
  <c r="B5" i="29"/>
  <c r="Q12" i="31"/>
  <c r="R12" i="31" s="1"/>
  <c r="S12" i="31" s="1"/>
  <c r="T12" i="31" s="1"/>
  <c r="U12" i="31" s="1"/>
  <c r="V12" i="31" s="1"/>
  <c r="W12" i="31" s="1"/>
  <c r="Q13" i="31"/>
  <c r="X13" i="31" s="1"/>
  <c r="Q14" i="31"/>
  <c r="X14" i="31" s="1"/>
  <c r="Q15" i="31"/>
  <c r="X15" i="31" s="1"/>
  <c r="Q16" i="31"/>
  <c r="X16" i="31" s="1"/>
  <c r="Q17" i="31"/>
  <c r="X17" i="31" s="1"/>
  <c r="Q18" i="31"/>
  <c r="X18" i="31" s="1"/>
  <c r="Q19" i="31"/>
  <c r="X19" i="31" s="1"/>
  <c r="Q20" i="31"/>
  <c r="X20" i="31" s="1"/>
  <c r="Q21" i="31"/>
  <c r="X21" i="31" s="1"/>
  <c r="Q22" i="31"/>
  <c r="X22" i="31" s="1"/>
  <c r="Q23" i="31"/>
  <c r="X23" i="31" s="1"/>
  <c r="Q24" i="31"/>
  <c r="X24" i="31" s="1"/>
  <c r="Q25" i="31"/>
  <c r="X25" i="31" s="1"/>
  <c r="Q26" i="31"/>
  <c r="X26" i="31" s="1"/>
  <c r="Q27" i="31"/>
  <c r="X27" i="31" s="1"/>
  <c r="Q28" i="31"/>
  <c r="X28" i="31" s="1"/>
  <c r="Q29" i="31"/>
  <c r="X29" i="31" s="1"/>
  <c r="Q30" i="31"/>
  <c r="X30" i="31" s="1"/>
  <c r="Q31" i="31"/>
  <c r="X31" i="31" s="1"/>
  <c r="Q32" i="31"/>
  <c r="X32" i="31" s="1"/>
  <c r="Q33" i="31"/>
  <c r="X33" i="31" s="1"/>
  <c r="Q34" i="31"/>
  <c r="X34" i="31" s="1"/>
  <c r="Q35" i="31"/>
  <c r="X35" i="31" s="1"/>
  <c r="Q36" i="31"/>
  <c r="X36" i="31" s="1"/>
  <c r="Q37" i="31"/>
  <c r="X37" i="31" s="1"/>
  <c r="Q38" i="31"/>
  <c r="X38" i="31" s="1"/>
  <c r="Q39" i="31"/>
  <c r="X39" i="31" s="1"/>
  <c r="Q40" i="31"/>
  <c r="X40" i="31" s="1"/>
  <c r="Q41" i="31"/>
  <c r="X41" i="31" s="1"/>
  <c r="Q42" i="31"/>
  <c r="X42" i="31" s="1"/>
  <c r="Q43" i="31"/>
  <c r="X43" i="31" s="1"/>
  <c r="Q44" i="31"/>
  <c r="X44" i="31" s="1"/>
  <c r="Q45" i="31"/>
  <c r="X45" i="31" s="1"/>
  <c r="X12" i="31" l="1"/>
  <c r="X46" i="31" s="1"/>
  <c r="Q46" i="31" l="1"/>
  <c r="P46" i="3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Mahdi Besbes</author>
  </authors>
  <commentList>
    <comment ref="I27" authorId="0" shapeId="0" xr:uid="{D1A5C4C1-B4AF-44EA-9441-9B923FF721BE}">
      <text>
        <r>
          <rPr>
            <b/>
            <sz val="9"/>
            <color indexed="81"/>
            <rFont val="Tahoma"/>
            <family val="2"/>
          </rPr>
          <t>Mahdi Besbes:</t>
        </r>
        <r>
          <rPr>
            <sz val="9"/>
            <color indexed="81"/>
            <rFont val="Tahoma"/>
            <family val="2"/>
          </rPr>
          <t xml:space="preserve">
à vérifier la disponibilité OPC
</t>
        </r>
      </text>
    </comment>
  </commentList>
</comments>
</file>

<file path=xl/sharedStrings.xml><?xml version="1.0" encoding="utf-8"?>
<sst xmlns="http://schemas.openxmlformats.org/spreadsheetml/2006/main" count="582" uniqueCount="227">
  <si>
    <t>Gestion Exigences Projet</t>
  </si>
  <si>
    <t>Chiffrage Réalisation SF</t>
  </si>
  <si>
    <t>Revue et Vérification pendant la Conception</t>
  </si>
  <si>
    <t>Client</t>
  </si>
  <si>
    <t>SKG</t>
  </si>
  <si>
    <t>Projet</t>
  </si>
  <si>
    <t>Réf BPA du Devis</t>
  </si>
  <si>
    <t>Réf BPA du Projet</t>
  </si>
  <si>
    <t>Réf Modèle Document</t>
  </si>
  <si>
    <t>MD203</t>
  </si>
  <si>
    <t>Strictement Confidentiel</t>
  </si>
  <si>
    <t>Version Modèle Document</t>
  </si>
  <si>
    <t>V1.0</t>
  </si>
  <si>
    <t>ID</t>
  </si>
  <si>
    <t>Exigence</t>
  </si>
  <si>
    <t>Nature</t>
  </si>
  <si>
    <t>Catégorie</t>
  </si>
  <si>
    <t>Description de l'exigence</t>
  </si>
  <si>
    <t>Source</t>
  </si>
  <si>
    <t>Ecart entre exigence client et la solution proposée - préciser aussi les limites et hypothèses si applicable</t>
  </si>
  <si>
    <t>Validation Interne</t>
  </si>
  <si>
    <t>Validation Interne par:</t>
  </si>
  <si>
    <t>Statut Client</t>
  </si>
  <si>
    <t>HJ Dev</t>
  </si>
  <si>
    <t>HJ Analyse et test</t>
  </si>
  <si>
    <t>Total HJ</t>
  </si>
  <si>
    <t>E001</t>
  </si>
  <si>
    <t>Fonctionnelle</t>
  </si>
  <si>
    <t>SF-Fonctionnelle</t>
  </si>
  <si>
    <t>Conception</t>
  </si>
  <si>
    <t>Workshop/réunion client</t>
  </si>
  <si>
    <t>MAJ webservices de lecture</t>
  </si>
  <si>
    <t>Validée</t>
  </si>
  <si>
    <t>Amani S.</t>
  </si>
  <si>
    <t>Non validée par client</t>
  </si>
  <si>
    <t xml:space="preserve">Retour de SF vers l'ERP de la MP consommées et théoriques </t>
  </si>
  <si>
    <t>RAS</t>
  </si>
  <si>
    <t>Permettre la déclaration des non conformités manuellement via SF avec une étape de validation</t>
  </si>
  <si>
    <t>Permettre le comptage auto des quantités produites via des signaux TOR</t>
  </si>
  <si>
    <t>E012</t>
  </si>
  <si>
    <t>E013</t>
  </si>
  <si>
    <t>Permettre la traçabilité des déclarations des non-conformité</t>
  </si>
  <si>
    <t>Suivre en temps réel les états des lignes ( indicateurs, progression OF)</t>
  </si>
  <si>
    <t>Permettre un historique des indicateurs de performance avec des filtres de recherche ( date, niveau)</t>
  </si>
  <si>
    <t>Gérer automatiquement les fiches d'approbation</t>
  </si>
  <si>
    <t>Gérer automatiquement les fiches de démarrage</t>
  </si>
  <si>
    <t>E025</t>
  </si>
  <si>
    <t>E026</t>
  </si>
  <si>
    <t>Exigence identifiée pendant la phase</t>
  </si>
  <si>
    <t>Oui/Non</t>
  </si>
  <si>
    <t>Statut Interne</t>
  </si>
  <si>
    <t>Commerciale</t>
  </si>
  <si>
    <t>CdC client</t>
  </si>
  <si>
    <t>Oui</t>
  </si>
  <si>
    <t>Validée par le client</t>
  </si>
  <si>
    <t>*** SE</t>
  </si>
  <si>
    <t>Performance</t>
  </si>
  <si>
    <t>Non</t>
  </si>
  <si>
    <t>Non validée</t>
  </si>
  <si>
    <t>SE-Processus</t>
  </si>
  <si>
    <t>Reglementaire</t>
  </si>
  <si>
    <t>Réalisation</t>
  </si>
  <si>
    <t>Workshop/réunion Interne</t>
  </si>
  <si>
    <t>N/A</t>
  </si>
  <si>
    <t>SE-Mécanique</t>
  </si>
  <si>
    <t>Sécurité</t>
  </si>
  <si>
    <t>Mise en œuvre</t>
  </si>
  <si>
    <t>Standards client</t>
  </si>
  <si>
    <t>SE-Electrique</t>
  </si>
  <si>
    <t>Standard Client</t>
  </si>
  <si>
    <t>Support et maintenance</t>
  </si>
  <si>
    <t>Standards ADDIXO</t>
  </si>
  <si>
    <t>SE-Soft</t>
  </si>
  <si>
    <t>Standard ADDIXO</t>
  </si>
  <si>
    <t>Reglementation</t>
  </si>
  <si>
    <t>SE-Auto</t>
  </si>
  <si>
    <t>Demande modification</t>
  </si>
  <si>
    <t>SE-Fabrication</t>
  </si>
  <si>
    <t>SE-Intégration</t>
  </si>
  <si>
    <t>SE-Achats</t>
  </si>
  <si>
    <t>*** SF</t>
  </si>
  <si>
    <t>SF-Processus</t>
  </si>
  <si>
    <t>SF-Connectivité Machine</t>
  </si>
  <si>
    <t>SF-Intégration SI</t>
  </si>
  <si>
    <t>SF-Software</t>
  </si>
  <si>
    <t>SF-Infra IT</t>
  </si>
  <si>
    <t>*** TC</t>
  </si>
  <si>
    <t>TC-Prestations sur site client</t>
  </si>
  <si>
    <t xml:space="preserve"> </t>
  </si>
  <si>
    <t>Version</t>
  </si>
  <si>
    <t>Date</t>
  </si>
  <si>
    <t>Modifications</t>
  </si>
  <si>
    <t>Auteur(s)</t>
  </si>
  <si>
    <t>Vérificateur(s)</t>
  </si>
  <si>
    <t>Approbateur</t>
  </si>
  <si>
    <t>Voir si on peut la remplacer par la fiche de qualification et les fiches ok démarrage/redémarrage</t>
  </si>
  <si>
    <t>Retour de SF vers l'ERP des quantités produites, nok avec les défauts identifiés (SOF PF)</t>
  </si>
  <si>
    <t>Permettre d'avoir des code QR 2D</t>
  </si>
  <si>
    <t xml:space="preserve">Développement du complément </t>
  </si>
  <si>
    <t>Lecture des OF planifiés à partir de l'ERP</t>
  </si>
  <si>
    <t>Lecture des nomenclatures  à partir de l'ERP</t>
  </si>
  <si>
    <t>Gérer automatiquement les fiches 6S</t>
  </si>
  <si>
    <t>Total HJ2</t>
  </si>
  <si>
    <t>Total HJ3</t>
  </si>
  <si>
    <t>Total HJ4</t>
  </si>
  <si>
    <t>Total HJ5</t>
  </si>
  <si>
    <t>Total HJ6</t>
  </si>
  <si>
    <t>Total HJ7</t>
  </si>
  <si>
    <t>Spécifications</t>
  </si>
  <si>
    <t>Migration</t>
  </si>
  <si>
    <t>Nouvelle demande</t>
  </si>
  <si>
    <t>Migration SF 2022</t>
  </si>
  <si>
    <t xml:space="preserve">Lecture des OF </t>
  </si>
  <si>
    <t>E002</t>
  </si>
  <si>
    <t xml:space="preserve">Gestion des OF </t>
  </si>
  <si>
    <t>Déclaration des quantités produites</t>
  </si>
  <si>
    <t xml:space="preserve">Déclaration des non conformités </t>
  </si>
  <si>
    <t xml:space="preserve">Déclaration des arrêts </t>
  </si>
  <si>
    <t xml:space="preserve">Comptage des quantités produites via des signaux TOR </t>
  </si>
  <si>
    <t xml:space="preserve">Détection automatique des arrêts ainsi que la récupération des causes à partir de l'automate des machines ARBURG via OPC </t>
  </si>
  <si>
    <t xml:space="preserve">Permettre la détection automatique  des non-conformités via signal TOR si disponible </t>
  </si>
  <si>
    <t>Historisation et traçabilité des déclarations des non-conformités</t>
  </si>
  <si>
    <t>Suivi en temps réel les états des lignes ( indicateurs, progression OF)</t>
  </si>
  <si>
    <t>Historisation des indicateurs de performance avec des filtres de recherche ( date, niveau)</t>
  </si>
  <si>
    <t>Gestion des fiches 6S</t>
  </si>
  <si>
    <t>Gestion des fiches d'approbation</t>
  </si>
  <si>
    <t>Gestion des fiches de démarrage</t>
  </si>
  <si>
    <t>Gestion des codes QR 2D</t>
  </si>
  <si>
    <t>Permettre la configuration des tem plates des étiquettes à imprimer par client</t>
  </si>
  <si>
    <t>Adaptation pour la configuration des tem plates des étiquettes par client ( produit)</t>
  </si>
  <si>
    <t>Visualisation des OF et des OM planifiés dans le même graphe</t>
  </si>
  <si>
    <t>Permettre la visualisation des OF et des OM planifiés dans le même graphe</t>
  </si>
  <si>
    <t>Lecture et écriture des OM</t>
  </si>
  <si>
    <t>Adaptations 2 webservices</t>
  </si>
  <si>
    <t>Exigence indéfiée pendant la phase</t>
  </si>
  <si>
    <t>Description de la solution ADDIXO</t>
  </si>
  <si>
    <t>MAJ webservices écriture</t>
  </si>
  <si>
    <t>Retour de SF vers l'ERP  des durées de fonctionnement et des arrêts</t>
  </si>
  <si>
    <t>Retour de SF vers l'ERP des durées de fonctionnement et des arrêts ( SOF temps )</t>
  </si>
  <si>
    <t xml:space="preserve">Configurer la liste des E/S, lignes, postes, machines, panels, panne, défaut, causes d'arrêt, seuils, shifts, équipes, utilisateurs, client, produit et OPC </t>
  </si>
  <si>
    <t xml:space="preserve">Configuration la matrice des rôles pour les accès </t>
  </si>
  <si>
    <t xml:space="preserve">Configurer la matrice des rôles pour les accès </t>
  </si>
  <si>
    <t>Gérer les OF ( lancement, suspension, clôture) via SF</t>
  </si>
  <si>
    <t>Permettre la déclaration des quantités produites manuellement via SF</t>
  </si>
  <si>
    <t>Permettre le déclenchement manuel des arrêts via SF avec la précision des causes à la reprise</t>
  </si>
  <si>
    <t>Adaptation lecture quantité produite via OPC partie EDGE  : équivalent au traitement des relais</t>
  </si>
  <si>
    <t xml:space="preserve">Permettre la détection automatique   des arrêts ainsi que la récupération des causes à partir de l'automate des machines ARBURG via OPC </t>
  </si>
  <si>
    <t>Adaptation lecture des causes des arrêts via OPC partie EDGE</t>
  </si>
  <si>
    <t>Détection automatique des arrêts en cas d'absence de production pendant X temps</t>
  </si>
  <si>
    <t>Permettre la détection automatique  des arrêts en cas d'absence de production pendant X temps ( absence de signal de prod pour x temps, x étant configurable)</t>
  </si>
  <si>
    <t xml:space="preserve">Permettre la détection des non-conformité via relais partie Edge </t>
  </si>
  <si>
    <t>Historisation et traçabilité des arrêts avec les causes identifiées et les durées</t>
  </si>
  <si>
    <t>Permettre la traçabilité des arrêts avec les causes identifiées et les durées</t>
  </si>
  <si>
    <t>Gérer automatiquement les QRQC</t>
  </si>
  <si>
    <t>Gestion de la liaison entre les fiches de suivi des critères dimensionnels et la MSP</t>
  </si>
  <si>
    <t>Permettre la liaison entre les fiches suivi des critères dimensionnels et la MSP</t>
  </si>
  <si>
    <t>Permettre le téléchargement des sigles pour le cas des caractéristiques spéciaux ( critère dimensionnels)</t>
  </si>
  <si>
    <t>Ajouter cette option au niveau des critères dimensionnels</t>
  </si>
  <si>
    <t>Intégration le module de lecture des paramètres process via OPC et leurs historisation par OF via SF</t>
  </si>
  <si>
    <t>Intégrer le module de lecture des paramètres process via OPC et leurs historisation par OF via SF</t>
  </si>
  <si>
    <t>Gestion des notifications ( suite arrêt, suite taux de rebut élevé)</t>
  </si>
  <si>
    <t>Gérer automatiquement les notifications ( suite arrêt, suite taux de rebut élevé)</t>
  </si>
  <si>
    <t>Gestion du flux entre la maintenance et la production ( Arret,DI et FI)</t>
  </si>
  <si>
    <t>Gérer automatiquement le flux entre la maintenance et la production ( Arret,DI et FI)</t>
  </si>
  <si>
    <t>Intégrer le module end of line : adaptation pour la liaison avec l'of</t>
  </si>
  <si>
    <t>Configuration des tem plates des étiquettes à imprimer par client</t>
  </si>
  <si>
    <t xml:space="preserve">Lecture des OF planifiés à partir de l'ERP via des webservices de lecture </t>
  </si>
  <si>
    <t xml:space="preserve">Lecture des nomenclatures  à partir de l'ERP via un webservice </t>
  </si>
  <si>
    <t>Retour de SF avec nom ligne vers l'ERP des quantités produites, nok avec les défauts identifiés (SOF PF)</t>
  </si>
  <si>
    <t>Retour de SF avec nom ligne vers l'ERP des durées de fonctionnement et des arrêts ( SOF temps )</t>
  </si>
  <si>
    <t xml:space="preserve">Retour de SF avec nom ligne vers l'ERP de la MP consommées et théoriques </t>
  </si>
  <si>
    <t>Configuration  les entités fonctionnels et métiers du client</t>
  </si>
  <si>
    <t xml:space="preserve">Mettre à jour la liste  E/S, lignes, postes, machines, panels, panne, défaut, causes d'arrêt, seuils, shifts, équipes, utilisateurs, client, produit et OPC </t>
  </si>
  <si>
    <t>E003</t>
  </si>
  <si>
    <t>E004</t>
  </si>
  <si>
    <t>E005</t>
  </si>
  <si>
    <t>E006</t>
  </si>
  <si>
    <t>E007</t>
  </si>
  <si>
    <t>E008</t>
  </si>
  <si>
    <t>E009</t>
  </si>
  <si>
    <t>E010</t>
  </si>
  <si>
    <t>E011</t>
  </si>
  <si>
    <t>E014</t>
  </si>
  <si>
    <t>E015</t>
  </si>
  <si>
    <t>E016</t>
  </si>
  <si>
    <t>E017</t>
  </si>
  <si>
    <t>E018</t>
  </si>
  <si>
    <t>E019</t>
  </si>
  <si>
    <t>E020</t>
  </si>
  <si>
    <t>E021</t>
  </si>
  <si>
    <t>E022</t>
  </si>
  <si>
    <t>E023</t>
  </si>
  <si>
    <t>E024</t>
  </si>
  <si>
    <t>E027</t>
  </si>
  <si>
    <t>E028</t>
  </si>
  <si>
    <t>E029</t>
  </si>
  <si>
    <t>E030</t>
  </si>
  <si>
    <t>E031</t>
  </si>
  <si>
    <t>E032</t>
  </si>
  <si>
    <t>E033</t>
  </si>
  <si>
    <t>E034</t>
  </si>
  <si>
    <t xml:space="preserve">Utilisation du module Standard Smart Factory </t>
  </si>
  <si>
    <t xml:space="preserve">Utilisation du module Standard Smart Factory pour configurer la matrice des rôles </t>
  </si>
  <si>
    <t xml:space="preserve">Adaptation de la lecture et écriture des OM par des webservices </t>
  </si>
  <si>
    <t>Permettre la lecture automatique des quantités produites via OPC pour les machines ARBURG</t>
  </si>
  <si>
    <t>Lecture automatique  des quantités produites pour les machines ARBURG</t>
  </si>
  <si>
    <t xml:space="preserve">Détection automatique des arrêts </t>
  </si>
  <si>
    <t>Détection automatique  des non-conformités</t>
  </si>
  <si>
    <t xml:space="preserve">Permettre la gestion des fiches 6S </t>
  </si>
  <si>
    <t>Permettre la gestion des fiches d'approbation</t>
  </si>
  <si>
    <t xml:space="preserve">Télécharger les sigles pour le cas des caractéristiques spéciaux ( critère dimensionnels) </t>
  </si>
  <si>
    <t>Téléchargement des sigles</t>
  </si>
  <si>
    <t>Gestion des étiquettes et leurs impression</t>
  </si>
  <si>
    <t>Gérer les étiquettes et leurs impression et faire la liaison avec les OF</t>
  </si>
  <si>
    <t>Gestion des QRQC</t>
  </si>
  <si>
    <t>Retour de SF vers l'ERP  des quantités produitesnok avec les défauts identifiés (SOF PF)</t>
  </si>
  <si>
    <t xml:space="preserve">Phase </t>
  </si>
  <si>
    <t>Phase 1</t>
  </si>
  <si>
    <t xml:space="preserve">Permettre la création auto des 6S selon les fréquences paramétrées </t>
  </si>
  <si>
    <t>Phase 2</t>
  </si>
  <si>
    <t>Intégrer le module end of line pour gérer les étiquettes et leur impression</t>
  </si>
  <si>
    <t>Création d'un webservice pour la lecture des nomenclatures
Assurer le stockage de la consommation théorique et réelle</t>
  </si>
  <si>
    <t>Mahdi B.</t>
  </si>
  <si>
    <t xml:space="preserve">Version initiale </t>
  </si>
  <si>
    <t>Nihel K.</t>
  </si>
  <si>
    <t>V1.1</t>
  </si>
  <si>
    <t>Mise à jour des exigences après la réunion de 27/01/2023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</si>
</sst>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0"/>
      <name val="Arial"/>
    </font>
    <font>
      <sz val="10"/>
      <name val="Calibri Light"/>
      <family val="2"/>
      <scheme val="major"/>
    </font>
    <font>
      <sz val="11"/>
      <name val="Calibri Light"/>
      <family val="2"/>
      <scheme val="major"/>
    </font>
    <font>
      <b/>
      <sz val="14"/>
      <name val="Calibri Light"/>
      <family val="2"/>
      <scheme val="major"/>
    </font>
    <font>
      <b/>
      <sz val="11"/>
      <name val="Calibri Light"/>
      <family val="2"/>
      <scheme val="major"/>
    </font>
    <font>
      <b/>
      <sz val="11"/>
      <name val="Calibri Light"/>
      <family val="2"/>
    </font>
    <font>
      <sz val="11"/>
      <name val="Arial"/>
      <family val="2"/>
    </font>
    <font>
      <sz val="11"/>
      <name val="Calibri Light"/>
      <family val="2"/>
    </font>
    <font>
      <b/>
      <sz val="12"/>
      <name val="Calibri Light"/>
      <family val="2"/>
    </font>
    <font>
      <sz val="10"/>
      <color theme="1"/>
      <name val="Calibri Light"/>
      <family val="2"/>
      <scheme val="major"/>
    </font>
    <font>
      <b/>
      <sz val="10"/>
      <name val="Calibri Light"/>
      <family val="2"/>
      <scheme val="major"/>
    </font>
    <font>
      <b/>
      <sz val="14"/>
      <color theme="0"/>
      <name val="Calibri Light"/>
      <family val="2"/>
      <scheme val="major"/>
    </font>
    <font>
      <sz val="8"/>
      <name val="Calibri Light"/>
      <family val="2"/>
      <scheme val="major"/>
    </font>
    <font>
      <b/>
      <sz val="11"/>
      <color theme="2" tint="-0.89999084444715716"/>
      <name val="Calibri Light"/>
      <family val="2"/>
    </font>
    <font>
      <b/>
      <sz val="14"/>
      <color rgb="FFFF0000"/>
      <name val="Calibri Light"/>
      <family val="2"/>
      <scheme val="major"/>
    </font>
    <font>
      <sz val="8"/>
      <name val="Arial"/>
      <family val="2"/>
    </font>
    <font>
      <sz val="10"/>
      <name val="Calibri Light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6"/>
      <name val="Calibri Light"/>
      <family val="2"/>
      <scheme val="major"/>
    </font>
    <font>
      <sz val="6"/>
      <name val="Calibri Light"/>
      <family val="2"/>
    </font>
  </fonts>
  <fills count="6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/>
      <top style="thin">
        <color theme="1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5" fillId="0" borderId="0" xfId="0" applyFont="1" applyAlignment="1">
      <alignment horizontal="left" vertical="center" wrapText="1"/>
    </xf>
    <xf numFmtId="0" fontId="6" fillId="0" borderId="0" xfId="0" applyFont="1" applyAlignment="1">
      <alignment wrapText="1"/>
    </xf>
    <xf numFmtId="0" fontId="7" fillId="0" borderId="0" xfId="0" applyFont="1" applyAlignment="1">
      <alignment vertical="center" wrapText="1"/>
    </xf>
    <xf numFmtId="14" fontId="7" fillId="0" borderId="0" xfId="0" applyNumberFormat="1" applyFont="1" applyAlignment="1">
      <alignment vertical="center" wrapText="1"/>
    </xf>
    <xf numFmtId="0" fontId="10" fillId="0" borderId="0" xfId="0" applyFont="1" applyAlignment="1">
      <alignment horizontal="center" wrapText="1"/>
    </xf>
    <xf numFmtId="0" fontId="12" fillId="0" borderId="0" xfId="0" applyFont="1" applyAlignment="1">
      <alignment wrapText="1"/>
    </xf>
    <xf numFmtId="0" fontId="1" fillId="0" borderId="0" xfId="0" applyFont="1" applyAlignment="1">
      <alignment vertical="center" wrapText="1"/>
    </xf>
    <xf numFmtId="0" fontId="10" fillId="0" borderId="0" xfId="0" applyFont="1" applyAlignment="1">
      <alignment vertical="center" wrapText="1"/>
    </xf>
    <xf numFmtId="0" fontId="13" fillId="3" borderId="0" xfId="0" applyFont="1" applyFill="1" applyAlignment="1">
      <alignment horizontal="center" vertical="center" wrapText="1"/>
    </xf>
    <xf numFmtId="0" fontId="9" fillId="4" borderId="2" xfId="0" applyFont="1" applyFill="1" applyBorder="1" applyAlignment="1">
      <alignment vertical="center" wrapText="1"/>
    </xf>
    <xf numFmtId="0" fontId="9" fillId="3" borderId="1" xfId="0" applyFont="1" applyFill="1" applyBorder="1" applyAlignment="1">
      <alignment vertical="center" wrapText="1"/>
    </xf>
    <xf numFmtId="0" fontId="9" fillId="3" borderId="2" xfId="0" applyFont="1" applyFill="1" applyBorder="1" applyAlignment="1">
      <alignment vertical="center" wrapText="1"/>
    </xf>
    <xf numFmtId="0" fontId="9" fillId="3" borderId="3" xfId="0" applyFont="1" applyFill="1" applyBorder="1" applyAlignment="1">
      <alignment vertical="center" wrapText="1"/>
    </xf>
    <xf numFmtId="0" fontId="9" fillId="0" borderId="0" xfId="0" applyFont="1" applyAlignment="1">
      <alignment wrapText="1"/>
    </xf>
    <xf numFmtId="0" fontId="9" fillId="0" borderId="0" xfId="0" applyFont="1" applyAlignment="1">
      <alignment vertical="center" wrapText="1"/>
    </xf>
    <xf numFmtId="0" fontId="14" fillId="0" borderId="0" xfId="0" applyFont="1" applyAlignment="1">
      <alignment wrapText="1"/>
    </xf>
    <xf numFmtId="0" fontId="1" fillId="5" borderId="0" xfId="0" applyFont="1" applyFill="1" applyAlignment="1">
      <alignment vertical="center" wrapText="1"/>
    </xf>
    <xf numFmtId="0" fontId="16" fillId="0" borderId="0" xfId="0" applyFont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19" fillId="0" borderId="0" xfId="0" applyFont="1" applyAlignment="1">
      <alignment wrapText="1"/>
    </xf>
    <xf numFmtId="0" fontId="20" fillId="0" borderId="0" xfId="0" applyFont="1" applyAlignment="1">
      <alignment horizontal="left" vertical="center" wrapText="1"/>
    </xf>
    <xf numFmtId="14" fontId="2" fillId="0" borderId="0" xfId="0" applyNumberFormat="1" applyFont="1" applyAlignment="1">
      <alignment wrapText="1"/>
    </xf>
    <xf numFmtId="0" fontId="4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center" wrapText="1"/>
    </xf>
    <xf numFmtId="0" fontId="3" fillId="3" borderId="2" xfId="0" applyFont="1" applyFill="1" applyBorder="1" applyAlignment="1">
      <alignment horizontal="center" wrapText="1"/>
    </xf>
    <xf numFmtId="0" fontId="3" fillId="3" borderId="3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 wrapText="1"/>
    </xf>
    <xf numFmtId="0" fontId="3" fillId="4" borderId="2" xfId="0" applyFont="1" applyFill="1" applyBorder="1" applyAlignment="1">
      <alignment horizontal="center" wrapText="1"/>
    </xf>
    <xf numFmtId="0" fontId="11" fillId="2" borderId="5" xfId="0" applyFont="1" applyFill="1" applyBorder="1" applyAlignment="1">
      <alignment horizontal="center" wrapText="1"/>
    </xf>
    <xf numFmtId="0" fontId="11" fillId="2" borderId="4" xfId="0" applyFont="1" applyFill="1" applyBorder="1" applyAlignment="1">
      <alignment horizontal="center" wrapText="1"/>
    </xf>
    <xf numFmtId="0" fontId="8" fillId="3" borderId="1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5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major"/>
      </font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major"/>
      </font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major"/>
      </font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major"/>
      </font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major"/>
      </font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major"/>
      </font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major"/>
      </font>
      <alignment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2" tint="-0.89999084444715716"/>
        <name val="Calibri Light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none"/>
      </font>
      <numFmt numFmtId="0" formatCode="General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0" formatCode="General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D7C8C32-67DD-408B-AF86-90BADF9C2785}" name="Tableau32" displayName="Tableau32" ref="B11:X46" totalsRowCount="1" headerRowDxfId="55" dataDxfId="54">
  <autoFilter ref="B11:X45" xr:uid="{DDEA2C8B-EE0D-4C55-9256-CCC64E002CE6}">
    <filterColumn colId="9">
      <filters>
        <filter val="Phase 1"/>
      </filters>
    </filterColumn>
    <filterColumn colId="14">
      <filters>
        <filter val="1"/>
        <filter val="10"/>
        <filter val="2"/>
        <filter val="3"/>
        <filter val="4"/>
        <filter val="5"/>
      </filters>
    </filterColumn>
  </autoFilter>
  <tableColumns count="23">
    <tableColumn id="1" xr3:uid="{1F19E000-7BD4-483E-A3CA-58D3882D7D93}" name="ID" dataDxfId="53" totalsRowDxfId="52"/>
    <tableColumn id="2" xr3:uid="{02DBD4A9-1A96-42DB-8DC4-0C6281C05B29}" name="Exigence" dataDxfId="51" totalsRowDxfId="50"/>
    <tableColumn id="8" xr3:uid="{2F4C35D3-A626-416F-B250-1AB8771F4885}" name="Nature" dataDxfId="49" totalsRowDxfId="48"/>
    <tableColumn id="7" xr3:uid="{5807439A-1B91-4C1E-AF19-44DCB123874D}" name="Catégorie" dataDxfId="47" totalsRowDxfId="46"/>
    <tableColumn id="10" xr3:uid="{E461AF6E-7144-4867-A7F0-DD62FA385A24}" name="Exigence indéfiée pendant la phase" dataDxfId="45" totalsRowDxfId="44"/>
    <tableColumn id="3" xr3:uid="{0BBB5C48-62E1-4C23-A41C-59BF2341D0F7}" name="Description de l'exigence" dataDxfId="43" totalsRowDxfId="42"/>
    <tableColumn id="9" xr3:uid="{026CD06F-4A2A-44B7-9F3E-46B81B2EC41E}" name="Source" dataDxfId="41" totalsRowDxfId="40"/>
    <tableColumn id="16" xr3:uid="{2972B834-FF13-40B6-A516-C69A004BE1DA}" name="Description de la solution ADDIXO" dataDxfId="39" totalsRowDxfId="38"/>
    <tableColumn id="17" xr3:uid="{227B5886-F971-4A23-BDBB-A94171E823DA}" name="Ecart entre exigence client et la solution proposée - préciser aussi les limites et hypothèses si applicable" dataDxfId="37" totalsRowDxfId="36"/>
    <tableColumn id="23" xr3:uid="{D08C348A-ADB6-4D05-9CAC-911C71F3A913}" name="Phase " dataDxfId="35" totalsRowDxfId="34"/>
    <tableColumn id="20" xr3:uid="{BEEB026C-E68F-4554-96A6-9A6D7CBAC63A}" name="Spécifications" dataDxfId="33" totalsRowDxfId="32"/>
    <tableColumn id="5" xr3:uid="{990A1862-555C-42DA-99E2-B221561DBA4D}" name="Validation Interne" dataDxfId="31" totalsRowDxfId="30"/>
    <tableColumn id="6" xr3:uid="{CEB40428-8D2C-4F6F-85CB-B43E484892BC}" name="Validation Interne par:" dataDxfId="29" totalsRowDxfId="28"/>
    <tableColumn id="15" xr3:uid="{3B66EB55-4C7F-42A3-AAC0-EFD45ABE7C69}" name="Statut Client" dataDxfId="27" totalsRowDxfId="26"/>
    <tableColumn id="22" xr3:uid="{3579520F-E4D1-4E2C-BF9F-B3AB7BCDFD34}" name="HJ Dev" totalsRowFunction="sum" dataDxfId="25" totalsRowDxfId="24"/>
    <tableColumn id="21" xr3:uid="{6DEA5134-1DED-4DFE-969A-1BEE6C0B51CC}" name="HJ Analyse et test" totalsRowFunction="sum" dataDxfId="23" totalsRowDxfId="22">
      <calculatedColumnFormula>Tableau32[[#This Row],[HJ Dev]]*(25%+50%)</calculatedColumnFormula>
    </tableColumn>
    <tableColumn id="11" xr3:uid="{7BB7ADDD-1856-4F83-952E-5B3BC318E160}" name="Total HJ2" dataDxfId="21" totalsRowDxfId="20"/>
    <tableColumn id="12" xr3:uid="{5CBD75F5-ABAE-4252-91AF-9D0D46121F48}" name="Total HJ3" dataDxfId="19" totalsRowDxfId="18"/>
    <tableColumn id="13" xr3:uid="{1CC08F2C-3855-4EAF-A5CB-93CE7B8325F6}" name="Total HJ4" dataDxfId="17" totalsRowDxfId="16"/>
    <tableColumn id="14" xr3:uid="{085B83E7-FBEC-435A-9EF2-4E793765781E}" name="Total HJ5" dataDxfId="15" totalsRowDxfId="14"/>
    <tableColumn id="18" xr3:uid="{D39D449A-45FE-44DD-A5FF-2FA6C7841846}" name="Total HJ6" dataDxfId="13" totalsRowDxfId="12"/>
    <tableColumn id="4" xr3:uid="{6D75BFE0-6317-48E3-9812-183E172DCF29}" name="Total HJ7" dataDxfId="11" totalsRowDxfId="10"/>
    <tableColumn id="19" xr3:uid="{A6B85D7C-E236-49DB-A4B9-B3FCDEF457FF}" name="Total HJ" totalsRowFunction="sum" dataDxfId="9" totalsRowDxfId="8">
      <calculatedColumnFormula>Tableau32[[#This Row],[HJ Dev]]+Tableau32[[#This Row],[HJ Analyse et test]]</calculatedColumnFormula>
    </tableColumn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6AD1385-A1F5-4391-ABC2-C9F250557626}" name="Tableau325" displayName="Tableau325" ref="B13:G18" totalsRowShown="0" headerRowDxfId="7" dataDxfId="6">
  <autoFilter ref="B13:G18" xr:uid="{96AD1385-A1F5-4391-ABC2-C9F250557626}"/>
  <tableColumns count="6">
    <tableColumn id="1" xr3:uid="{56DA355E-F205-482A-9CF1-CA3361A1D801}" name="Version" dataDxfId="5"/>
    <tableColumn id="2" xr3:uid="{C9D8A0D7-1D6E-479B-AF74-6D39D19E4653}" name="Date" dataDxfId="4"/>
    <tableColumn id="3" xr3:uid="{79109713-8A38-4162-A269-136157905B75}" name="Modifications" dataDxfId="3"/>
    <tableColumn id="4" xr3:uid="{AC928B3E-399C-4A3D-9FB5-9CD96F5D4745}" name="Auteur(s)" dataDxfId="2"/>
    <tableColumn id="5" xr3:uid="{0D0A428D-4F18-4D4E-A0CB-4D1A5057B6E9}" name="Vérificateur(s)" dataDxfId="1"/>
    <tableColumn id="6" xr3:uid="{D81EAB57-FBCA-44D9-8F45-58AF13AA08B6}" name="Approbateur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76395-327A-4BB7-A069-CAE56FFE2D6E}">
  <sheetPr>
    <pageSetUpPr fitToPage="1"/>
  </sheetPr>
  <dimension ref="B1:X46"/>
  <sheetViews>
    <sheetView tabSelected="1" topLeftCell="B11" zoomScale="80" zoomScaleNormal="80" workbookViewId="0">
      <selection activeCell="G12" sqref="G12"/>
    </sheetView>
  </sheetViews>
  <sheetFormatPr baseColWidth="10" defaultColWidth="11.42578125" defaultRowHeight="12.75" x14ac:dyDescent="0.2"/>
  <cols>
    <col min="1" max="1" width="0" style="1" hidden="1" customWidth="1"/>
    <col min="2" max="2" width="6.140625" style="1" customWidth="1"/>
    <col min="3" max="3" width="23.42578125" style="1" customWidth="1"/>
    <col min="4" max="4" width="12.85546875" style="1" customWidth="1"/>
    <col min="5" max="5" width="12.42578125" style="1" bestFit="1" customWidth="1"/>
    <col min="6" max="6" width="13.42578125" style="1" bestFit="1" customWidth="1"/>
    <col min="7" max="7" width="39.5703125" style="1" customWidth="1"/>
    <col min="8" max="8" width="9.7109375" style="1" customWidth="1"/>
    <col min="9" max="9" width="36.85546875" style="1" customWidth="1"/>
    <col min="10" max="10" width="35.5703125" style="1" bestFit="1" customWidth="1"/>
    <col min="11" max="11" width="14" style="1" customWidth="1"/>
    <col min="12" max="12" width="16" style="1" customWidth="1"/>
    <col min="13" max="14" width="13.5703125" style="1" customWidth="1"/>
    <col min="15" max="15" width="15.28515625" style="1" customWidth="1"/>
    <col min="16" max="16" width="13.28515625" style="1" customWidth="1"/>
    <col min="17" max="17" width="11.42578125" style="1" customWidth="1"/>
    <col min="18" max="18" width="28.140625" style="1" hidden="1" customWidth="1"/>
    <col min="19" max="19" width="15.7109375" style="1" hidden="1" customWidth="1"/>
    <col min="20" max="20" width="14.28515625" style="1" hidden="1" customWidth="1"/>
    <col min="21" max="21" width="15.140625" style="1" hidden="1" customWidth="1"/>
    <col min="22" max="22" width="26" style="1" hidden="1" customWidth="1"/>
    <col min="23" max="23" width="30.85546875" style="1" hidden="1" customWidth="1"/>
    <col min="24" max="16384" width="11.42578125" style="1"/>
  </cols>
  <sheetData>
    <row r="1" spans="2:24" ht="13.5" thickBot="1" x14ac:dyDescent="0.25"/>
    <row r="2" spans="2:24" ht="21.75" customHeight="1" thickBot="1" x14ac:dyDescent="0.35">
      <c r="B2" s="27" t="s">
        <v>0</v>
      </c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9"/>
      <c r="P2" s="30" t="s">
        <v>1</v>
      </c>
      <c r="Q2" s="31"/>
      <c r="R2" s="32" t="s">
        <v>2</v>
      </c>
      <c r="S2" s="33"/>
      <c r="T2" s="33"/>
      <c r="U2" s="33"/>
      <c r="V2" s="33"/>
      <c r="W2" s="33"/>
    </row>
    <row r="3" spans="2:24" ht="21.75" customHeight="1" x14ac:dyDescent="0.2">
      <c r="C3" s="8"/>
      <c r="D3" s="8"/>
      <c r="E3" s="8"/>
      <c r="F3" s="8"/>
      <c r="G3" s="8"/>
      <c r="H3" s="8"/>
      <c r="I3" s="8"/>
    </row>
    <row r="4" spans="2:24" ht="21.75" customHeight="1" x14ac:dyDescent="0.25">
      <c r="C4" s="3" t="s">
        <v>3</v>
      </c>
      <c r="D4" s="26" t="s">
        <v>4</v>
      </c>
      <c r="E4" s="26"/>
      <c r="F4" s="26"/>
      <c r="G4" s="26"/>
      <c r="H4" s="26"/>
      <c r="I4" s="26"/>
    </row>
    <row r="5" spans="2:24" ht="15" x14ac:dyDescent="0.25">
      <c r="C5" s="3" t="s">
        <v>5</v>
      </c>
      <c r="D5" s="26" t="s">
        <v>111</v>
      </c>
      <c r="E5" s="26"/>
      <c r="F5" s="26"/>
      <c r="G5" s="26"/>
      <c r="H5" s="26"/>
      <c r="I5" s="26"/>
    </row>
    <row r="6" spans="2:24" ht="15" x14ac:dyDescent="0.25">
      <c r="C6" s="3" t="s">
        <v>6</v>
      </c>
      <c r="D6" s="26"/>
      <c r="E6" s="26"/>
      <c r="F6" s="26"/>
      <c r="G6" s="26"/>
      <c r="H6" s="26"/>
      <c r="I6" s="26"/>
    </row>
    <row r="7" spans="2:24" ht="15" x14ac:dyDescent="0.25">
      <c r="C7" s="3" t="s">
        <v>7</v>
      </c>
      <c r="D7" s="26"/>
      <c r="E7" s="26"/>
      <c r="F7" s="26"/>
      <c r="G7" s="26"/>
      <c r="H7" s="26"/>
      <c r="I7" s="26"/>
    </row>
    <row r="8" spans="2:24" ht="18.75" x14ac:dyDescent="0.3">
      <c r="C8" s="23" t="s">
        <v>8</v>
      </c>
      <c r="D8" s="23" t="s">
        <v>9</v>
      </c>
      <c r="E8" s="9"/>
      <c r="F8" s="9"/>
      <c r="I8" s="19" t="s">
        <v>10</v>
      </c>
    </row>
    <row r="9" spans="2:24" x14ac:dyDescent="0.2">
      <c r="C9" s="23" t="s">
        <v>11</v>
      </c>
      <c r="D9" s="23" t="s">
        <v>12</v>
      </c>
      <c r="E9" s="9"/>
      <c r="F9" s="9"/>
    </row>
    <row r="10" spans="2:24" ht="13.5" thickBot="1" x14ac:dyDescent="0.25"/>
    <row r="11" spans="2:24" s="10" customFormat="1" ht="54.75" customHeight="1" thickBot="1" x14ac:dyDescent="0.25">
      <c r="B11" s="14" t="s">
        <v>13</v>
      </c>
      <c r="C11" s="15" t="s">
        <v>14</v>
      </c>
      <c r="D11" s="15" t="s">
        <v>15</v>
      </c>
      <c r="E11" s="15" t="s">
        <v>16</v>
      </c>
      <c r="F11" s="15" t="s">
        <v>134</v>
      </c>
      <c r="G11" s="15" t="s">
        <v>17</v>
      </c>
      <c r="H11" s="15" t="s">
        <v>18</v>
      </c>
      <c r="I11" s="15" t="s">
        <v>135</v>
      </c>
      <c r="J11" s="15" t="s">
        <v>19</v>
      </c>
      <c r="K11" s="15" t="s">
        <v>216</v>
      </c>
      <c r="L11" s="15" t="s">
        <v>108</v>
      </c>
      <c r="M11" s="15" t="s">
        <v>20</v>
      </c>
      <c r="N11" s="15" t="s">
        <v>21</v>
      </c>
      <c r="O11" s="16" t="s">
        <v>22</v>
      </c>
      <c r="P11" s="13" t="s">
        <v>23</v>
      </c>
      <c r="Q11" s="13" t="s">
        <v>24</v>
      </c>
      <c r="R11" s="13" t="s">
        <v>102</v>
      </c>
      <c r="S11" s="13" t="s">
        <v>103</v>
      </c>
      <c r="T11" s="13" t="s">
        <v>104</v>
      </c>
      <c r="U11" s="13" t="s">
        <v>105</v>
      </c>
      <c r="V11" s="13" t="s">
        <v>106</v>
      </c>
      <c r="W11" s="13" t="s">
        <v>107</v>
      </c>
      <c r="X11" s="13" t="s">
        <v>25</v>
      </c>
    </row>
    <row r="12" spans="2:24" s="10" customFormat="1" ht="38.25" x14ac:dyDescent="0.2">
      <c r="B12" s="10" t="s">
        <v>26</v>
      </c>
      <c r="C12" s="20" t="s">
        <v>112</v>
      </c>
      <c r="D12" s="10" t="s">
        <v>27</v>
      </c>
      <c r="E12" s="10" t="s">
        <v>28</v>
      </c>
      <c r="F12" s="10" t="s">
        <v>29</v>
      </c>
      <c r="G12" s="20" t="s">
        <v>99</v>
      </c>
      <c r="H12" s="10" t="s">
        <v>30</v>
      </c>
      <c r="I12" s="10" t="s">
        <v>166</v>
      </c>
      <c r="J12" s="10" t="s">
        <v>31</v>
      </c>
      <c r="K12" s="10" t="s">
        <v>217</v>
      </c>
      <c r="L12" s="10" t="s">
        <v>109</v>
      </c>
      <c r="M12" s="10" t="s">
        <v>32</v>
      </c>
      <c r="N12" s="10" t="s">
        <v>222</v>
      </c>
      <c r="O12" s="10" t="s">
        <v>54</v>
      </c>
      <c r="P12" s="10">
        <v>2</v>
      </c>
      <c r="Q12" s="10">
        <f>Tableau32[[#This Row],[HJ Dev]]*(25%+50%)</f>
        <v>1.5</v>
      </c>
      <c r="R12" s="10">
        <f>Tableau32[[#This Row],[HJ Analyse et test]]*(25%+50%)</f>
        <v>1.125</v>
      </c>
      <c r="S12" s="10">
        <f>Tableau32[[#This Row],[Total HJ2]]*(25%+50%)</f>
        <v>0.84375</v>
      </c>
      <c r="T12" s="10">
        <f>Tableau32[[#This Row],[Total HJ3]]*(25%+50%)</f>
        <v>0.6328125</v>
      </c>
      <c r="U12" s="10">
        <f>Tableau32[[#This Row],[Total HJ4]]*(25%+50%)</f>
        <v>0.474609375</v>
      </c>
      <c r="V12" s="10">
        <f>Tableau32[[#This Row],[Total HJ5]]*(25%+50%)</f>
        <v>0.35595703125</v>
      </c>
      <c r="W12" s="10">
        <f>Tableau32[[#This Row],[Total HJ6]]*(25%+50%)</f>
        <v>0.2669677734375</v>
      </c>
      <c r="X12" s="21">
        <f>Tableau32[[#This Row],[HJ Dev]]+Tableau32[[#This Row],[HJ Analyse et test]]</f>
        <v>3.5</v>
      </c>
    </row>
    <row r="13" spans="2:24" s="10" customFormat="1" ht="51" x14ac:dyDescent="0.2">
      <c r="B13" s="10" t="s">
        <v>113</v>
      </c>
      <c r="C13" s="20" t="s">
        <v>100</v>
      </c>
      <c r="D13" s="10" t="s">
        <v>27</v>
      </c>
      <c r="E13" s="10" t="s">
        <v>28</v>
      </c>
      <c r="F13" s="10" t="s">
        <v>29</v>
      </c>
      <c r="G13" s="10" t="s">
        <v>100</v>
      </c>
      <c r="H13" s="10" t="s">
        <v>30</v>
      </c>
      <c r="I13" s="10" t="s">
        <v>167</v>
      </c>
      <c r="J13" s="10" t="s">
        <v>221</v>
      </c>
      <c r="K13" s="10" t="s">
        <v>217</v>
      </c>
      <c r="L13" s="10" t="s">
        <v>110</v>
      </c>
      <c r="M13" s="10" t="s">
        <v>32</v>
      </c>
      <c r="N13" s="10" t="s">
        <v>222</v>
      </c>
      <c r="O13" s="10" t="s">
        <v>54</v>
      </c>
      <c r="P13" s="10">
        <v>5</v>
      </c>
      <c r="Q13" s="10">
        <f>Tableau32[[#This Row],[HJ Dev]]*(25%+50%)</f>
        <v>3.75</v>
      </c>
      <c r="X13" s="21">
        <f>Tableau32[[#This Row],[HJ Dev]]+Tableau32[[#This Row],[HJ Analyse et test]]</f>
        <v>8.75</v>
      </c>
    </row>
    <row r="14" spans="2:24" s="10" customFormat="1" ht="51" x14ac:dyDescent="0.2">
      <c r="B14" s="10" t="s">
        <v>173</v>
      </c>
      <c r="C14" s="20" t="s">
        <v>215</v>
      </c>
      <c r="D14" s="10" t="s">
        <v>27</v>
      </c>
      <c r="E14" s="10" t="s">
        <v>28</v>
      </c>
      <c r="F14" s="10" t="s">
        <v>29</v>
      </c>
      <c r="G14" s="20" t="s">
        <v>96</v>
      </c>
      <c r="H14" s="10" t="s">
        <v>30</v>
      </c>
      <c r="I14" s="10" t="s">
        <v>168</v>
      </c>
      <c r="J14" s="10" t="s">
        <v>136</v>
      </c>
      <c r="K14" s="10" t="s">
        <v>217</v>
      </c>
      <c r="L14" s="10" t="s">
        <v>109</v>
      </c>
      <c r="M14" s="10" t="s">
        <v>32</v>
      </c>
      <c r="N14" s="10" t="s">
        <v>222</v>
      </c>
      <c r="O14" s="10" t="s">
        <v>54</v>
      </c>
      <c r="P14" s="10">
        <v>2</v>
      </c>
      <c r="Q14" s="10">
        <f>Tableau32[[#This Row],[HJ Dev]]*(25%+50%)</f>
        <v>1.5</v>
      </c>
      <c r="X14" s="21">
        <f>Tableau32[[#This Row],[HJ Dev]]+Tableau32[[#This Row],[HJ Analyse et test]]</f>
        <v>3.5</v>
      </c>
    </row>
    <row r="15" spans="2:24" s="10" customFormat="1" ht="38.25" x14ac:dyDescent="0.2">
      <c r="B15" s="10" t="s">
        <v>174</v>
      </c>
      <c r="C15" s="20" t="s">
        <v>137</v>
      </c>
      <c r="D15" s="10" t="s">
        <v>27</v>
      </c>
      <c r="E15" s="10" t="s">
        <v>28</v>
      </c>
      <c r="F15" s="10" t="s">
        <v>29</v>
      </c>
      <c r="G15" s="20" t="s">
        <v>138</v>
      </c>
      <c r="H15" s="10" t="s">
        <v>30</v>
      </c>
      <c r="I15" s="10" t="s">
        <v>169</v>
      </c>
      <c r="J15" s="22" t="s">
        <v>136</v>
      </c>
      <c r="K15" s="22" t="s">
        <v>217</v>
      </c>
      <c r="L15" s="22" t="s">
        <v>109</v>
      </c>
      <c r="M15" s="22" t="s">
        <v>32</v>
      </c>
      <c r="N15" s="10" t="s">
        <v>222</v>
      </c>
      <c r="O15" s="22" t="s">
        <v>54</v>
      </c>
      <c r="P15" s="22">
        <v>2</v>
      </c>
      <c r="Q15" s="22">
        <f>Tableau32[[#This Row],[HJ Dev]]*(25%+50%)</f>
        <v>1.5</v>
      </c>
      <c r="X15" s="21">
        <f>Tableau32[[#This Row],[HJ Dev]]+Tableau32[[#This Row],[HJ Analyse et test]]</f>
        <v>3.5</v>
      </c>
    </row>
    <row r="16" spans="2:24" s="10" customFormat="1" ht="38.25" x14ac:dyDescent="0.2">
      <c r="B16" s="10" t="s">
        <v>175</v>
      </c>
      <c r="C16" s="20" t="s">
        <v>35</v>
      </c>
      <c r="D16" s="10" t="s">
        <v>27</v>
      </c>
      <c r="E16" s="10" t="s">
        <v>28</v>
      </c>
      <c r="F16" s="10" t="s">
        <v>29</v>
      </c>
      <c r="G16" s="10" t="s">
        <v>35</v>
      </c>
      <c r="H16" s="10" t="s">
        <v>30</v>
      </c>
      <c r="I16" s="10" t="s">
        <v>170</v>
      </c>
      <c r="J16" s="10" t="s">
        <v>136</v>
      </c>
      <c r="K16" s="10" t="s">
        <v>217</v>
      </c>
      <c r="L16" s="10" t="s">
        <v>110</v>
      </c>
      <c r="M16" s="10" t="s">
        <v>32</v>
      </c>
      <c r="N16" s="10" t="s">
        <v>222</v>
      </c>
      <c r="O16" s="10" t="s">
        <v>54</v>
      </c>
      <c r="P16" s="10">
        <v>3</v>
      </c>
      <c r="Q16" s="10">
        <f>Tableau32[[#This Row],[HJ Dev]]*(25%+50%)</f>
        <v>2.25</v>
      </c>
      <c r="X16" s="21">
        <f>Tableau32[[#This Row],[HJ Dev]]+Tableau32[[#This Row],[HJ Analyse et test]]</f>
        <v>5.25</v>
      </c>
    </row>
    <row r="17" spans="2:24" s="10" customFormat="1" ht="51" hidden="1" x14ac:dyDescent="0.2">
      <c r="B17" s="10" t="s">
        <v>176</v>
      </c>
      <c r="C17" s="20" t="s">
        <v>171</v>
      </c>
      <c r="D17" s="10" t="s">
        <v>27</v>
      </c>
      <c r="E17" s="10" t="s">
        <v>28</v>
      </c>
      <c r="F17" s="10" t="s">
        <v>29</v>
      </c>
      <c r="G17" s="10" t="s">
        <v>139</v>
      </c>
      <c r="H17" s="10" t="s">
        <v>30</v>
      </c>
      <c r="I17" s="10" t="s">
        <v>172</v>
      </c>
      <c r="J17" s="10" t="s">
        <v>36</v>
      </c>
      <c r="K17" s="10" t="s">
        <v>217</v>
      </c>
      <c r="L17" s="10" t="s">
        <v>109</v>
      </c>
      <c r="M17" s="10" t="s">
        <v>32</v>
      </c>
      <c r="N17" s="10" t="s">
        <v>222</v>
      </c>
      <c r="O17" s="10" t="s">
        <v>54</v>
      </c>
      <c r="P17" s="10">
        <v>0</v>
      </c>
      <c r="Q17" s="10">
        <f>Tableau32[[#This Row],[HJ Dev]]*(25%+50%)</f>
        <v>0</v>
      </c>
      <c r="X17" s="21">
        <f>Tableau32[[#This Row],[HJ Dev]]+Tableau32[[#This Row],[HJ Analyse et test]]</f>
        <v>0</v>
      </c>
    </row>
    <row r="18" spans="2:24" s="10" customFormat="1" ht="38.25" hidden="1" x14ac:dyDescent="0.2">
      <c r="B18" s="10" t="s">
        <v>177</v>
      </c>
      <c r="C18" s="20" t="s">
        <v>140</v>
      </c>
      <c r="D18" s="10" t="s">
        <v>27</v>
      </c>
      <c r="E18" s="10" t="s">
        <v>28</v>
      </c>
      <c r="F18" s="10" t="s">
        <v>29</v>
      </c>
      <c r="G18" s="10" t="s">
        <v>141</v>
      </c>
      <c r="H18" s="10" t="s">
        <v>30</v>
      </c>
      <c r="I18" s="10" t="s">
        <v>202</v>
      </c>
      <c r="J18" s="10" t="s">
        <v>36</v>
      </c>
      <c r="K18" s="10" t="s">
        <v>217</v>
      </c>
      <c r="L18" s="10" t="s">
        <v>109</v>
      </c>
      <c r="M18" s="10" t="s">
        <v>32</v>
      </c>
      <c r="N18" s="10" t="s">
        <v>222</v>
      </c>
      <c r="O18" s="10" t="s">
        <v>54</v>
      </c>
      <c r="P18" s="10">
        <v>0</v>
      </c>
      <c r="Q18" s="10">
        <f>Tableau32[[#This Row],[HJ Dev]]*(25%+50%)</f>
        <v>0</v>
      </c>
      <c r="X18" s="21">
        <f>Tableau32[[#This Row],[HJ Dev]]+Tableau32[[#This Row],[HJ Analyse et test]]</f>
        <v>0</v>
      </c>
    </row>
    <row r="19" spans="2:24" s="10" customFormat="1" ht="38.25" hidden="1" x14ac:dyDescent="0.2">
      <c r="B19" s="10" t="s">
        <v>178</v>
      </c>
      <c r="C19" s="20" t="s">
        <v>114</v>
      </c>
      <c r="D19" s="10" t="s">
        <v>27</v>
      </c>
      <c r="E19" s="10" t="s">
        <v>28</v>
      </c>
      <c r="F19" s="10" t="s">
        <v>29</v>
      </c>
      <c r="G19" s="10" t="s">
        <v>142</v>
      </c>
      <c r="H19" s="10" t="s">
        <v>30</v>
      </c>
      <c r="I19" s="10" t="s">
        <v>201</v>
      </c>
      <c r="J19" s="10" t="s">
        <v>36</v>
      </c>
      <c r="K19" s="10" t="s">
        <v>217</v>
      </c>
      <c r="L19" s="10" t="s">
        <v>109</v>
      </c>
      <c r="M19" s="10" t="s">
        <v>32</v>
      </c>
      <c r="N19" s="10" t="s">
        <v>222</v>
      </c>
      <c r="O19" s="10" t="s">
        <v>54</v>
      </c>
      <c r="P19" s="10">
        <v>0</v>
      </c>
      <c r="Q19" s="10">
        <f>Tableau32[[#This Row],[HJ Dev]]*(25%+50%)</f>
        <v>0</v>
      </c>
      <c r="X19" s="21">
        <f>Tableau32[[#This Row],[HJ Dev]]+Tableau32[[#This Row],[HJ Analyse et test]]</f>
        <v>0</v>
      </c>
    </row>
    <row r="20" spans="2:24" s="10" customFormat="1" ht="38.25" hidden="1" x14ac:dyDescent="0.2">
      <c r="B20" s="10" t="s">
        <v>179</v>
      </c>
      <c r="C20" s="20" t="s">
        <v>115</v>
      </c>
      <c r="D20" s="10" t="s">
        <v>27</v>
      </c>
      <c r="E20" s="10" t="s">
        <v>28</v>
      </c>
      <c r="F20" s="10" t="s">
        <v>29</v>
      </c>
      <c r="G20" s="10" t="s">
        <v>143</v>
      </c>
      <c r="H20" s="10" t="s">
        <v>30</v>
      </c>
      <c r="I20" s="10" t="s">
        <v>201</v>
      </c>
      <c r="J20" s="10" t="s">
        <v>36</v>
      </c>
      <c r="K20" s="10" t="s">
        <v>217</v>
      </c>
      <c r="L20" s="10" t="s">
        <v>109</v>
      </c>
      <c r="M20" s="10" t="s">
        <v>32</v>
      </c>
      <c r="N20" s="10" t="s">
        <v>222</v>
      </c>
      <c r="O20" s="10" t="s">
        <v>54</v>
      </c>
      <c r="P20" s="10">
        <v>0</v>
      </c>
      <c r="Q20" s="10">
        <f>Tableau32[[#This Row],[HJ Dev]]*(25%+50%)</f>
        <v>0</v>
      </c>
      <c r="X20" s="21">
        <f>Tableau32[[#This Row],[HJ Dev]]+Tableau32[[#This Row],[HJ Analyse et test]]</f>
        <v>0</v>
      </c>
    </row>
    <row r="21" spans="2:24" s="10" customFormat="1" ht="38.25" hidden="1" x14ac:dyDescent="0.2">
      <c r="B21" s="10" t="s">
        <v>180</v>
      </c>
      <c r="C21" s="20" t="s">
        <v>116</v>
      </c>
      <c r="D21" s="10" t="s">
        <v>27</v>
      </c>
      <c r="E21" s="10" t="s">
        <v>28</v>
      </c>
      <c r="F21" s="10" t="s">
        <v>29</v>
      </c>
      <c r="G21" s="10" t="s">
        <v>37</v>
      </c>
      <c r="H21" s="10" t="s">
        <v>30</v>
      </c>
      <c r="I21" s="10" t="s">
        <v>201</v>
      </c>
      <c r="J21" s="10" t="s">
        <v>36</v>
      </c>
      <c r="K21" s="10" t="s">
        <v>217</v>
      </c>
      <c r="L21" s="10" t="s">
        <v>109</v>
      </c>
      <c r="M21" s="10" t="s">
        <v>32</v>
      </c>
      <c r="N21" s="10" t="s">
        <v>222</v>
      </c>
      <c r="O21" s="10" t="s">
        <v>54</v>
      </c>
      <c r="P21" s="10">
        <v>0</v>
      </c>
      <c r="Q21" s="10">
        <f>Tableau32[[#This Row],[HJ Dev]]*(25%+50%)</f>
        <v>0</v>
      </c>
      <c r="X21" s="21">
        <f>Tableau32[[#This Row],[HJ Dev]]+Tableau32[[#This Row],[HJ Analyse et test]]</f>
        <v>0</v>
      </c>
    </row>
    <row r="22" spans="2:24" s="10" customFormat="1" ht="38.25" hidden="1" x14ac:dyDescent="0.2">
      <c r="B22" s="10" t="s">
        <v>181</v>
      </c>
      <c r="C22" s="20" t="s">
        <v>117</v>
      </c>
      <c r="D22" s="10" t="s">
        <v>27</v>
      </c>
      <c r="E22" s="10" t="s">
        <v>28</v>
      </c>
      <c r="F22" s="10" t="s">
        <v>29</v>
      </c>
      <c r="G22" s="10" t="s">
        <v>144</v>
      </c>
      <c r="H22" s="10" t="s">
        <v>30</v>
      </c>
      <c r="I22" s="10" t="s">
        <v>201</v>
      </c>
      <c r="J22" s="10" t="s">
        <v>36</v>
      </c>
      <c r="K22" s="10" t="s">
        <v>217</v>
      </c>
      <c r="L22" s="10" t="s">
        <v>109</v>
      </c>
      <c r="M22" s="10" t="s">
        <v>32</v>
      </c>
      <c r="N22" s="10" t="s">
        <v>222</v>
      </c>
      <c r="O22" s="10" t="s">
        <v>54</v>
      </c>
      <c r="P22" s="10">
        <v>0</v>
      </c>
      <c r="Q22" s="10">
        <f>Tableau32[[#This Row],[HJ Dev]]*(25%+50%)</f>
        <v>0</v>
      </c>
      <c r="X22" s="21">
        <f>Tableau32[[#This Row],[HJ Dev]]+Tableau32[[#This Row],[HJ Analyse et test]]</f>
        <v>0</v>
      </c>
    </row>
    <row r="23" spans="2:24" s="10" customFormat="1" ht="38.25" hidden="1" x14ac:dyDescent="0.2">
      <c r="B23" s="10" t="s">
        <v>39</v>
      </c>
      <c r="C23" s="20" t="s">
        <v>118</v>
      </c>
      <c r="D23" s="10" t="s">
        <v>27</v>
      </c>
      <c r="E23" s="10" t="s">
        <v>28</v>
      </c>
      <c r="F23" s="10" t="s">
        <v>29</v>
      </c>
      <c r="G23" s="20" t="s">
        <v>38</v>
      </c>
      <c r="H23" s="10" t="s">
        <v>30</v>
      </c>
      <c r="I23" s="10" t="s">
        <v>201</v>
      </c>
      <c r="J23" s="10" t="s">
        <v>36</v>
      </c>
      <c r="K23" s="10" t="s">
        <v>217</v>
      </c>
      <c r="L23" s="10" t="s">
        <v>109</v>
      </c>
      <c r="M23" s="10" t="s">
        <v>32</v>
      </c>
      <c r="N23" s="10" t="s">
        <v>222</v>
      </c>
      <c r="O23" s="10" t="s">
        <v>54</v>
      </c>
      <c r="P23" s="10">
        <v>0</v>
      </c>
      <c r="Q23" s="10">
        <f>Tableau32[[#This Row],[HJ Dev]]*(25%+50%)</f>
        <v>0</v>
      </c>
      <c r="X23" s="21">
        <f>Tableau32[[#This Row],[HJ Dev]]+Tableau32[[#This Row],[HJ Analyse et test]]</f>
        <v>0</v>
      </c>
    </row>
    <row r="24" spans="2:24" s="10" customFormat="1" ht="38.25" x14ac:dyDescent="0.2">
      <c r="B24" s="10" t="s">
        <v>40</v>
      </c>
      <c r="C24" s="20" t="s">
        <v>205</v>
      </c>
      <c r="D24" s="10" t="s">
        <v>27</v>
      </c>
      <c r="E24" s="10" t="s">
        <v>28</v>
      </c>
      <c r="F24" s="10" t="s">
        <v>29</v>
      </c>
      <c r="G24" s="10" t="s">
        <v>205</v>
      </c>
      <c r="H24" s="10" t="s">
        <v>30</v>
      </c>
      <c r="I24" s="20" t="s">
        <v>204</v>
      </c>
      <c r="J24" s="10" t="s">
        <v>145</v>
      </c>
      <c r="K24" s="10" t="s">
        <v>217</v>
      </c>
      <c r="L24" s="10" t="s">
        <v>110</v>
      </c>
      <c r="M24" s="10" t="s">
        <v>32</v>
      </c>
      <c r="N24" s="10" t="s">
        <v>222</v>
      </c>
      <c r="O24" s="10" t="s">
        <v>54</v>
      </c>
      <c r="P24" s="10">
        <v>2</v>
      </c>
      <c r="Q24" s="10">
        <f>Tableau32[[#This Row],[HJ Dev]]*(25%+50%)</f>
        <v>1.5</v>
      </c>
      <c r="X24" s="21">
        <f>Tableau32[[#This Row],[HJ Dev]]+Tableau32[[#This Row],[HJ Analyse et test]]</f>
        <v>3.5</v>
      </c>
    </row>
    <row r="25" spans="2:24" s="10" customFormat="1" ht="38.25" x14ac:dyDescent="0.2">
      <c r="B25" s="10" t="s">
        <v>182</v>
      </c>
      <c r="C25" s="20" t="s">
        <v>206</v>
      </c>
      <c r="D25" s="10" t="s">
        <v>27</v>
      </c>
      <c r="E25" s="10" t="s">
        <v>28</v>
      </c>
      <c r="F25" s="10" t="s">
        <v>29</v>
      </c>
      <c r="G25" s="10" t="s">
        <v>119</v>
      </c>
      <c r="H25" s="10" t="s">
        <v>30</v>
      </c>
      <c r="I25" s="20" t="s">
        <v>146</v>
      </c>
      <c r="J25" s="10" t="s">
        <v>147</v>
      </c>
      <c r="K25" s="10" t="s">
        <v>217</v>
      </c>
      <c r="L25" s="10" t="s">
        <v>110</v>
      </c>
      <c r="M25" s="10" t="s">
        <v>32</v>
      </c>
      <c r="N25" s="10" t="s">
        <v>222</v>
      </c>
      <c r="O25" s="10" t="s">
        <v>54</v>
      </c>
      <c r="P25" s="10">
        <v>4</v>
      </c>
      <c r="Q25" s="10">
        <f>Tableau32[[#This Row],[HJ Dev]]*(25%+50%)</f>
        <v>3</v>
      </c>
      <c r="X25" s="21">
        <f>Tableau32[[#This Row],[HJ Dev]]+Tableau32[[#This Row],[HJ Analyse et test]]</f>
        <v>7</v>
      </c>
    </row>
    <row r="26" spans="2:24" ht="54" hidden="1" customHeight="1" x14ac:dyDescent="0.2">
      <c r="B26" s="10" t="s">
        <v>183</v>
      </c>
      <c r="C26" s="20" t="s">
        <v>148</v>
      </c>
      <c r="D26" s="10" t="s">
        <v>27</v>
      </c>
      <c r="E26" s="10" t="s">
        <v>28</v>
      </c>
      <c r="F26" s="10" t="s">
        <v>29</v>
      </c>
      <c r="G26" s="20" t="s">
        <v>149</v>
      </c>
      <c r="H26" s="10" t="s">
        <v>30</v>
      </c>
      <c r="I26" s="10" t="s">
        <v>201</v>
      </c>
      <c r="J26" s="10" t="s">
        <v>36</v>
      </c>
      <c r="K26" s="10" t="s">
        <v>217</v>
      </c>
      <c r="L26" s="10" t="s">
        <v>109</v>
      </c>
      <c r="M26" s="10" t="s">
        <v>32</v>
      </c>
      <c r="N26" s="10" t="s">
        <v>222</v>
      </c>
      <c r="O26" s="10" t="s">
        <v>54</v>
      </c>
      <c r="P26" s="10">
        <v>0</v>
      </c>
      <c r="Q26" s="10">
        <f>Tableau32[[#This Row],[HJ Dev]]*(25%+50%)</f>
        <v>0</v>
      </c>
      <c r="R26" s="10"/>
      <c r="S26" s="10"/>
      <c r="T26" s="10"/>
      <c r="U26" s="10"/>
      <c r="V26" s="10"/>
      <c r="W26" s="10"/>
      <c r="X26" s="21">
        <f>Tableau32[[#This Row],[HJ Dev]]+Tableau32[[#This Row],[HJ Analyse et test]]</f>
        <v>0</v>
      </c>
    </row>
    <row r="27" spans="2:24" ht="38.25" x14ac:dyDescent="0.2">
      <c r="B27" s="10" t="s">
        <v>184</v>
      </c>
      <c r="C27" s="20" t="s">
        <v>207</v>
      </c>
      <c r="D27" s="10" t="s">
        <v>27</v>
      </c>
      <c r="E27" s="10" t="s">
        <v>28</v>
      </c>
      <c r="F27" s="10" t="s">
        <v>29</v>
      </c>
      <c r="G27" s="10" t="s">
        <v>207</v>
      </c>
      <c r="H27" s="10" t="s">
        <v>30</v>
      </c>
      <c r="I27" s="20" t="s">
        <v>120</v>
      </c>
      <c r="J27" s="10" t="s">
        <v>150</v>
      </c>
      <c r="K27" s="10" t="s">
        <v>219</v>
      </c>
      <c r="L27" s="10" t="s">
        <v>109</v>
      </c>
      <c r="M27" s="10" t="s">
        <v>32</v>
      </c>
      <c r="N27" s="10" t="s">
        <v>33</v>
      </c>
      <c r="O27" s="10" t="s">
        <v>54</v>
      </c>
      <c r="P27" s="10">
        <v>1</v>
      </c>
      <c r="Q27" s="10">
        <f>Tableau32[[#This Row],[HJ Dev]]*(25%+50%)</f>
        <v>0.75</v>
      </c>
      <c r="R27" s="10"/>
      <c r="S27" s="10"/>
      <c r="T27" s="10"/>
      <c r="U27" s="10"/>
      <c r="V27" s="10"/>
      <c r="W27" s="10"/>
      <c r="X27" s="21">
        <f>Tableau32[[#This Row],[HJ Dev]]+Tableau32[[#This Row],[HJ Analyse et test]]</f>
        <v>1.75</v>
      </c>
    </row>
    <row r="28" spans="2:24" ht="38.25" hidden="1" x14ac:dyDescent="0.2">
      <c r="B28" s="10" t="s">
        <v>185</v>
      </c>
      <c r="C28" s="20" t="s">
        <v>121</v>
      </c>
      <c r="D28" s="10" t="s">
        <v>27</v>
      </c>
      <c r="E28" s="10" t="s">
        <v>28</v>
      </c>
      <c r="F28" s="10" t="s">
        <v>29</v>
      </c>
      <c r="G28" s="20" t="s">
        <v>41</v>
      </c>
      <c r="H28" s="10" t="s">
        <v>30</v>
      </c>
      <c r="I28" s="10" t="s">
        <v>201</v>
      </c>
      <c r="J28" s="10" t="s">
        <v>36</v>
      </c>
      <c r="K28" s="10" t="s">
        <v>217</v>
      </c>
      <c r="L28" s="10" t="s">
        <v>109</v>
      </c>
      <c r="M28" s="10" t="s">
        <v>32</v>
      </c>
      <c r="N28" s="10" t="s">
        <v>222</v>
      </c>
      <c r="O28" s="10" t="s">
        <v>54</v>
      </c>
      <c r="P28" s="10">
        <v>0</v>
      </c>
      <c r="Q28" s="10">
        <f>Tableau32[[#This Row],[HJ Dev]]*(25%+50%)</f>
        <v>0</v>
      </c>
      <c r="R28" s="10"/>
      <c r="S28" s="10"/>
      <c r="T28" s="10"/>
      <c r="U28" s="10"/>
      <c r="V28" s="10"/>
      <c r="W28" s="10"/>
      <c r="X28" s="21">
        <f>Tableau32[[#This Row],[HJ Dev]]+Tableau32[[#This Row],[HJ Analyse et test]]</f>
        <v>0</v>
      </c>
    </row>
    <row r="29" spans="2:24" ht="38.25" hidden="1" x14ac:dyDescent="0.2">
      <c r="B29" s="10" t="s">
        <v>186</v>
      </c>
      <c r="C29" s="20" t="s">
        <v>151</v>
      </c>
      <c r="D29" s="10" t="s">
        <v>27</v>
      </c>
      <c r="E29" s="10" t="s">
        <v>28</v>
      </c>
      <c r="F29" s="10" t="s">
        <v>29</v>
      </c>
      <c r="G29" s="20" t="s">
        <v>152</v>
      </c>
      <c r="H29" s="10" t="s">
        <v>30</v>
      </c>
      <c r="I29" s="10" t="s">
        <v>201</v>
      </c>
      <c r="J29" s="10" t="s">
        <v>36</v>
      </c>
      <c r="K29" s="10" t="s">
        <v>217</v>
      </c>
      <c r="L29" s="10" t="s">
        <v>109</v>
      </c>
      <c r="M29" s="10" t="s">
        <v>32</v>
      </c>
      <c r="N29" s="10" t="s">
        <v>222</v>
      </c>
      <c r="O29" s="10" t="s">
        <v>54</v>
      </c>
      <c r="P29" s="10">
        <v>0</v>
      </c>
      <c r="Q29" s="10">
        <f>Tableau32[[#This Row],[HJ Dev]]*(25%+50%)</f>
        <v>0</v>
      </c>
      <c r="R29" s="10"/>
      <c r="S29" s="10"/>
      <c r="T29" s="10"/>
      <c r="U29" s="10"/>
      <c r="V29" s="10"/>
      <c r="W29" s="10"/>
      <c r="X29" s="21">
        <f>Tableau32[[#This Row],[HJ Dev]]+Tableau32[[#This Row],[HJ Analyse et test]]</f>
        <v>0</v>
      </c>
    </row>
    <row r="30" spans="2:24" ht="38.25" hidden="1" x14ac:dyDescent="0.2">
      <c r="B30" s="10" t="s">
        <v>187</v>
      </c>
      <c r="C30" s="20" t="s">
        <v>122</v>
      </c>
      <c r="D30" s="10" t="s">
        <v>27</v>
      </c>
      <c r="E30" s="10" t="s">
        <v>28</v>
      </c>
      <c r="F30" s="10" t="s">
        <v>29</v>
      </c>
      <c r="G30" s="20" t="s">
        <v>42</v>
      </c>
      <c r="H30" s="10" t="s">
        <v>30</v>
      </c>
      <c r="I30" s="10" t="s">
        <v>201</v>
      </c>
      <c r="J30" s="10" t="s">
        <v>36</v>
      </c>
      <c r="K30" s="10" t="s">
        <v>217</v>
      </c>
      <c r="L30" s="10" t="s">
        <v>109</v>
      </c>
      <c r="M30" s="10" t="s">
        <v>32</v>
      </c>
      <c r="N30" s="10" t="s">
        <v>222</v>
      </c>
      <c r="O30" s="10" t="s">
        <v>54</v>
      </c>
      <c r="P30" s="10">
        <v>0</v>
      </c>
      <c r="Q30" s="10">
        <f>Tableau32[[#This Row],[HJ Dev]]*(25%+50%)</f>
        <v>0</v>
      </c>
      <c r="R30" s="10"/>
      <c r="S30" s="10"/>
      <c r="T30" s="10"/>
      <c r="U30" s="10"/>
      <c r="V30" s="10"/>
      <c r="W30" s="10"/>
      <c r="X30" s="21">
        <f>Tableau32[[#This Row],[HJ Dev]]+Tableau32[[#This Row],[HJ Analyse et test]]</f>
        <v>0</v>
      </c>
    </row>
    <row r="31" spans="2:24" ht="51" hidden="1" x14ac:dyDescent="0.2">
      <c r="B31" s="10" t="s">
        <v>188</v>
      </c>
      <c r="C31" s="20" t="s">
        <v>123</v>
      </c>
      <c r="D31" s="10" t="s">
        <v>27</v>
      </c>
      <c r="E31" s="10" t="s">
        <v>28</v>
      </c>
      <c r="F31" s="10" t="s">
        <v>29</v>
      </c>
      <c r="G31" s="20" t="s">
        <v>43</v>
      </c>
      <c r="H31" s="10" t="s">
        <v>30</v>
      </c>
      <c r="I31" s="10" t="s">
        <v>201</v>
      </c>
      <c r="J31" s="10" t="s">
        <v>36</v>
      </c>
      <c r="K31" s="10" t="s">
        <v>217</v>
      </c>
      <c r="L31" s="10" t="s">
        <v>109</v>
      </c>
      <c r="M31" s="10" t="s">
        <v>32</v>
      </c>
      <c r="N31" s="10" t="s">
        <v>222</v>
      </c>
      <c r="O31" s="10" t="s">
        <v>54</v>
      </c>
      <c r="P31" s="10">
        <v>0</v>
      </c>
      <c r="Q31" s="10">
        <f>Tableau32[[#This Row],[HJ Dev]]*(25%+50%)</f>
        <v>0</v>
      </c>
      <c r="R31" s="10"/>
      <c r="S31" s="10"/>
      <c r="T31" s="10"/>
      <c r="U31" s="10"/>
      <c r="V31" s="10"/>
      <c r="W31" s="10"/>
      <c r="X31" s="21">
        <f>Tableau32[[#This Row],[HJ Dev]]+Tableau32[[#This Row],[HJ Analyse et test]]</f>
        <v>0</v>
      </c>
    </row>
    <row r="32" spans="2:24" ht="38.25" hidden="1" x14ac:dyDescent="0.2">
      <c r="B32" s="10" t="s">
        <v>189</v>
      </c>
      <c r="C32" s="20" t="s">
        <v>214</v>
      </c>
      <c r="D32" s="10" t="s">
        <v>27</v>
      </c>
      <c r="E32" s="10" t="s">
        <v>28</v>
      </c>
      <c r="F32" s="10" t="s">
        <v>29</v>
      </c>
      <c r="G32" s="20" t="s">
        <v>153</v>
      </c>
      <c r="H32" s="10" t="s">
        <v>30</v>
      </c>
      <c r="I32" s="10" t="s">
        <v>201</v>
      </c>
      <c r="J32" s="10" t="s">
        <v>36</v>
      </c>
      <c r="K32" s="10" t="s">
        <v>217</v>
      </c>
      <c r="L32" s="10" t="s">
        <v>109</v>
      </c>
      <c r="M32" s="10" t="s">
        <v>32</v>
      </c>
      <c r="N32" s="10" t="s">
        <v>222</v>
      </c>
      <c r="O32" s="10" t="s">
        <v>54</v>
      </c>
      <c r="P32" s="10">
        <v>0</v>
      </c>
      <c r="Q32" s="10">
        <f>Tableau32[[#This Row],[HJ Dev]]*(25%+50%)</f>
        <v>0</v>
      </c>
      <c r="R32" s="10"/>
      <c r="S32" s="10"/>
      <c r="T32" s="10"/>
      <c r="U32" s="10"/>
      <c r="V32" s="10"/>
      <c r="W32" s="10"/>
      <c r="X32" s="21">
        <f>Tableau32[[#This Row],[HJ Dev]]+Tableau32[[#This Row],[HJ Analyse et test]]</f>
        <v>0</v>
      </c>
    </row>
    <row r="33" spans="2:24" ht="38.25" hidden="1" x14ac:dyDescent="0.2">
      <c r="B33" s="10" t="s">
        <v>190</v>
      </c>
      <c r="C33" s="20" t="s">
        <v>124</v>
      </c>
      <c r="D33" s="10" t="s">
        <v>27</v>
      </c>
      <c r="E33" s="10" t="s">
        <v>28</v>
      </c>
      <c r="F33" s="10" t="s">
        <v>29</v>
      </c>
      <c r="G33" s="20" t="s">
        <v>101</v>
      </c>
      <c r="H33" s="10" t="s">
        <v>30</v>
      </c>
      <c r="I33" s="10" t="s">
        <v>208</v>
      </c>
      <c r="J33" s="10" t="s">
        <v>218</v>
      </c>
      <c r="K33" s="10" t="s">
        <v>219</v>
      </c>
      <c r="L33" s="10" t="s">
        <v>109</v>
      </c>
      <c r="M33" s="10" t="s">
        <v>32</v>
      </c>
      <c r="N33" s="10" t="s">
        <v>33</v>
      </c>
      <c r="O33" s="10" t="s">
        <v>54</v>
      </c>
      <c r="P33" s="10">
        <v>5</v>
      </c>
      <c r="Q33" s="10">
        <f>Tableau32[[#This Row],[HJ Dev]]*(25%+50%)</f>
        <v>3.75</v>
      </c>
      <c r="R33" s="10"/>
      <c r="S33" s="10"/>
      <c r="T33" s="10"/>
      <c r="U33" s="10"/>
      <c r="V33" s="10"/>
      <c r="W33" s="10"/>
      <c r="X33" s="21">
        <f>Tableau32[[#This Row],[HJ Dev]]+Tableau32[[#This Row],[HJ Analyse et test]]</f>
        <v>8.75</v>
      </c>
    </row>
    <row r="34" spans="2:24" ht="38.25" hidden="1" x14ac:dyDescent="0.2">
      <c r="B34" s="10" t="s">
        <v>191</v>
      </c>
      <c r="C34" s="10" t="s">
        <v>125</v>
      </c>
      <c r="D34" s="10" t="s">
        <v>27</v>
      </c>
      <c r="E34" s="10" t="s">
        <v>28</v>
      </c>
      <c r="F34" s="10" t="s">
        <v>29</v>
      </c>
      <c r="G34" s="10" t="s">
        <v>44</v>
      </c>
      <c r="H34" s="10" t="s">
        <v>30</v>
      </c>
      <c r="I34" s="10" t="s">
        <v>209</v>
      </c>
      <c r="J34" s="10" t="s">
        <v>95</v>
      </c>
      <c r="K34" s="10" t="s">
        <v>217</v>
      </c>
      <c r="L34" s="10" t="s">
        <v>109</v>
      </c>
      <c r="M34" s="10" t="s">
        <v>32</v>
      </c>
      <c r="N34" s="10" t="s">
        <v>222</v>
      </c>
      <c r="O34" s="10" t="s">
        <v>54</v>
      </c>
      <c r="P34" s="10">
        <v>0</v>
      </c>
      <c r="Q34" s="10">
        <f>Tableau32[[#This Row],[HJ Dev]]*(25%+50%)</f>
        <v>0</v>
      </c>
      <c r="R34" s="10"/>
      <c r="S34" s="10"/>
      <c r="T34" s="10"/>
      <c r="U34" s="10"/>
      <c r="V34" s="10"/>
      <c r="W34" s="10"/>
      <c r="X34" s="21">
        <f>Tableau32[[#This Row],[HJ Dev]]+Tableau32[[#This Row],[HJ Analyse et test]]</f>
        <v>0</v>
      </c>
    </row>
    <row r="35" spans="2:24" ht="38.25" hidden="1" x14ac:dyDescent="0.2">
      <c r="B35" s="10" t="s">
        <v>192</v>
      </c>
      <c r="C35" s="10" t="s">
        <v>126</v>
      </c>
      <c r="D35" s="10" t="s">
        <v>27</v>
      </c>
      <c r="E35" s="10" t="s">
        <v>28</v>
      </c>
      <c r="F35" s="10" t="s">
        <v>29</v>
      </c>
      <c r="G35" s="10" t="s">
        <v>45</v>
      </c>
      <c r="H35" s="10" t="s">
        <v>30</v>
      </c>
      <c r="I35" s="10" t="s">
        <v>201</v>
      </c>
      <c r="J35" s="10" t="s">
        <v>36</v>
      </c>
      <c r="K35" s="10" t="s">
        <v>217</v>
      </c>
      <c r="L35" s="10" t="s">
        <v>109</v>
      </c>
      <c r="M35" s="10" t="s">
        <v>32</v>
      </c>
      <c r="N35" s="10" t="s">
        <v>222</v>
      </c>
      <c r="O35" s="10" t="s">
        <v>54</v>
      </c>
      <c r="P35" s="10">
        <v>0</v>
      </c>
      <c r="Q35" s="10">
        <f>Tableau32[[#This Row],[HJ Dev]]*(25%+50%)</f>
        <v>0</v>
      </c>
      <c r="R35" s="10"/>
      <c r="S35" s="10"/>
      <c r="T35" s="10"/>
      <c r="U35" s="10"/>
      <c r="V35" s="10"/>
      <c r="W35" s="10"/>
      <c r="X35" s="21">
        <f>Tableau32[[#This Row],[HJ Dev]]+Tableau32[[#This Row],[HJ Analyse et test]]</f>
        <v>0</v>
      </c>
    </row>
    <row r="36" spans="2:24" ht="43.5" hidden="1" customHeight="1" x14ac:dyDescent="0.2">
      <c r="B36" s="10" t="s">
        <v>46</v>
      </c>
      <c r="C36" s="10" t="s">
        <v>154</v>
      </c>
      <c r="D36" s="10" t="s">
        <v>27</v>
      </c>
      <c r="E36" s="10" t="s">
        <v>28</v>
      </c>
      <c r="F36" s="10" t="s">
        <v>29</v>
      </c>
      <c r="G36" s="10" t="s">
        <v>155</v>
      </c>
      <c r="H36" s="10" t="s">
        <v>30</v>
      </c>
      <c r="I36" s="10" t="s">
        <v>201</v>
      </c>
      <c r="J36" s="10" t="s">
        <v>36</v>
      </c>
      <c r="K36" s="10" t="s">
        <v>217</v>
      </c>
      <c r="L36" s="10" t="s">
        <v>109</v>
      </c>
      <c r="M36" s="10" t="s">
        <v>32</v>
      </c>
      <c r="N36" s="10" t="s">
        <v>222</v>
      </c>
      <c r="O36" s="10" t="s">
        <v>54</v>
      </c>
      <c r="P36" s="10">
        <v>0</v>
      </c>
      <c r="Q36" s="10">
        <f>Tableau32[[#This Row],[HJ Dev]]*(25%+50%)</f>
        <v>0</v>
      </c>
      <c r="R36" s="10"/>
      <c r="S36" s="10"/>
      <c r="T36" s="10"/>
      <c r="U36" s="10"/>
      <c r="V36" s="10"/>
      <c r="W36" s="10"/>
      <c r="X36" s="21">
        <f>Tableau32[[#This Row],[HJ Dev]]+Tableau32[[#This Row],[HJ Analyse et test]]</f>
        <v>0</v>
      </c>
    </row>
    <row r="37" spans="2:24" ht="38.25" x14ac:dyDescent="0.2">
      <c r="B37" s="10" t="s">
        <v>47</v>
      </c>
      <c r="C37" s="10" t="s">
        <v>211</v>
      </c>
      <c r="D37" s="10" t="s">
        <v>27</v>
      </c>
      <c r="E37" s="10" t="s">
        <v>28</v>
      </c>
      <c r="F37" s="10" t="s">
        <v>29</v>
      </c>
      <c r="G37" s="10" t="s">
        <v>210</v>
      </c>
      <c r="H37" s="10" t="s">
        <v>30</v>
      </c>
      <c r="I37" s="10" t="s">
        <v>156</v>
      </c>
      <c r="J37" s="10" t="s">
        <v>157</v>
      </c>
      <c r="K37" s="10" t="s">
        <v>217</v>
      </c>
      <c r="L37" s="10" t="s">
        <v>110</v>
      </c>
      <c r="M37" s="10" t="s">
        <v>32</v>
      </c>
      <c r="N37" s="10" t="s">
        <v>222</v>
      </c>
      <c r="O37" s="10" t="s">
        <v>54</v>
      </c>
      <c r="P37" s="10">
        <v>4</v>
      </c>
      <c r="Q37" s="10">
        <f>Tableau32[[#This Row],[HJ Dev]]*(25%+50%)</f>
        <v>3</v>
      </c>
      <c r="R37" s="10"/>
      <c r="S37" s="10"/>
      <c r="T37" s="10"/>
      <c r="U37" s="10"/>
      <c r="V37" s="10"/>
      <c r="W37" s="10"/>
      <c r="X37" s="21">
        <f>Tableau32[[#This Row],[HJ Dev]]+Tableau32[[#This Row],[HJ Analyse et test]]</f>
        <v>7</v>
      </c>
    </row>
    <row r="38" spans="2:24" ht="51" hidden="1" x14ac:dyDescent="0.2">
      <c r="B38" s="10" t="s">
        <v>193</v>
      </c>
      <c r="C38" s="10" t="s">
        <v>158</v>
      </c>
      <c r="D38" s="10" t="s">
        <v>27</v>
      </c>
      <c r="E38" s="10" t="s">
        <v>28</v>
      </c>
      <c r="F38" s="10" t="s">
        <v>29</v>
      </c>
      <c r="G38" s="10" t="s">
        <v>159</v>
      </c>
      <c r="H38" s="10" t="s">
        <v>30</v>
      </c>
      <c r="I38" s="10" t="s">
        <v>201</v>
      </c>
      <c r="J38" s="10" t="s">
        <v>98</v>
      </c>
      <c r="K38" s="10" t="s">
        <v>217</v>
      </c>
      <c r="L38" s="10" t="s">
        <v>110</v>
      </c>
      <c r="M38" s="10" t="s">
        <v>32</v>
      </c>
      <c r="N38" s="10" t="s">
        <v>222</v>
      </c>
      <c r="O38" s="10" t="s">
        <v>54</v>
      </c>
      <c r="P38" s="10">
        <v>0</v>
      </c>
      <c r="Q38" s="10">
        <f>Tableau32[[#This Row],[HJ Dev]]*(25%+50%)</f>
        <v>0</v>
      </c>
      <c r="R38" s="10"/>
      <c r="S38" s="10"/>
      <c r="T38" s="10"/>
      <c r="U38" s="10"/>
      <c r="V38" s="10"/>
      <c r="W38" s="10"/>
      <c r="X38" s="21">
        <f>Tableau32[[#This Row],[HJ Dev]]+Tableau32[[#This Row],[HJ Analyse et test]]</f>
        <v>0</v>
      </c>
    </row>
    <row r="39" spans="2:24" ht="38.25" hidden="1" x14ac:dyDescent="0.2">
      <c r="B39" s="10" t="s">
        <v>194</v>
      </c>
      <c r="C39" s="10" t="s">
        <v>160</v>
      </c>
      <c r="D39" s="10" t="s">
        <v>27</v>
      </c>
      <c r="E39" s="10" t="s">
        <v>28</v>
      </c>
      <c r="F39" s="10" t="s">
        <v>29</v>
      </c>
      <c r="G39" s="10" t="s">
        <v>161</v>
      </c>
      <c r="H39" s="10" t="s">
        <v>30</v>
      </c>
      <c r="I39" s="10" t="s">
        <v>201</v>
      </c>
      <c r="J39" s="10" t="s">
        <v>36</v>
      </c>
      <c r="K39" s="10" t="s">
        <v>217</v>
      </c>
      <c r="L39" s="10" t="s">
        <v>109</v>
      </c>
      <c r="M39" s="10" t="s">
        <v>32</v>
      </c>
      <c r="N39" s="10" t="s">
        <v>222</v>
      </c>
      <c r="O39" s="10" t="s">
        <v>54</v>
      </c>
      <c r="P39" s="10">
        <v>0</v>
      </c>
      <c r="Q39" s="10">
        <f>Tableau32[[#This Row],[HJ Dev]]*(25%+50%)</f>
        <v>0</v>
      </c>
      <c r="R39" s="10"/>
      <c r="S39" s="10"/>
      <c r="T39" s="10"/>
      <c r="U39" s="10"/>
      <c r="V39" s="10"/>
      <c r="W39" s="10"/>
      <c r="X39" s="21">
        <f>Tableau32[[#This Row],[HJ Dev]]+Tableau32[[#This Row],[HJ Analyse et test]]</f>
        <v>0</v>
      </c>
    </row>
    <row r="40" spans="2:24" ht="38.25" hidden="1" x14ac:dyDescent="0.2">
      <c r="B40" s="10" t="s">
        <v>195</v>
      </c>
      <c r="C40" s="10" t="s">
        <v>162</v>
      </c>
      <c r="D40" s="10" t="s">
        <v>27</v>
      </c>
      <c r="E40" s="10" t="s">
        <v>28</v>
      </c>
      <c r="F40" s="10" t="s">
        <v>29</v>
      </c>
      <c r="G40" s="10" t="s">
        <v>163</v>
      </c>
      <c r="H40" s="10" t="s">
        <v>30</v>
      </c>
      <c r="I40" s="10" t="s">
        <v>201</v>
      </c>
      <c r="J40" s="10" t="s">
        <v>36</v>
      </c>
      <c r="K40" s="10" t="s">
        <v>217</v>
      </c>
      <c r="L40" s="10" t="s">
        <v>109</v>
      </c>
      <c r="M40" s="10" t="s">
        <v>32</v>
      </c>
      <c r="N40" s="10" t="s">
        <v>222</v>
      </c>
      <c r="O40" s="10" t="s">
        <v>54</v>
      </c>
      <c r="P40" s="20">
        <v>0</v>
      </c>
      <c r="Q40" s="10">
        <f>Tableau32[[#This Row],[HJ Dev]]*(25%+50%)</f>
        <v>0</v>
      </c>
      <c r="R40" s="10"/>
      <c r="S40" s="10"/>
      <c r="T40" s="10"/>
      <c r="U40" s="10"/>
      <c r="V40" s="10"/>
      <c r="W40" s="10"/>
      <c r="X40" s="21">
        <f>Tableau32[[#This Row],[HJ Dev]]+Tableau32[[#This Row],[HJ Analyse et test]]</f>
        <v>0</v>
      </c>
    </row>
    <row r="41" spans="2:24" ht="38.25" x14ac:dyDescent="0.2">
      <c r="B41" s="10" t="s">
        <v>196</v>
      </c>
      <c r="C41" s="10" t="s">
        <v>212</v>
      </c>
      <c r="D41" s="10" t="s">
        <v>27</v>
      </c>
      <c r="E41" s="10" t="s">
        <v>28</v>
      </c>
      <c r="F41" s="10" t="s">
        <v>29</v>
      </c>
      <c r="G41" s="10" t="s">
        <v>213</v>
      </c>
      <c r="H41" s="10" t="s">
        <v>30</v>
      </c>
      <c r="I41" s="10" t="s">
        <v>220</v>
      </c>
      <c r="J41" s="10" t="s">
        <v>164</v>
      </c>
      <c r="K41" s="10" t="s">
        <v>219</v>
      </c>
      <c r="L41" s="10" t="s">
        <v>110</v>
      </c>
      <c r="M41" s="10" t="s">
        <v>32</v>
      </c>
      <c r="N41" s="10" t="s">
        <v>33</v>
      </c>
      <c r="O41" s="10" t="s">
        <v>54</v>
      </c>
      <c r="P41" s="20">
        <v>10</v>
      </c>
      <c r="Q41" s="10">
        <f>Tableau32[[#This Row],[HJ Dev]]*(25%+50%)</f>
        <v>7.5</v>
      </c>
      <c r="R41" s="10"/>
      <c r="S41" s="10"/>
      <c r="T41" s="10"/>
      <c r="U41" s="10"/>
      <c r="V41" s="10"/>
      <c r="W41" s="10"/>
      <c r="X41" s="21">
        <f>Tableau32[[#This Row],[HJ Dev]]+Tableau32[[#This Row],[HJ Analyse et test]]</f>
        <v>17.5</v>
      </c>
    </row>
    <row r="42" spans="2:24" ht="38.25" x14ac:dyDescent="0.2">
      <c r="B42" s="10" t="s">
        <v>197</v>
      </c>
      <c r="C42" s="10" t="s">
        <v>165</v>
      </c>
      <c r="D42" s="10" t="s">
        <v>27</v>
      </c>
      <c r="E42" s="10" t="s">
        <v>28</v>
      </c>
      <c r="F42" s="10" t="s">
        <v>29</v>
      </c>
      <c r="G42" s="10" t="s">
        <v>165</v>
      </c>
      <c r="H42" s="10" t="s">
        <v>30</v>
      </c>
      <c r="I42" s="10" t="s">
        <v>128</v>
      </c>
      <c r="J42" s="10" t="s">
        <v>129</v>
      </c>
      <c r="K42" s="10" t="s">
        <v>219</v>
      </c>
      <c r="L42" s="10" t="s">
        <v>110</v>
      </c>
      <c r="M42" s="10" t="s">
        <v>32</v>
      </c>
      <c r="N42" s="10" t="s">
        <v>33</v>
      </c>
      <c r="O42" s="10" t="s">
        <v>54</v>
      </c>
      <c r="P42" s="20">
        <v>10</v>
      </c>
      <c r="Q42" s="10">
        <f>Tableau32[[#This Row],[HJ Dev]]*(25%+50%)</f>
        <v>7.5</v>
      </c>
      <c r="R42" s="10"/>
      <c r="S42" s="10"/>
      <c r="T42" s="10"/>
      <c r="U42" s="10"/>
      <c r="V42" s="10"/>
      <c r="W42" s="10"/>
      <c r="X42" s="21">
        <f>Tableau32[[#This Row],[HJ Dev]]+Tableau32[[#This Row],[HJ Analyse et test]]</f>
        <v>17.5</v>
      </c>
    </row>
    <row r="43" spans="2:24" ht="38.25" hidden="1" x14ac:dyDescent="0.2">
      <c r="B43" s="10" t="s">
        <v>198</v>
      </c>
      <c r="C43" s="10" t="s">
        <v>130</v>
      </c>
      <c r="D43" s="10" t="s">
        <v>27</v>
      </c>
      <c r="E43" s="10" t="s">
        <v>28</v>
      </c>
      <c r="F43" s="10" t="s">
        <v>29</v>
      </c>
      <c r="G43" s="10" t="s">
        <v>131</v>
      </c>
      <c r="H43" s="10" t="s">
        <v>30</v>
      </c>
      <c r="I43" s="10" t="s">
        <v>201</v>
      </c>
      <c r="J43" s="10" t="s">
        <v>36</v>
      </c>
      <c r="K43" s="10" t="s">
        <v>217</v>
      </c>
      <c r="L43" s="10" t="s">
        <v>109</v>
      </c>
      <c r="M43" s="10" t="s">
        <v>32</v>
      </c>
      <c r="N43" s="10" t="s">
        <v>222</v>
      </c>
      <c r="O43" s="10" t="s">
        <v>54</v>
      </c>
      <c r="P43" s="20">
        <v>0</v>
      </c>
      <c r="Q43" s="10">
        <f>Tableau32[[#This Row],[HJ Dev]]*(25%+50%)</f>
        <v>0</v>
      </c>
      <c r="R43" s="10"/>
      <c r="S43" s="10"/>
      <c r="T43" s="10"/>
      <c r="U43" s="10"/>
      <c r="V43" s="10"/>
      <c r="W43" s="10"/>
      <c r="X43" s="21">
        <f>Tableau32[[#This Row],[HJ Dev]]+Tableau32[[#This Row],[HJ Analyse et test]]</f>
        <v>0</v>
      </c>
    </row>
    <row r="44" spans="2:24" ht="38.25" hidden="1" x14ac:dyDescent="0.2">
      <c r="B44" s="10" t="s">
        <v>199</v>
      </c>
      <c r="C44" s="10" t="s">
        <v>127</v>
      </c>
      <c r="D44" s="10" t="s">
        <v>27</v>
      </c>
      <c r="E44" s="10" t="s">
        <v>28</v>
      </c>
      <c r="F44" s="10" t="s">
        <v>29</v>
      </c>
      <c r="G44" s="10" t="s">
        <v>97</v>
      </c>
      <c r="H44" s="10" t="s">
        <v>30</v>
      </c>
      <c r="I44" s="10" t="s">
        <v>201</v>
      </c>
      <c r="J44" s="10" t="s">
        <v>36</v>
      </c>
      <c r="K44" s="10" t="s">
        <v>217</v>
      </c>
      <c r="L44" s="10" t="s">
        <v>110</v>
      </c>
      <c r="M44" s="10" t="s">
        <v>32</v>
      </c>
      <c r="N44" s="10" t="s">
        <v>222</v>
      </c>
      <c r="O44" s="10" t="s">
        <v>54</v>
      </c>
      <c r="P44" s="10">
        <v>0</v>
      </c>
      <c r="Q44" s="10">
        <f>Tableau32[[#This Row],[HJ Dev]]*(25%+50%)</f>
        <v>0</v>
      </c>
      <c r="R44" s="10"/>
      <c r="S44" s="10"/>
      <c r="T44" s="10"/>
      <c r="U44" s="10"/>
      <c r="V44" s="10"/>
      <c r="W44" s="10"/>
      <c r="X44" s="21">
        <f>Tableau32[[#This Row],[HJ Dev]]+Tableau32[[#This Row],[HJ Analyse et test]]</f>
        <v>0</v>
      </c>
    </row>
    <row r="45" spans="2:24" ht="38.25" x14ac:dyDescent="0.2">
      <c r="B45" s="10" t="s">
        <v>200</v>
      </c>
      <c r="C45" s="10" t="s">
        <v>132</v>
      </c>
      <c r="D45" s="10" t="s">
        <v>27</v>
      </c>
      <c r="E45" s="10" t="s">
        <v>28</v>
      </c>
      <c r="F45" s="10" t="s">
        <v>29</v>
      </c>
      <c r="G45" s="10" t="s">
        <v>132</v>
      </c>
      <c r="H45" s="10" t="s">
        <v>30</v>
      </c>
      <c r="I45" s="10" t="s">
        <v>203</v>
      </c>
      <c r="J45" s="10" t="s">
        <v>133</v>
      </c>
      <c r="K45" s="10" t="s">
        <v>219</v>
      </c>
      <c r="L45" s="10" t="s">
        <v>109</v>
      </c>
      <c r="M45" s="10" t="s">
        <v>32</v>
      </c>
      <c r="N45" s="10" t="s">
        <v>33</v>
      </c>
      <c r="O45" s="10" t="s">
        <v>54</v>
      </c>
      <c r="P45" s="10">
        <v>2</v>
      </c>
      <c r="Q45" s="10">
        <f>Tableau32[[#This Row],[HJ Dev]]*(25%+50%)</f>
        <v>1.5</v>
      </c>
      <c r="R45" s="10"/>
      <c r="S45" s="10"/>
      <c r="T45" s="10"/>
      <c r="U45" s="10"/>
      <c r="V45" s="10"/>
      <c r="W45" s="10"/>
      <c r="X45" s="21">
        <f>Tableau32[[#This Row],[HJ Dev]]+Tableau32[[#This Row],[HJ Analyse et test]]</f>
        <v>3.5</v>
      </c>
    </row>
    <row r="46" spans="2:24" x14ac:dyDescent="0.2"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>
        <f>SUBTOTAL(109,Tableau32[HJ Dev])</f>
        <v>47</v>
      </c>
      <c r="Q46" s="10">
        <f>SUBTOTAL(109,Tableau32[HJ Analyse et test])</f>
        <v>35.25</v>
      </c>
      <c r="R46" s="10"/>
      <c r="S46" s="10"/>
      <c r="T46" s="10"/>
      <c r="U46" s="10"/>
      <c r="V46" s="10"/>
      <c r="W46" s="10"/>
      <c r="X46" s="10">
        <f>SUBTOTAL(109,Tableau32[Total HJ])</f>
        <v>82.25</v>
      </c>
    </row>
  </sheetData>
  <mergeCells count="7">
    <mergeCell ref="D7:I7"/>
    <mergeCell ref="B2:O2"/>
    <mergeCell ref="P2:Q2"/>
    <mergeCell ref="R2:W2"/>
    <mergeCell ref="D4:I4"/>
    <mergeCell ref="D5:I5"/>
    <mergeCell ref="D6:I6"/>
  </mergeCells>
  <phoneticPr fontId="15" type="noConversion"/>
  <dataValidations count="2">
    <dataValidation type="whole" operator="greaterThanOrEqual" allowBlank="1" showInputMessage="1" showErrorMessage="1" sqref="P12:P45" xr:uid="{F1799FCE-B31E-4B8B-90C7-2A03FF54D808}">
      <formula1>0</formula1>
    </dataValidation>
    <dataValidation operator="greaterThanOrEqual" allowBlank="1" showInputMessage="1" showErrorMessage="1" sqref="Q12:X45" xr:uid="{B654F580-23DE-4DEC-AB4E-5FFC560CB50B}"/>
  </dataValidations>
  <pageMargins left="0.7" right="0.7" top="0.75" bottom="0.75" header="0.3" footer="0.3"/>
  <pageSetup paperSize="9" scale="74" fitToHeight="0" orientation="landscape" r:id="rId1"/>
  <legacy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231E9808-EBD3-40A2-850A-C0CBB8BACA34}">
          <x14:formula1>
            <xm:f>Params!$B$3:$B$10</xm:f>
          </x14:formula1>
          <xm:sqref>D12:D24</xm:sqref>
        </x14:dataValidation>
        <x14:dataValidation type="list" allowBlank="1" showInputMessage="1" showErrorMessage="1" xr:uid="{12DBDE2F-B44B-4178-AA6C-10406C2D5556}">
          <x14:formula1>
            <xm:f>Params!$H$3:$H$19</xm:f>
          </x14:formula1>
          <xm:sqref>E12:E45</xm:sqref>
        </x14:dataValidation>
        <x14:dataValidation type="list" allowBlank="1" showInputMessage="1" showErrorMessage="1" xr:uid="{826609A5-B2C0-4BC1-9D2E-FC7BC0871E1F}">
          <x14:formula1>
            <xm:f>Params!$G$3:$G$6</xm:f>
          </x14:formula1>
          <xm:sqref>M12:M45</xm:sqref>
        </x14:dataValidation>
        <x14:dataValidation type="list" allowBlank="1" showInputMessage="1" showErrorMessage="1" xr:uid="{CFB1A134-6B84-4C77-9250-7E3E85742930}">
          <x14:formula1>
            <xm:f>Params!$F$3:$F$9</xm:f>
          </x14:formula1>
          <xm:sqref>O12:O45</xm:sqref>
        </x14:dataValidation>
        <x14:dataValidation type="list" allowBlank="1" showInputMessage="1" showErrorMessage="1" xr:uid="{3B7ECF7B-18E1-478A-B228-6398E18294B3}">
          <x14:formula1>
            <xm:f>Params!$D$3:$D$12</xm:f>
          </x14:formula1>
          <xm:sqref>H12:H45</xm:sqref>
        </x14:dataValidation>
        <x14:dataValidation type="list" allowBlank="1" showInputMessage="1" showErrorMessage="1" xr:uid="{C836F418-8FCA-4419-AAB4-F62B5427A0B2}">
          <x14:formula1>
            <xm:f>Params!$C$3:$C$10</xm:f>
          </x14:formula1>
          <xm:sqref>F12:F45</xm:sqref>
        </x14:dataValidation>
        <x14:dataValidation type="list" allowBlank="1" showInputMessage="1" showErrorMessage="1" xr:uid="{79BEFD2B-4BA4-41C0-A622-B8D42E64A3C8}">
          <x14:formula1>
            <xm:f>Params!$I$3:$I$5</xm:f>
          </x14:formula1>
          <xm:sqref>L12:L45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5013E-CD05-42BB-8D47-11438F5D0F13}">
  <sheetPr>
    <pageSetUpPr fitToPage="1"/>
  </sheetPr>
  <dimension ref="A2:G15"/>
  <sheetViews>
    <sheetView topLeftCell="A4" workbookViewId="0">
      <selection activeCell="D23" sqref="D23"/>
    </sheetView>
  </sheetViews>
  <sheetFormatPr baseColWidth="10" defaultColWidth="11.42578125" defaultRowHeight="15" x14ac:dyDescent="0.25"/>
  <cols>
    <col min="1" max="1" width="16.5703125" style="2" customWidth="1"/>
    <col min="2" max="2" width="30" style="2" customWidth="1"/>
    <col min="3" max="3" width="11.42578125" style="2"/>
    <col min="4" max="4" width="58.28515625" style="2" customWidth="1"/>
    <col min="5" max="5" width="15.85546875" style="2" customWidth="1"/>
    <col min="6" max="6" width="18" style="2" customWidth="1"/>
    <col min="7" max="7" width="16.5703125" style="2" customWidth="1"/>
    <col min="8" max="16384" width="11.42578125" style="2"/>
  </cols>
  <sheetData>
    <row r="2" spans="1:7" ht="15.75" thickBot="1" x14ac:dyDescent="0.3"/>
    <row r="3" spans="1:7" ht="24" customHeight="1" thickBot="1" x14ac:dyDescent="0.3">
      <c r="A3" s="2" t="s">
        <v>88</v>
      </c>
      <c r="B3" s="34" t="s">
        <v>0</v>
      </c>
      <c r="C3" s="35"/>
      <c r="D3" s="35"/>
      <c r="E3" s="35"/>
      <c r="F3" s="35"/>
      <c r="G3" s="36"/>
    </row>
    <row r="4" spans="1:7" x14ac:dyDescent="0.25">
      <c r="B4" s="4"/>
      <c r="C4" s="5"/>
      <c r="D4" s="5"/>
      <c r="E4" s="5"/>
      <c r="F4" s="5"/>
      <c r="G4" s="5"/>
    </row>
    <row r="5" spans="1:7" x14ac:dyDescent="0.25">
      <c r="B5" s="4" t="str">
        <f>'Gestion Exigences'!C4</f>
        <v>Client</v>
      </c>
      <c r="C5" s="4" t="str">
        <f>'Gestion Exigences'!D4</f>
        <v>SKG</v>
      </c>
      <c r="D5" s="5"/>
      <c r="E5" s="5"/>
      <c r="F5" s="5"/>
      <c r="G5" s="5"/>
    </row>
    <row r="6" spans="1:7" ht="30" x14ac:dyDescent="0.25">
      <c r="B6" s="4" t="str">
        <f>'Gestion Exigences'!C5</f>
        <v>Projet</v>
      </c>
      <c r="C6" s="4" t="str">
        <f>'Gestion Exigences'!D5</f>
        <v>Migration SF 2022</v>
      </c>
      <c r="D6" s="5"/>
      <c r="E6" s="5"/>
      <c r="F6" s="5"/>
      <c r="G6" s="5"/>
    </row>
    <row r="7" spans="1:7" x14ac:dyDescent="0.25">
      <c r="B7" s="4" t="str">
        <f>'Gestion Exigences'!C6</f>
        <v>Réf BPA du Devis</v>
      </c>
      <c r="C7" s="4"/>
      <c r="D7" s="5"/>
      <c r="E7" s="5"/>
      <c r="F7" s="5"/>
      <c r="G7" s="5"/>
    </row>
    <row r="8" spans="1:7" x14ac:dyDescent="0.25">
      <c r="B8" s="4" t="str">
        <f>'Gestion Exigences'!C7</f>
        <v>Réf BPA du Projet</v>
      </c>
      <c r="C8" s="4"/>
      <c r="D8" s="5"/>
      <c r="E8" s="5"/>
      <c r="F8" s="5"/>
      <c r="G8" s="5"/>
    </row>
    <row r="9" spans="1:7" x14ac:dyDescent="0.25">
      <c r="B9" s="24" t="str">
        <f>'Gestion Exigences'!C8</f>
        <v>Réf Modèle Document</v>
      </c>
      <c r="C9" s="24" t="str">
        <f>'Gestion Exigences'!D8</f>
        <v>MD203</v>
      </c>
      <c r="D9" s="5"/>
      <c r="E9" s="5"/>
      <c r="F9" s="5"/>
      <c r="G9" s="5"/>
    </row>
    <row r="10" spans="1:7" x14ac:dyDescent="0.25">
      <c r="B10" s="24" t="str">
        <f>'Gestion Exigences'!C9</f>
        <v>Version Modèle Document</v>
      </c>
      <c r="C10" s="24" t="str">
        <f>'Gestion Exigences'!D9</f>
        <v>V1.0</v>
      </c>
      <c r="D10" s="5"/>
      <c r="E10" s="5"/>
      <c r="F10" s="5"/>
      <c r="G10" s="5"/>
    </row>
    <row r="11" spans="1:7" x14ac:dyDescent="0.25">
      <c r="B11" s="4"/>
      <c r="C11" s="4"/>
      <c r="D11" s="5"/>
      <c r="E11" s="5"/>
      <c r="F11" s="5"/>
      <c r="G11" s="5"/>
    </row>
    <row r="12" spans="1:7" x14ac:dyDescent="0.25">
      <c r="B12" s="4"/>
      <c r="C12" s="5"/>
      <c r="D12" s="5"/>
      <c r="E12" s="5"/>
      <c r="F12" s="5"/>
      <c r="G12" s="5"/>
    </row>
    <row r="13" spans="1:7" x14ac:dyDescent="0.25">
      <c r="B13" s="12" t="s">
        <v>89</v>
      </c>
      <c r="C13" s="12" t="s">
        <v>90</v>
      </c>
      <c r="D13" s="12" t="s">
        <v>91</v>
      </c>
      <c r="E13" s="12" t="s">
        <v>92</v>
      </c>
      <c r="F13" s="12" t="s">
        <v>93</v>
      </c>
      <c r="G13" s="12" t="s">
        <v>94</v>
      </c>
    </row>
    <row r="14" spans="1:7" x14ac:dyDescent="0.25">
      <c r="B14" s="6" t="s">
        <v>12</v>
      </c>
      <c r="C14" s="7">
        <v>44784</v>
      </c>
      <c r="D14" s="18" t="s">
        <v>223</v>
      </c>
      <c r="E14" s="6" t="s">
        <v>224</v>
      </c>
      <c r="F14" s="17" t="s">
        <v>33</v>
      </c>
      <c r="G14" s="6"/>
    </row>
    <row r="15" spans="1:7" x14ac:dyDescent="0.25">
      <c r="B15" s="2" t="s">
        <v>225</v>
      </c>
      <c r="C15" s="25">
        <v>44959</v>
      </c>
      <c r="D15" s="2" t="s">
        <v>226</v>
      </c>
      <c r="E15" s="6" t="s">
        <v>224</v>
      </c>
      <c r="F15" s="2" t="s">
        <v>222</v>
      </c>
    </row>
  </sheetData>
  <mergeCells count="1">
    <mergeCell ref="B3:G3"/>
  </mergeCells>
  <pageMargins left="0.7" right="0.7" top="0.75" bottom="0.75" header="0.3" footer="0.3"/>
  <pageSetup paperSize="9" scale="95" orientation="landscape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7DE68-97A3-4D67-BA62-C4208BED1331}">
  <dimension ref="B2:I22"/>
  <sheetViews>
    <sheetView workbookViewId="0">
      <selection activeCell="B2" sqref="B2"/>
    </sheetView>
  </sheetViews>
  <sheetFormatPr baseColWidth="10" defaultColWidth="11.42578125" defaultRowHeight="12.75" x14ac:dyDescent="0.2"/>
  <cols>
    <col min="1" max="1" width="11.42578125" style="10"/>
    <col min="2" max="3" width="19.7109375" style="10" customWidth="1"/>
    <col min="4" max="4" width="21.5703125" style="10" customWidth="1"/>
    <col min="5" max="5" width="11.42578125" style="10"/>
    <col min="6" max="6" width="16.140625" style="10" customWidth="1"/>
    <col min="7" max="16384" width="11.42578125" style="10"/>
  </cols>
  <sheetData>
    <row r="2" spans="2:9" ht="25.5" x14ac:dyDescent="0.2">
      <c r="B2" s="11" t="s">
        <v>15</v>
      </c>
      <c r="C2" s="11" t="s">
        <v>48</v>
      </c>
      <c r="D2" s="11" t="s">
        <v>18</v>
      </c>
      <c r="E2" s="11" t="s">
        <v>49</v>
      </c>
      <c r="F2" s="11" t="s">
        <v>22</v>
      </c>
      <c r="G2" s="11" t="s">
        <v>50</v>
      </c>
      <c r="H2" s="11" t="s">
        <v>16</v>
      </c>
      <c r="I2" s="10" t="s">
        <v>108</v>
      </c>
    </row>
    <row r="3" spans="2:9" x14ac:dyDescent="0.2">
      <c r="B3" s="10" t="s">
        <v>27</v>
      </c>
      <c r="C3" s="10" t="s">
        <v>51</v>
      </c>
      <c r="D3" s="10" t="s">
        <v>52</v>
      </c>
      <c r="E3" s="10" t="s">
        <v>53</v>
      </c>
      <c r="F3" s="10" t="s">
        <v>54</v>
      </c>
      <c r="G3" s="10" t="s">
        <v>32</v>
      </c>
      <c r="H3" s="10" t="s">
        <v>55</v>
      </c>
      <c r="I3" s="10" t="s">
        <v>109</v>
      </c>
    </row>
    <row r="4" spans="2:9" ht="25.5" x14ac:dyDescent="0.2">
      <c r="B4" s="10" t="s">
        <v>56</v>
      </c>
      <c r="C4" s="10" t="s">
        <v>29</v>
      </c>
      <c r="D4" s="10" t="s">
        <v>30</v>
      </c>
      <c r="E4" s="10" t="s">
        <v>57</v>
      </c>
      <c r="F4" s="10" t="s">
        <v>34</v>
      </c>
      <c r="G4" s="10" t="s">
        <v>58</v>
      </c>
      <c r="H4" s="10" t="s">
        <v>59</v>
      </c>
      <c r="I4" s="10" t="s">
        <v>110</v>
      </c>
    </row>
    <row r="5" spans="2:9" ht="25.5" x14ac:dyDescent="0.2">
      <c r="B5" s="10" t="s">
        <v>60</v>
      </c>
      <c r="C5" s="10" t="s">
        <v>61</v>
      </c>
      <c r="D5" s="10" t="s">
        <v>62</v>
      </c>
      <c r="E5" s="10" t="s">
        <v>63</v>
      </c>
      <c r="H5" s="10" t="s">
        <v>64</v>
      </c>
    </row>
    <row r="6" spans="2:9" x14ac:dyDescent="0.2">
      <c r="B6" s="10" t="s">
        <v>65</v>
      </c>
      <c r="C6" s="10" t="s">
        <v>66</v>
      </c>
      <c r="D6" s="10" t="s">
        <v>67</v>
      </c>
      <c r="H6" s="10" t="s">
        <v>68</v>
      </c>
    </row>
    <row r="7" spans="2:9" x14ac:dyDescent="0.2">
      <c r="B7" s="10" t="s">
        <v>69</v>
      </c>
      <c r="C7" s="10" t="s">
        <v>70</v>
      </c>
      <c r="D7" s="10" t="s">
        <v>71</v>
      </c>
      <c r="H7" s="10" t="s">
        <v>72</v>
      </c>
    </row>
    <row r="8" spans="2:9" x14ac:dyDescent="0.2">
      <c r="B8" s="10" t="s">
        <v>73</v>
      </c>
      <c r="D8" s="10" t="s">
        <v>74</v>
      </c>
      <c r="H8" s="10" t="s">
        <v>75</v>
      </c>
    </row>
    <row r="9" spans="2:9" ht="25.5" x14ac:dyDescent="0.2">
      <c r="D9" s="10" t="s">
        <v>76</v>
      </c>
      <c r="H9" s="10" t="s">
        <v>77</v>
      </c>
    </row>
    <row r="10" spans="2:9" x14ac:dyDescent="0.2">
      <c r="H10" s="10" t="s">
        <v>78</v>
      </c>
    </row>
    <row r="11" spans="2:9" x14ac:dyDescent="0.2">
      <c r="H11" s="10" t="s">
        <v>79</v>
      </c>
    </row>
    <row r="13" spans="2:9" x14ac:dyDescent="0.2">
      <c r="H13" s="10" t="s">
        <v>80</v>
      </c>
    </row>
    <row r="14" spans="2:9" x14ac:dyDescent="0.2">
      <c r="H14" s="10" t="s">
        <v>81</v>
      </c>
    </row>
    <row r="15" spans="2:9" ht="25.5" x14ac:dyDescent="0.2">
      <c r="H15" s="10" t="s">
        <v>28</v>
      </c>
    </row>
    <row r="16" spans="2:9" ht="38.25" x14ac:dyDescent="0.2">
      <c r="H16" s="10" t="s">
        <v>82</v>
      </c>
    </row>
    <row r="17" spans="8:8" ht="25.5" x14ac:dyDescent="0.2">
      <c r="H17" s="10" t="s">
        <v>83</v>
      </c>
    </row>
    <row r="18" spans="8:8" x14ac:dyDescent="0.2">
      <c r="H18" s="10" t="s">
        <v>84</v>
      </c>
    </row>
    <row r="19" spans="8:8" x14ac:dyDescent="0.2">
      <c r="H19" s="10" t="s">
        <v>85</v>
      </c>
    </row>
    <row r="21" spans="8:8" x14ac:dyDescent="0.2">
      <c r="H21" s="10" t="s">
        <v>86</v>
      </c>
    </row>
    <row r="22" spans="8:8" ht="38.25" x14ac:dyDescent="0.2">
      <c r="H22" s="10" t="s">
        <v>87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80D1F9D018AF642BD71F6EA77BA1FCC" ma:contentTypeVersion="15" ma:contentTypeDescription="Crée un document." ma:contentTypeScope="" ma:versionID="97fa8e5381d4afd3c2616966314fa889">
  <xsd:schema xmlns:xsd="http://www.w3.org/2001/XMLSchema" xmlns:xs="http://www.w3.org/2001/XMLSchema" xmlns:p="http://schemas.microsoft.com/office/2006/metadata/properties" xmlns:ns2="5f2f9e80-f74a-40c7-b145-b94d8e4966f0" xmlns:ns3="43b908ec-9e92-424c-a4ad-3174bac6e888" targetNamespace="http://schemas.microsoft.com/office/2006/metadata/properties" ma:root="true" ma:fieldsID="035e21461a3455a1fa8f9ac9d0103124" ns2:_="" ns3:_="">
    <xsd:import namespace="5f2f9e80-f74a-40c7-b145-b94d8e4966f0"/>
    <xsd:import namespace="43b908ec-9e92-424c-a4ad-3174bac6e88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2f9e80-f74a-40c7-b145-b94d8e4966f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b0894d81-c9a7-44d3-b7de-4b9756e0b1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b908ec-9e92-424c-a4ad-3174bac6e88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49cff33-3cb1-46cb-abfa-a403cc2b0291}" ma:internalName="TaxCatchAll" ma:showField="CatchAllData" ma:web="43b908ec-9e92-424c-a4ad-3174bac6e88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f2f9e80-f74a-40c7-b145-b94d8e4966f0">
      <Terms xmlns="http://schemas.microsoft.com/office/infopath/2007/PartnerControls"/>
    </lcf76f155ced4ddcb4097134ff3c332f>
    <TaxCatchAll xmlns="43b908ec-9e92-424c-a4ad-3174bac6e888" xsi:nil="true"/>
  </documentManagement>
</p:properties>
</file>

<file path=customXml/itemProps1.xml><?xml version="1.0" encoding="utf-8"?>
<ds:datastoreItem xmlns:ds="http://schemas.openxmlformats.org/officeDocument/2006/customXml" ds:itemID="{75D00B36-5A87-40DE-807F-B1D97207D5CE}"/>
</file>

<file path=customXml/itemProps2.xml><?xml version="1.0" encoding="utf-8"?>
<ds:datastoreItem xmlns:ds="http://schemas.openxmlformats.org/officeDocument/2006/customXml" ds:itemID="{431C8B5B-7A06-4686-9F8A-E8F24EECD8B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5503822-DF13-4051-A489-72B75648E37A}">
  <ds:schemaRefs>
    <ds:schemaRef ds:uri="f681d081-fe2e-4389-8dd1-c7421b0f7b61"/>
    <ds:schemaRef ds:uri="98d07ac0-315d-4ba4-a3f8-0e1dfb824eb0"/>
    <ds:schemaRef ds:uri="http://purl.org/dc/terms/"/>
    <ds:schemaRef ds:uri="http://www.w3.org/XML/1998/namespace"/>
    <ds:schemaRef ds:uri="http://schemas.microsoft.com/office/infopath/2007/PartnerControls"/>
    <ds:schemaRef ds:uri="http://purl.org/dc/dcmitype/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2</vt:i4>
      </vt:variant>
    </vt:vector>
  </HeadingPairs>
  <TitlesOfParts>
    <vt:vector size="5" baseType="lpstr">
      <vt:lpstr>Gestion Exigences</vt:lpstr>
      <vt:lpstr>Modifs Doc</vt:lpstr>
      <vt:lpstr>Params</vt:lpstr>
      <vt:lpstr>'Gestion Exigences'!Zone_d_impression</vt:lpstr>
      <vt:lpstr>'Modifs Doc'!Zone_d_impression</vt:lpstr>
    </vt:vector>
  </TitlesOfParts>
  <Manager/>
  <Company>DACTEM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MEJRI Ahmed</dc:creator>
  <cp:keywords/>
  <dc:description/>
  <cp:lastModifiedBy>Mahdi  Besbes</cp:lastModifiedBy>
  <cp:revision/>
  <dcterms:created xsi:type="dcterms:W3CDTF">2000-07-05T17:03:55Z</dcterms:created>
  <dcterms:modified xsi:type="dcterms:W3CDTF">2024-05-03T15:04:06Z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fdf0aad6-f24a-491d-833a-8fe8a48f4ca6</vt:lpwstr>
  </property>
  <property fmtid="{D5CDD505-2E9C-101B-9397-08002B2CF9AE}" pid="3" name="ContentTypeId">
    <vt:lpwstr>0x010100080D1F9D018AF642BD71F6EA77BA1FCC</vt:lpwstr>
  </property>
  <property fmtid="{D5CDD505-2E9C-101B-9397-08002B2CF9AE}" pid="4" name="MediaServiceImageTags">
    <vt:lpwstr/>
  </property>
</Properties>
</file>