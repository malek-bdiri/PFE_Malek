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3"/>
  <workbookPr/>
  <mc:AlternateContent xmlns:mc="http://schemas.openxmlformats.org/markup-compatibility/2006">
    <mc:Choice Requires="x15">
      <x15ac:absPath xmlns:x15ac="http://schemas.microsoft.com/office/spreadsheetml/2010/11/ac" url="https://addixo.sharepoint.com/COM/Documents partages/02 Prospects/HMI/8 SF/01 Digitalisation usine/2 Préparation Offre/"/>
    </mc:Choice>
  </mc:AlternateContent>
  <xr:revisionPtr revIDLastSave="419" documentId="8_{5D6C2885-D684-4667-AE17-5254F08661EA}" xr6:coauthVersionLast="47" xr6:coauthVersionMax="47" xr10:uidLastSave="{02ECBC6C-DA0C-4F26-AB0E-7DA1352904F1}"/>
  <bookViews>
    <workbookView xWindow="-120" yWindow="-120" windowWidth="20730" windowHeight="11040" tabRatio="620" xr2:uid="{00000000-000D-0000-FFFF-FFFF00000000}"/>
  </bookViews>
  <sheets>
    <sheet name="Gestion Exigences" sheetId="27" r:id="rId1"/>
    <sheet name="Modifs Doc" sheetId="29" r:id="rId2"/>
    <sheet name="Params" sheetId="30" r:id="rId3"/>
  </sheets>
  <definedNames>
    <definedName name="_xlnm.Print_Area" localSheetId="0">'Gestion Exigences'!$C$2:$I$22</definedName>
    <definedName name="_xlnm.Print_Area" localSheetId="1">'Modifs Doc'!$B$2:$G$18</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27" l="1"/>
  <c r="O16" i="27"/>
  <c r="O17" i="27"/>
  <c r="O18" i="27"/>
  <c r="O19" i="27"/>
  <c r="O20" i="27"/>
  <c r="O21" i="27"/>
  <c r="O22" i="27"/>
  <c r="O23" i="27"/>
  <c r="O24" i="27"/>
  <c r="O25" i="27"/>
  <c r="O26" i="27"/>
  <c r="O27" i="27"/>
  <c r="O28" i="27"/>
  <c r="O14" i="27"/>
  <c r="P19" i="27"/>
  <c r="P25" i="27"/>
  <c r="P26" i="27"/>
  <c r="P27" i="27"/>
  <c r="P28" i="27"/>
  <c r="P23" i="27"/>
  <c r="P24" i="27"/>
  <c r="P20" i="27"/>
  <c r="P14" i="27"/>
  <c r="P15" i="27"/>
  <c r="P16" i="27"/>
  <c r="P17" i="27"/>
  <c r="P18" i="27"/>
  <c r="P21" i="27"/>
  <c r="P22" i="27"/>
  <c r="D5" i="29"/>
  <c r="D6" i="29"/>
  <c r="D7" i="29"/>
  <c r="D8" i="29"/>
  <c r="C10" i="29"/>
  <c r="C11" i="29"/>
  <c r="B6" i="29"/>
  <c r="B7" i="29"/>
  <c r="B8" i="29"/>
  <c r="B10" i="29"/>
  <c r="B11" i="29"/>
  <c r="B5" i="29"/>
  <c r="P29" i="27" l="1"/>
</calcChain>
</file>

<file path=xl/sharedStrings.xml><?xml version="1.0" encoding="utf-8"?>
<sst xmlns="http://schemas.openxmlformats.org/spreadsheetml/2006/main" count="298" uniqueCount="161">
  <si>
    <t>Gestion Exigences Projet</t>
  </si>
  <si>
    <t>Chiffrage Réalisation (SF only)</t>
  </si>
  <si>
    <t>Revue et Vérification Pendant la Conception</t>
  </si>
  <si>
    <t>BU</t>
  </si>
  <si>
    <t>SF</t>
  </si>
  <si>
    <t>Client</t>
  </si>
  <si>
    <t>HMI</t>
  </si>
  <si>
    <t>Projet</t>
  </si>
  <si>
    <t>Digitalisation Usine</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</si>
  <si>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</si>
  <si>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</si>
  <si>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</si>
  <si>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</si>
  <si>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</si>
  <si>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</si>
  <si>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</si>
  <si>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</si>
  <si>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</si>
  <si>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</si>
  <si>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</si>
  <si>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</si>
  <si>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</si>
  <si>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</si>
  <si>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</si>
  <si>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</si>
  <si>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</si>
  <si>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</si>
  <si>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</si>
  <si>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</si>
  <si>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</si>
  <si>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</si>
  <si>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</si>
  <si>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</si>
  <si>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</si>
  <si>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</si>
  <si>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</si>
  <si>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</si>
  <si>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</si>
  <si>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</si>
  <si>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</si>
  <si>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</si>
  <si>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 xml:space="preserve">Digitaliser les lignes Blowing </t>
  </si>
  <si>
    <t>Fonctionnelle</t>
  </si>
  <si>
    <t>SF-Fonctionnelle</t>
  </si>
  <si>
    <t>Commerciale</t>
  </si>
  <si>
    <t>Digitaliser les 9 machines de Blowing</t>
  </si>
  <si>
    <t>Workshop/réunion client</t>
  </si>
  <si>
    <t>Intégration des 9 machines de blowing dans ADDIXO Smart Factory.</t>
  </si>
  <si>
    <t>RAS</t>
  </si>
  <si>
    <t>Validée</t>
  </si>
  <si>
    <t>Mahdi B.</t>
  </si>
  <si>
    <t>Non validée par client</t>
  </si>
  <si>
    <t>N/A</t>
  </si>
  <si>
    <t>E002</t>
  </si>
  <si>
    <t>Digitaliser la ligne Bleach</t>
  </si>
  <si>
    <t>Intégration de la ligne Bleach dans ADDIXO Smart Factory.</t>
  </si>
  <si>
    <t>E003</t>
  </si>
  <si>
    <t>Digitaliser les lignes Liquide en bouteilles</t>
  </si>
  <si>
    <t>Intégration des lignes liquides en bouteilles dans ADDIXO Smart Factory</t>
  </si>
  <si>
    <t>E004</t>
  </si>
  <si>
    <t>Digitaliser les lignes Liquide en sachets</t>
  </si>
  <si>
    <t>Intégration des lignes liquides en sachets dans ADDIXO Smart Factory</t>
  </si>
  <si>
    <t>E005</t>
  </si>
  <si>
    <t>Digitaliser la ligne Papier Fluffy</t>
  </si>
  <si>
    <t xml:space="preserve">Digitaliser la ligne Papier Fluffy </t>
  </si>
  <si>
    <t>Intégration de la ligne Papier Fluffy dans ADDIXO Smart Factory</t>
  </si>
  <si>
    <t>E006</t>
  </si>
  <si>
    <t>Digitaliser la ligne Papier Essui Tout.</t>
  </si>
  <si>
    <t>Digitaliser la ligne Papier Essui Tout</t>
  </si>
  <si>
    <t>Intégration de la ligne Papier Essui Tout dans ADDIXO Smart Factory</t>
  </si>
  <si>
    <t>E007</t>
  </si>
  <si>
    <t>Modéliser l'usine HMI Maroc</t>
  </si>
  <si>
    <t>Digitaliser le suivi des lignes de production</t>
  </si>
  <si>
    <t xml:space="preserve">Module Standard Core de ADDIXO Smart Factory.
Ce module permet de :
• Modéliser les ateliers, les lignes, les postes et les machines.
• Intégrer les produits, les clients.
• Intégrer les utilisateurs et configurer les rôles et les accès
• Configurer les pannes et les défauts qualité.
• etc.
</t>
  </si>
  <si>
    <t>E008</t>
  </si>
  <si>
    <t>Gérer la production au niveau des lignes de production</t>
  </si>
  <si>
    <t>Gérer les ordres de fabrications
Déclarer des quantités produites et non conformes manuellement en cas d'absence de connectivité machine.
Lancer des arrêts de production manuellement en cas d'absence de connectivité machine
Avoir un historique détaillé des données de production</t>
  </si>
  <si>
    <t>Module Standard Production de ADDIXO Smart Factory.
Ce module permet de :
- Créer et Gérer les ordres de fabrications
- Déclarer les quantités produites et non conformes manuellement par OF, Ligne et Produit.
- Consulter l'historique de production par OF, par shift, par ligne, par déclaration de production.
-etc..</t>
  </si>
  <si>
    <t>E009</t>
  </si>
  <si>
    <t>Suivre la performance des lignes de production en temps réel</t>
  </si>
  <si>
    <t>Surveiller la performance de chaque ligne de production en temps réel en utilisant des indicateurs comme le TRS, la progression, le Taux de rebut, le Taux de disponibilité…</t>
  </si>
  <si>
    <t>Module Standard Vue 360° de ADDIXO Smart Factory.
Ce module permet de suivre les KPIs en temps réel.
Parmi les indicateurs disponibles : TRS, Taux de rebut, progression, PPM, Performance, Durée et cause d'arrêt, etc.</t>
  </si>
  <si>
    <t>E010</t>
  </si>
  <si>
    <t>Effectuer des analyses de la performance des lignes de production</t>
  </si>
  <si>
    <t>Analyser la performance historique des lignes de production
Analyser l'évolution des indicateurs clés au cours du temps pour chaque ligne de production.</t>
  </si>
  <si>
    <t>Module Standard Tableau de bord de ADDIXO Smart Facoty.
Le tableau de bord fourni une vue multi-niveaux de la production en utilisant des indicateurs comme TRS, Quantité produite vs Quantité planifiée, Temps d'arrêt vs temps de production, etc.</t>
  </si>
  <si>
    <t>E011</t>
  </si>
  <si>
    <t>Faciliter l'intégration des données dans la solution</t>
  </si>
  <si>
    <t>Paramètrage facile et rapide de la solution
Intégration de la solution avec les systèmes d'information de l'usine</t>
  </si>
  <si>
    <t>Module Intégration SI de ADDIXO Smart Factory.
Ce module permet de charger les données en utilisant des fichiers csv ou excel pour les produits, les moules, les utilisateurs, etc.
Le module permet aussi de charger les données à partir des SI utilisés par le client.</t>
  </si>
  <si>
    <t>E012</t>
  </si>
  <si>
    <t xml:space="preserve">Assurer la connectivité des machines </t>
  </si>
  <si>
    <t>Lire les données de production (Production, Arrêt) automatiquement et directement à partir de machines.</t>
  </si>
  <si>
    <t>Module Shopfloor Intégration de ADDIXO Smart Factory.
Ce module permet le streaming, le traitement et le stockage des données à partir des machines.</t>
  </si>
  <si>
    <t>E013</t>
  </si>
  <si>
    <t>Calcul des pièces non conformes</t>
  </si>
  <si>
    <t>Calculer le nombre de pièces non confomes selon la formule suivante :
Scrap = Quantité Produite par Bouteille - Quantité Produite par Caisse.</t>
  </si>
  <si>
    <t>La solution proposée permet de calculer la quantité non conforme en soustractant la quantité Produite par Caisse à partir de la quantité produite par bouteille.</t>
  </si>
  <si>
    <t>E014</t>
  </si>
  <si>
    <t>Lecture des OF à partir de l'ERP</t>
  </si>
  <si>
    <t>Lire les Ordres de fabrications automatiquement à partir de l'ERP.</t>
  </si>
  <si>
    <t>Lecture des Ordres de fabrication à partir de L'ERP en utilisant les webservices.
La lecture des OF peut s'effecuter automatiquement en fonction d'une fréquence choisie par le client et en utilisant l'interface Intégration des OF pour un chargement à sa convenance.
Cette exigences nécessite un travail de collaboration entre l'équipe ADDIXO et le fournisseur ERP du Client</t>
  </si>
  <si>
    <t>E015</t>
  </si>
  <si>
    <t>Renvoie des données de production vers L'ERP</t>
  </si>
  <si>
    <t>Renvoyer les données de production automatiquement vers l'ERP.</t>
  </si>
  <si>
    <t>Renvoie des données de production suivantes vers l'ERP : Quantité Produite, Quantité non conforme, Durée et causes d'arrêt, Durée réelle de production. 
Ces données sont classifiée par OF et par Ligne de production.
La fréquence de remontée de données vers l'ERP est définie par le client au cours de la phase d'analyse fonctionnelle.</t>
  </si>
  <si>
    <t xml:space="preserve"> </t>
  </si>
  <si>
    <t>Version</t>
  </si>
  <si>
    <t>Date</t>
  </si>
  <si>
    <t>Modifications</t>
  </si>
  <si>
    <t>Auteur(s)</t>
  </si>
  <si>
    <t>Vérificateur(s)</t>
  </si>
  <si>
    <t>Approbateur</t>
  </si>
  <si>
    <t>V1.0</t>
  </si>
  <si>
    <t>Exigences projet digitalisation Usine HMI à la suite du workshop du 24/04/2024</t>
  </si>
  <si>
    <t>Imed A.</t>
  </si>
  <si>
    <t>Exigence identifiée pendant la phase</t>
  </si>
  <si>
    <t>Oui/Non</t>
  </si>
  <si>
    <t>Statut Interne</t>
  </si>
  <si>
    <t>SE</t>
  </si>
  <si>
    <t>CdC client</t>
  </si>
  <si>
    <t>Oui</t>
  </si>
  <si>
    <t>Validée par le client</t>
  </si>
  <si>
    <t>*** SE</t>
  </si>
  <si>
    <t>SE-TN</t>
  </si>
  <si>
    <t>Performance</t>
  </si>
  <si>
    <t>Conception</t>
  </si>
  <si>
    <t>Non</t>
  </si>
  <si>
    <t>Non validée</t>
  </si>
  <si>
    <t>SE-Processus</t>
  </si>
  <si>
    <t>SE-MA</t>
  </si>
  <si>
    <t>Reglementaire</t>
  </si>
  <si>
    <t>Réalisation</t>
  </si>
  <si>
    <t>Workshop/réunion Interne</t>
  </si>
  <si>
    <t>SE-Mécanique</t>
  </si>
  <si>
    <t>Sécurité</t>
  </si>
  <si>
    <t>Mise en œuvre</t>
  </si>
  <si>
    <t>Standards client</t>
  </si>
  <si>
    <t>SE-Electrique</t>
  </si>
  <si>
    <t>R&amp;D</t>
  </si>
  <si>
    <t>Standard Client</t>
  </si>
  <si>
    <t>Support et maintenance</t>
  </si>
  <si>
    <t>Standards ADDIXO</t>
  </si>
  <si>
    <t>SE-Soft</t>
  </si>
  <si>
    <t>LOOYAS</t>
  </si>
  <si>
    <t>Standard ADDIXO</t>
  </si>
  <si>
    <t>Reglementation</t>
  </si>
  <si>
    <t>SE-Auto</t>
  </si>
  <si>
    <t>A définir</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</si>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</sst>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s>
  <fills count="7">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0"/>
        <bgColor indexed="64"/>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style="double">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66">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3" borderId="2" xfId="0" applyFont="1" applyFill="1" applyBorder="1" applyAlignment="1">
      <alignment vertical="center" wrapText="1"/>
    </xf>
    <xf numFmtId="0" fontId="10" fillId="3" borderId="3" xfId="0" applyFont="1" applyFill="1" applyBorder="1" applyAlignment="1">
      <alignment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 fillId="6" borderId="0" xfId="0" applyFont="1" applyFill="1" applyAlignment="1">
      <alignment vertical="center" wrapText="1"/>
    </xf>
    <xf numFmtId="0" fontId="1" fillId="6" borderId="0" xfId="0" applyFont="1" applyFill="1" applyAlignment="1">
      <alignment wrapText="1"/>
    </xf>
    <xf numFmtId="0" fontId="17" fillId="6" borderId="0" xfId="0" applyFont="1" applyFill="1"/>
    <xf numFmtId="0" fontId="1" fillId="6" borderId="0" xfId="0" applyFont="1" applyFill="1"/>
    <xf numFmtId="0" fontId="13" fillId="6" borderId="0" xfId="0" applyFont="1" applyFill="1" applyAlignment="1">
      <alignment wrapText="1"/>
    </xf>
    <xf numFmtId="0" fontId="1" fillId="6" borderId="5" xfId="0" applyFont="1" applyFill="1" applyBorder="1" applyAlignment="1">
      <alignment vertical="center" wrapText="1"/>
    </xf>
    <xf numFmtId="0" fontId="1" fillId="6" borderId="6" xfId="0" applyFont="1" applyFill="1" applyBorder="1" applyAlignment="1">
      <alignment vertical="center" wrapText="1"/>
    </xf>
    <xf numFmtId="0" fontId="1" fillId="6" borderId="7" xfId="0" applyFont="1" applyFill="1" applyBorder="1" applyAlignment="1">
      <alignment vertical="center" wrapText="1"/>
    </xf>
    <xf numFmtId="0" fontId="1" fillId="6" borderId="8" xfId="0" applyFont="1" applyFill="1" applyBorder="1" applyAlignment="1">
      <alignment vertical="center" wrapText="1"/>
    </xf>
    <xf numFmtId="0" fontId="1" fillId="6" borderId="9" xfId="0" applyFont="1" applyFill="1" applyBorder="1" applyAlignment="1">
      <alignment vertical="center" wrapText="1"/>
    </xf>
    <xf numFmtId="0" fontId="10" fillId="3" borderId="10" xfId="0" applyFont="1" applyFill="1" applyBorder="1" applyAlignment="1">
      <alignment vertical="center" wrapText="1"/>
    </xf>
    <xf numFmtId="0" fontId="10" fillId="3" borderId="11" xfId="0" applyFont="1" applyFill="1" applyBorder="1" applyAlignment="1">
      <alignment vertical="center" wrapText="1"/>
    </xf>
    <xf numFmtId="0" fontId="1" fillId="0" borderId="12" xfId="0" applyFont="1" applyBorder="1" applyAlignment="1">
      <alignment vertical="center" wrapText="1"/>
    </xf>
    <xf numFmtId="0" fontId="1" fillId="6" borderId="13" xfId="0" applyFont="1" applyFill="1" applyBorder="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 fillId="6" borderId="14" xfId="0" applyFont="1" applyFill="1" applyBorder="1" applyAlignment="1">
      <alignment vertical="center" wrapText="1"/>
    </xf>
    <xf numFmtId="0" fontId="1" fillId="6" borderId="15" xfId="0" applyFont="1" applyFill="1" applyBorder="1" applyAlignment="1">
      <alignment vertical="center" wrapText="1"/>
    </xf>
    <xf numFmtId="0" fontId="1" fillId="6" borderId="0" xfId="0" applyFont="1" applyFill="1" applyBorder="1" applyAlignment="1">
      <alignment vertical="center" wrapText="1"/>
    </xf>
    <xf numFmtId="0" fontId="1" fillId="6" borderId="16" xfId="0" applyFont="1" applyFill="1" applyBorder="1" applyAlignment="1">
      <alignment vertical="center" wrapText="1"/>
    </xf>
    <xf numFmtId="0" fontId="1" fillId="6" borderId="17" xfId="0" applyFont="1" applyFill="1" applyBorder="1" applyAlignment="1">
      <alignment vertical="center" wrapText="1"/>
    </xf>
    <xf numFmtId="0" fontId="1" fillId="6" borderId="18" xfId="0" applyFont="1" applyFill="1" applyBorder="1" applyAlignment="1">
      <alignment vertical="center" wrapText="1"/>
    </xf>
    <xf numFmtId="0" fontId="1" fillId="6" borderId="19" xfId="0" applyFont="1" applyFill="1" applyBorder="1" applyAlignment="1">
      <alignment vertical="center" wrapText="1"/>
    </xf>
  </cellXfs>
  <cellStyles count="1">
    <cellStyle name="Normal" xfId="0" builtinId="0"/>
  </cellStyles>
  <dxfs count="52">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1282241</xdr:colOff>
      <xdr:row>2</xdr:row>
      <xdr:rowOff>561093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29" totalsRowCount="1" headerRowDxfId="51" dataDxfId="50">
  <autoFilter ref="B13:V28" xr:uid="{DDEA2C8B-EE0D-4C55-9256-CCC64E002CE6}"/>
  <tableColumns count="21">
    <tableColumn id="1" xr3:uid="{E467E0EE-CDAA-4FF5-85A8-CDC0B23A5AD9}" name="ID" dataDxfId="48" totalsRowDxfId="49"/>
    <tableColumn id="2" xr3:uid="{E53952AC-4972-47BD-8B1D-C7EF23088D0D}" name="Intitulé 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iption de la solution ADDIXO" dataDxfId="34" totalsRowDxfId="35"/>
    <tableColumn id="17" xr3:uid="{D1BC9C86-C3CE-417F-AC83-FC4786A7656D}" name="E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dataDxfId="24" totalsRowDxfId="25"/>
    <tableColumn id="21" xr3:uid="{818C68C5-1CC3-4DC9-9BB8-2CB7816ABE9F}" name="HJ Analyse et Test" dataDxfId="22" totalsRowDxfId="23">
      <calculatedColumnFormula>Tableau3[[#This Row],[HJ Dev]]*(25%+50%)</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A1:AK32"/>
  <sheetViews>
    <sheetView tabSelected="1" topLeftCell="A12" zoomScale="85" zoomScaleNormal="85" workbookViewId="0">
      <selection activeCell="AB12" sqref="AB12:AB14"/>
    </sheetView>
  </sheetViews>
  <sheetFormatPr defaultColWidth="11.42578125" defaultRowHeight="12.75"/>
  <cols>
    <col min="1" max="1" width="11.42578125" style="1"/>
    <col min="2" max="2" width="6.140625" style="1" customWidth="1"/>
    <col min="3" max="3" width="27.42578125" style="1" customWidth="1"/>
    <col min="4" max="5" width="18.28515625" style="1" hidden="1" customWidth="1"/>
    <col min="6" max="6" width="19.42578125" style="1" hidden="1" customWidth="1"/>
    <col min="7" max="7" width="56.5703125" style="1" customWidth="1"/>
    <col min="8" max="8" width="18.42578125" style="1" hidden="1" customWidth="1"/>
    <col min="9" max="9" width="90.5703125" style="1" customWidth="1"/>
    <col min="10" max="10" width="33.140625" style="1" hidden="1" customWidth="1"/>
    <col min="11" max="12" width="13.5703125" style="1" hidden="1" customWidth="1"/>
    <col min="13" max="13" width="15.28515625" style="1" hidden="1" customWidth="1"/>
    <col min="14" max="14" width="11.85546875" style="1" hidden="1" customWidth="1"/>
    <col min="15" max="15" width="15.42578125" style="1" hidden="1" customWidth="1"/>
    <col min="16" max="16" width="13.7109375" style="1" hidden="1" customWidth="1"/>
    <col min="17" max="17" width="39.85546875" style="1" hidden="1" customWidth="1"/>
    <col min="18" max="18" width="15.7109375" style="1" hidden="1" customWidth="1"/>
    <col min="19" max="19" width="20.5703125" style="1" hidden="1" customWidth="1"/>
    <col min="20" max="20" width="20.140625" style="1" hidden="1" customWidth="1"/>
    <col min="21" max="21" width="15.140625" style="1" hidden="1" customWidth="1"/>
    <col min="22" max="22" width="30.85546875" style="1" hidden="1" customWidth="1"/>
    <col min="23" max="27" width="11.42578125" style="1" hidden="1" customWidth="1"/>
    <col min="28" max="34" width="11.42578125" style="1" customWidth="1"/>
    <col min="35" max="16384" width="11.42578125" style="1"/>
  </cols>
  <sheetData>
    <row r="1" spans="1:36" ht="13.5" thickBot="1"/>
    <row r="2" spans="1:36" ht="21.75" customHeight="1" thickBot="1">
      <c r="B2" s="50" t="s">
        <v>0</v>
      </c>
      <c r="C2" s="51"/>
      <c r="D2" s="51"/>
      <c r="E2" s="51"/>
      <c r="F2" s="51"/>
      <c r="G2" s="51"/>
      <c r="H2" s="51"/>
      <c r="I2" s="51"/>
      <c r="J2" s="51"/>
      <c r="K2" s="51"/>
      <c r="L2" s="51"/>
      <c r="M2" s="52"/>
      <c r="N2" s="53" t="s">
        <v>1</v>
      </c>
      <c r="O2" s="54"/>
      <c r="P2" s="55"/>
      <c r="Q2" s="47" t="s">
        <v>2</v>
      </c>
      <c r="R2" s="48"/>
      <c r="S2" s="48"/>
      <c r="T2" s="48"/>
      <c r="U2" s="48"/>
      <c r="V2" s="49"/>
    </row>
    <row r="3" spans="1:36" ht="53.25" customHeight="1">
      <c r="C3" s="8"/>
      <c r="D3" s="8"/>
      <c r="E3" s="8"/>
      <c r="F3" s="8"/>
      <c r="G3" s="8"/>
      <c r="H3" s="8"/>
      <c r="I3" s="8"/>
    </row>
    <row r="4" spans="1:36" ht="21" customHeight="1">
      <c r="B4" s="29" t="s">
        <v>3</v>
      </c>
      <c r="C4" s="8"/>
      <c r="D4" s="31" t="s">
        <v>4</v>
      </c>
      <c r="E4" s="8"/>
      <c r="F4" s="8"/>
      <c r="G4" s="8"/>
      <c r="H4" s="8"/>
      <c r="I4" s="8"/>
    </row>
    <row r="5" spans="1:36" ht="21.75" customHeight="1">
      <c r="B5" s="26" t="s">
        <v>5</v>
      </c>
      <c r="D5" s="3" t="s">
        <v>6</v>
      </c>
      <c r="E5" s="3"/>
      <c r="F5" s="3"/>
      <c r="G5" s="3"/>
      <c r="H5" s="3"/>
      <c r="I5" s="3"/>
    </row>
    <row r="6" spans="1:36" ht="21" customHeight="1">
      <c r="B6" s="26" t="s">
        <v>7</v>
      </c>
      <c r="D6" s="3" t="s">
        <v>8</v>
      </c>
      <c r="E6" s="3"/>
      <c r="F6" s="3"/>
      <c r="G6" s="3"/>
      <c r="H6" s="3"/>
      <c r="I6" s="3"/>
    </row>
    <row r="7" spans="1:36" ht="20.45" customHeight="1" thickBot="1">
      <c r="B7" s="26" t="s">
        <v>9</v>
      </c>
      <c r="D7" s="3" t="s">
        <v>10</v>
      </c>
      <c r="E7" s="3"/>
      <c r="F7" s="3"/>
      <c r="G7" s="30" t="s">
        <v>11</v>
      </c>
      <c r="H7" s="3"/>
      <c r="I7" s="3"/>
    </row>
    <row r="8" spans="1:36" ht="21.6" customHeight="1">
      <c r="B8" s="26" t="s">
        <v>12</v>
      </c>
      <c r="D8" s="3" t="s">
        <v>13</v>
      </c>
      <c r="E8" s="3"/>
      <c r="F8" s="3"/>
      <c r="G8" s="3"/>
      <c r="H8" s="3"/>
      <c r="I8" s="3"/>
    </row>
    <row r="9" spans="1:36" ht="15">
      <c r="C9" s="3"/>
      <c r="D9" s="23"/>
      <c r="E9" s="23"/>
      <c r="F9" s="23"/>
      <c r="G9" s="23"/>
      <c r="H9" s="23"/>
      <c r="I9" s="23"/>
    </row>
    <row r="10" spans="1:36">
      <c r="B10" s="27" t="s">
        <v>14</v>
      </c>
      <c r="C10" s="28"/>
      <c r="D10" s="27" t="s">
        <v>15</v>
      </c>
      <c r="E10" s="9"/>
      <c r="F10" s="9"/>
      <c r="I10" s="20" t="s">
        <v>16</v>
      </c>
    </row>
    <row r="11" spans="1:36">
      <c r="A11" s="34"/>
      <c r="B11" s="35" t="s">
        <v>17</v>
      </c>
      <c r="C11" s="36"/>
      <c r="D11" s="35" t="s">
        <v>18</v>
      </c>
      <c r="E11" s="37"/>
      <c r="F11" s="37"/>
      <c r="G11" s="34"/>
      <c r="H11" s="34"/>
      <c r="I11" s="34"/>
      <c r="AI11" s="34"/>
      <c r="AJ11" s="34"/>
    </row>
    <row r="12" spans="1:36">
      <c r="A12" s="34"/>
      <c r="B12" s="34"/>
      <c r="C12" s="34"/>
      <c r="D12" s="34"/>
      <c r="E12" s="34"/>
      <c r="F12" s="34"/>
      <c r="G12" s="34"/>
      <c r="H12" s="34"/>
      <c r="I12" s="34"/>
      <c r="AB12" s="34"/>
      <c r="AI12" s="34"/>
      <c r="AJ12" s="34"/>
    </row>
    <row r="13" spans="1:36" s="10" customFormat="1" ht="14.25">
      <c r="A13" s="33"/>
      <c r="B13" s="43" t="s">
        <v>19</v>
      </c>
      <c r="C13" s="44" t="s">
        <v>20</v>
      </c>
      <c r="D13" s="44" t="s">
        <v>21</v>
      </c>
      <c r="E13" s="44" t="s">
        <v>22</v>
      </c>
      <c r="F13" s="44" t="s">
        <v>23</v>
      </c>
      <c r="G13" s="44" t="s">
        <v>24</v>
      </c>
      <c r="H13" s="44" t="s">
        <v>25</v>
      </c>
      <c r="I13" s="44" t="s">
        <v>26</v>
      </c>
      <c r="J13" s="44" t="s">
        <v>27</v>
      </c>
      <c r="K13" s="18" t="s">
        <v>28</v>
      </c>
      <c r="L13" s="18" t="s">
        <v>29</v>
      </c>
      <c r="M13" s="19" t="s">
        <v>30</v>
      </c>
      <c r="N13" s="14" t="s">
        <v>31</v>
      </c>
      <c r="O13" s="14" t="s">
        <v>32</v>
      </c>
      <c r="P13" s="14" t="s">
        <v>33</v>
      </c>
      <c r="Q13" s="15" t="s">
        <v>34</v>
      </c>
      <c r="R13" s="16" t="s">
        <v>35</v>
      </c>
      <c r="S13" s="16" t="s">
        <v>36</v>
      </c>
      <c r="T13" s="16" t="s">
        <v>37</v>
      </c>
      <c r="U13" s="16" t="s">
        <v>38</v>
      </c>
      <c r="V13" s="17" t="s">
        <v>39</v>
      </c>
      <c r="AB13" s="33"/>
      <c r="AI13" s="33"/>
      <c r="AJ13" s="33"/>
    </row>
    <row r="14" spans="1:36" s="10" customFormat="1" ht="36" customHeight="1">
      <c r="A14" s="33"/>
      <c r="B14" s="38" t="s">
        <v>40</v>
      </c>
      <c r="C14" s="39" t="s">
        <v>41</v>
      </c>
      <c r="D14" s="39" t="s">
        <v>42</v>
      </c>
      <c r="E14" s="39" t="s">
        <v>43</v>
      </c>
      <c r="F14" s="39" t="s">
        <v>44</v>
      </c>
      <c r="G14" s="39" t="s">
        <v>45</v>
      </c>
      <c r="H14" s="39" t="s">
        <v>46</v>
      </c>
      <c r="I14" s="59" t="s">
        <v>47</v>
      </c>
      <c r="J14" s="39" t="s">
        <v>48</v>
      </c>
      <c r="K14" s="33" t="s">
        <v>49</v>
      </c>
      <c r="L14" s="33" t="s">
        <v>50</v>
      </c>
      <c r="M14" s="33" t="s">
        <v>51</v>
      </c>
      <c r="N14" s="33">
        <v>0</v>
      </c>
      <c r="O14" s="33">
        <f>Tableau3[[#This Row],[HJ Dev]]*(25%+50%)</f>
        <v>0</v>
      </c>
      <c r="P14" s="33">
        <f>Tableau3[[#This Row],[HJ Analyse et Test]]+Tableau3[[#This Row],[HJ Dev]]</f>
        <v>0</v>
      </c>
      <c r="Q14" s="33" t="s">
        <v>52</v>
      </c>
      <c r="R14" s="33" t="s">
        <v>52</v>
      </c>
      <c r="S14" s="33" t="s">
        <v>52</v>
      </c>
      <c r="T14" s="33" t="s">
        <v>52</v>
      </c>
      <c r="U14" s="33" t="s">
        <v>52</v>
      </c>
      <c r="V14" s="33"/>
      <c r="W14" s="33"/>
      <c r="X14" s="33"/>
      <c r="Y14" s="33"/>
      <c r="Z14" s="33"/>
      <c r="AA14" s="33"/>
      <c r="AB14" s="33"/>
      <c r="AC14" s="33"/>
      <c r="AD14" s="33"/>
      <c r="AE14" s="33"/>
      <c r="AF14" s="33"/>
      <c r="AG14" s="33"/>
      <c r="AH14" s="33"/>
      <c r="AI14" s="33"/>
      <c r="AJ14" s="33"/>
    </row>
    <row r="15" spans="1:36" s="10" customFormat="1" ht="36" customHeight="1">
      <c r="A15" s="33"/>
      <c r="B15" s="40" t="s">
        <v>53</v>
      </c>
      <c r="C15" s="61" t="s">
        <v>54</v>
      </c>
      <c r="D15" s="61" t="s">
        <v>42</v>
      </c>
      <c r="E15" s="61" t="s">
        <v>43</v>
      </c>
      <c r="F15" s="61" t="s">
        <v>44</v>
      </c>
      <c r="G15" s="61" t="s">
        <v>54</v>
      </c>
      <c r="H15" s="61" t="s">
        <v>46</v>
      </c>
      <c r="I15" s="60" t="s">
        <v>55</v>
      </c>
      <c r="J15" s="33" t="s">
        <v>48</v>
      </c>
      <c r="K15" s="33" t="s">
        <v>49</v>
      </c>
      <c r="L15" s="33" t="s">
        <v>50</v>
      </c>
      <c r="M15" s="33" t="s">
        <v>51</v>
      </c>
      <c r="N15" s="33">
        <v>0</v>
      </c>
      <c r="O15" s="33">
        <f>Tableau3[[#This Row],[HJ Dev]]*(25%+50%)</f>
        <v>0</v>
      </c>
      <c r="P15" s="33">
        <f>Tableau3[[#This Row],[HJ Analyse et Test]]+Tableau3[[#This Row],[HJ Dev]]</f>
        <v>0</v>
      </c>
      <c r="Q15" s="33"/>
      <c r="R15" s="33"/>
      <c r="S15" s="33"/>
      <c r="T15" s="33"/>
      <c r="U15" s="33"/>
      <c r="V15" s="33"/>
      <c r="W15" s="33"/>
      <c r="X15" s="33"/>
      <c r="Y15" s="33"/>
      <c r="Z15" s="33"/>
      <c r="AA15" s="33"/>
      <c r="AB15" s="33"/>
      <c r="AC15" s="33"/>
      <c r="AD15" s="33"/>
      <c r="AE15" s="33"/>
      <c r="AF15" s="33"/>
      <c r="AG15" s="33"/>
      <c r="AH15" s="33"/>
      <c r="AI15" s="33"/>
      <c r="AJ15" s="33"/>
    </row>
    <row r="16" spans="1:36" s="10" customFormat="1" ht="36" customHeight="1">
      <c r="A16" s="33"/>
      <c r="B16" s="40" t="s">
        <v>56</v>
      </c>
      <c r="C16" s="61" t="s">
        <v>57</v>
      </c>
      <c r="D16" s="61" t="s">
        <v>42</v>
      </c>
      <c r="E16" s="61" t="s">
        <v>43</v>
      </c>
      <c r="F16" s="61" t="s">
        <v>44</v>
      </c>
      <c r="G16" s="61" t="s">
        <v>57</v>
      </c>
      <c r="H16" s="61" t="s">
        <v>46</v>
      </c>
      <c r="I16" s="60" t="s">
        <v>58</v>
      </c>
      <c r="J16" s="33" t="s">
        <v>48</v>
      </c>
      <c r="K16" s="33" t="s">
        <v>49</v>
      </c>
      <c r="L16" s="33" t="s">
        <v>50</v>
      </c>
      <c r="M16" s="33" t="s">
        <v>51</v>
      </c>
      <c r="N16" s="33">
        <v>0</v>
      </c>
      <c r="O16" s="33">
        <f>Tableau3[[#This Row],[HJ Dev]]*(25%+50%)</f>
        <v>0</v>
      </c>
      <c r="P16" s="33">
        <f>Tableau3[[#This Row],[HJ Analyse et Test]]+Tableau3[[#This Row],[HJ Dev]]</f>
        <v>0</v>
      </c>
      <c r="Q16" s="33"/>
      <c r="R16" s="33"/>
      <c r="S16" s="33"/>
      <c r="T16" s="33"/>
      <c r="U16" s="33"/>
      <c r="V16" s="33"/>
      <c r="W16" s="33"/>
      <c r="X16" s="33"/>
      <c r="Y16" s="33"/>
      <c r="Z16" s="33"/>
      <c r="AA16" s="33"/>
      <c r="AB16" s="33"/>
      <c r="AC16" s="33"/>
      <c r="AD16" s="33"/>
      <c r="AE16" s="33"/>
      <c r="AF16" s="33"/>
      <c r="AG16" s="33"/>
      <c r="AH16" s="33"/>
      <c r="AI16" s="33"/>
      <c r="AJ16" s="33"/>
    </row>
    <row r="17" spans="1:37" s="10" customFormat="1" ht="36" customHeight="1">
      <c r="A17" s="33"/>
      <c r="B17" s="40" t="s">
        <v>59</v>
      </c>
      <c r="C17" s="61" t="s">
        <v>60</v>
      </c>
      <c r="D17" s="61" t="s">
        <v>42</v>
      </c>
      <c r="E17" s="61" t="s">
        <v>43</v>
      </c>
      <c r="F17" s="61" t="s">
        <v>44</v>
      </c>
      <c r="G17" s="61" t="s">
        <v>60</v>
      </c>
      <c r="H17" s="61" t="s">
        <v>46</v>
      </c>
      <c r="I17" s="60" t="s">
        <v>61</v>
      </c>
      <c r="J17" s="33" t="s">
        <v>48</v>
      </c>
      <c r="K17" s="33" t="s">
        <v>49</v>
      </c>
      <c r="L17" s="33" t="s">
        <v>50</v>
      </c>
      <c r="M17" s="33" t="s">
        <v>51</v>
      </c>
      <c r="N17" s="33">
        <v>0</v>
      </c>
      <c r="O17" s="33">
        <f>Tableau3[[#This Row],[HJ Dev]]*(25%+50%)</f>
        <v>0</v>
      </c>
      <c r="P17" s="33">
        <f>Tableau3[[#This Row],[HJ Analyse et Test]]+Tableau3[[#This Row],[HJ Dev]]</f>
        <v>0</v>
      </c>
      <c r="Q17" s="33"/>
      <c r="R17" s="33"/>
      <c r="S17" s="33"/>
      <c r="T17" s="33"/>
      <c r="U17" s="33"/>
      <c r="V17" s="33"/>
      <c r="W17" s="33"/>
      <c r="X17" s="33"/>
      <c r="Y17" s="33"/>
      <c r="Z17" s="33"/>
      <c r="AA17" s="33"/>
      <c r="AB17" s="33"/>
      <c r="AC17" s="33"/>
      <c r="AD17" s="33"/>
      <c r="AE17" s="33"/>
      <c r="AF17" s="33"/>
      <c r="AG17" s="33"/>
      <c r="AH17" s="33"/>
      <c r="AI17" s="33"/>
      <c r="AJ17" s="33"/>
    </row>
    <row r="18" spans="1:37" s="10" customFormat="1" ht="36" customHeight="1">
      <c r="A18" s="33"/>
      <c r="B18" s="40" t="s">
        <v>62</v>
      </c>
      <c r="C18" s="61" t="s">
        <v>63</v>
      </c>
      <c r="D18" s="61" t="s">
        <v>42</v>
      </c>
      <c r="E18" s="61" t="s">
        <v>43</v>
      </c>
      <c r="F18" s="61" t="s">
        <v>44</v>
      </c>
      <c r="G18" s="61" t="s">
        <v>64</v>
      </c>
      <c r="H18" s="61" t="s">
        <v>46</v>
      </c>
      <c r="I18" s="60" t="s">
        <v>65</v>
      </c>
      <c r="J18" s="33" t="s">
        <v>48</v>
      </c>
      <c r="K18" s="33" t="s">
        <v>49</v>
      </c>
      <c r="L18" s="33" t="s">
        <v>50</v>
      </c>
      <c r="M18" s="33" t="s">
        <v>51</v>
      </c>
      <c r="N18" s="33">
        <v>0</v>
      </c>
      <c r="O18" s="33">
        <f>Tableau3[[#This Row],[HJ Dev]]*(25%+50%)</f>
        <v>0</v>
      </c>
      <c r="P18" s="33">
        <f>Tableau3[[#This Row],[HJ Analyse et Test]]+Tableau3[[#This Row],[HJ Dev]]</f>
        <v>0</v>
      </c>
      <c r="Q18" s="33"/>
      <c r="R18" s="33"/>
      <c r="S18" s="33"/>
      <c r="T18" s="33"/>
      <c r="U18" s="33"/>
      <c r="V18" s="33"/>
      <c r="W18" s="33"/>
      <c r="X18" s="33"/>
      <c r="Y18" s="33"/>
      <c r="Z18" s="33"/>
      <c r="AA18" s="33"/>
      <c r="AB18" s="33"/>
      <c r="AC18" s="33"/>
      <c r="AD18" s="33"/>
      <c r="AE18" s="33"/>
      <c r="AF18" s="33"/>
      <c r="AG18" s="33"/>
      <c r="AH18" s="33"/>
      <c r="AI18" s="33"/>
      <c r="AJ18" s="33"/>
    </row>
    <row r="19" spans="1:37" s="10" customFormat="1" ht="36" customHeight="1">
      <c r="A19" s="33"/>
      <c r="B19" s="41" t="s">
        <v>66</v>
      </c>
      <c r="C19" s="42" t="s">
        <v>67</v>
      </c>
      <c r="D19" s="42" t="s">
        <v>42</v>
      </c>
      <c r="E19" s="42" t="s">
        <v>43</v>
      </c>
      <c r="F19" s="42" t="s">
        <v>44</v>
      </c>
      <c r="G19" s="42" t="s">
        <v>68</v>
      </c>
      <c r="H19" s="42" t="s">
        <v>46</v>
      </c>
      <c r="I19" s="60" t="s">
        <v>69</v>
      </c>
      <c r="J19" s="33" t="s">
        <v>48</v>
      </c>
      <c r="K19" s="33" t="s">
        <v>49</v>
      </c>
      <c r="L19" s="33" t="s">
        <v>50</v>
      </c>
      <c r="M19" s="33" t="s">
        <v>51</v>
      </c>
      <c r="N19" s="33"/>
      <c r="O19" s="33">
        <f>Tableau3[[#This Row],[HJ Dev]]*(25%+50%)</f>
        <v>0</v>
      </c>
      <c r="P19" s="33">
        <f>Tableau3[[#This Row],[HJ Analyse et Test]]+Tableau3[[#This Row],[HJ Dev]]</f>
        <v>0</v>
      </c>
      <c r="Q19" s="33"/>
      <c r="R19" s="33"/>
      <c r="S19" s="33"/>
      <c r="T19" s="33"/>
      <c r="U19" s="33"/>
      <c r="V19" s="33"/>
      <c r="W19" s="33"/>
      <c r="X19" s="33"/>
      <c r="Y19" s="33"/>
      <c r="Z19" s="33"/>
      <c r="AA19" s="33"/>
      <c r="AB19" s="33"/>
      <c r="AC19" s="33"/>
      <c r="AD19" s="33"/>
      <c r="AE19" s="33"/>
      <c r="AF19" s="33"/>
      <c r="AG19" s="33"/>
      <c r="AH19" s="33"/>
      <c r="AI19" s="33"/>
      <c r="AJ19" s="33"/>
    </row>
    <row r="20" spans="1:37" s="10" customFormat="1" ht="117">
      <c r="A20" s="33"/>
      <c r="B20" s="40" t="s">
        <v>70</v>
      </c>
      <c r="C20" s="61" t="s">
        <v>71</v>
      </c>
      <c r="D20" s="61" t="s">
        <v>42</v>
      </c>
      <c r="E20" s="61" t="s">
        <v>43</v>
      </c>
      <c r="F20" s="61" t="s">
        <v>44</v>
      </c>
      <c r="G20" s="61" t="s">
        <v>72</v>
      </c>
      <c r="H20" s="61" t="s">
        <v>46</v>
      </c>
      <c r="I20" s="60" t="s">
        <v>73</v>
      </c>
      <c r="J20" s="33" t="s">
        <v>48</v>
      </c>
      <c r="K20" s="33" t="s">
        <v>49</v>
      </c>
      <c r="L20" s="33" t="s">
        <v>50</v>
      </c>
      <c r="M20" s="33" t="s">
        <v>51</v>
      </c>
      <c r="N20" s="33"/>
      <c r="O20" s="33">
        <f>Tableau3[[#This Row],[HJ Dev]]*(25%+50%)</f>
        <v>0</v>
      </c>
      <c r="P20" s="33">
        <f>Tableau3[[#This Row],[HJ Analyse et Test]]+Tableau3[[#This Row],[HJ Dev]]</f>
        <v>0</v>
      </c>
      <c r="Q20" s="33"/>
      <c r="R20" s="33"/>
      <c r="S20" s="33"/>
      <c r="T20" s="33"/>
      <c r="U20" s="33"/>
      <c r="V20" s="33"/>
      <c r="W20" s="33"/>
      <c r="X20" s="33"/>
      <c r="Y20" s="33"/>
      <c r="Z20" s="33"/>
      <c r="AA20" s="33"/>
      <c r="AB20" s="33"/>
      <c r="AC20" s="33"/>
      <c r="AD20" s="33"/>
      <c r="AE20" s="33"/>
      <c r="AF20" s="33"/>
      <c r="AG20" s="33"/>
      <c r="AH20" s="33"/>
      <c r="AI20" s="33"/>
      <c r="AJ20" s="33"/>
    </row>
    <row r="21" spans="1:37" s="10" customFormat="1" ht="88.5">
      <c r="A21" s="33"/>
      <c r="B21" s="41" t="s">
        <v>74</v>
      </c>
      <c r="C21" s="42" t="s">
        <v>75</v>
      </c>
      <c r="D21" s="42" t="s">
        <v>42</v>
      </c>
      <c r="E21" s="42" t="s">
        <v>43</v>
      </c>
      <c r="F21" s="42" t="s">
        <v>44</v>
      </c>
      <c r="G21" s="42" t="s">
        <v>76</v>
      </c>
      <c r="H21" s="42" t="s">
        <v>46</v>
      </c>
      <c r="I21" s="65" t="s">
        <v>77</v>
      </c>
      <c r="J21" s="33" t="s">
        <v>48</v>
      </c>
      <c r="K21" s="33" t="s">
        <v>49</v>
      </c>
      <c r="L21" s="33" t="s">
        <v>50</v>
      </c>
      <c r="M21" s="33" t="s">
        <v>51</v>
      </c>
      <c r="N21" s="33">
        <v>0</v>
      </c>
      <c r="O21" s="33">
        <f>Tableau3[[#This Row],[HJ Dev]]*(25%+50%)</f>
        <v>0</v>
      </c>
      <c r="P21" s="33">
        <f>Tableau3[[#This Row],[HJ Analyse et Test]]+Tableau3[[#This Row],[HJ Dev]]</f>
        <v>0</v>
      </c>
      <c r="Q21" s="33"/>
      <c r="R21" s="33"/>
      <c r="S21" s="33"/>
      <c r="T21" s="33"/>
      <c r="U21" s="33"/>
      <c r="V21" s="33"/>
      <c r="W21" s="33"/>
      <c r="X21" s="33"/>
      <c r="Y21" s="33"/>
      <c r="Z21" s="33"/>
      <c r="AA21" s="33"/>
      <c r="AB21" s="33"/>
      <c r="AC21" s="33"/>
      <c r="AD21" s="33"/>
      <c r="AE21" s="33"/>
      <c r="AF21" s="33"/>
      <c r="AG21" s="33"/>
      <c r="AH21" s="33"/>
      <c r="AI21" s="33"/>
      <c r="AJ21" s="33"/>
    </row>
    <row r="22" spans="1:37" s="10" customFormat="1" ht="58.5" hidden="1">
      <c r="A22" s="33"/>
      <c r="B22" s="40" t="s">
        <v>78</v>
      </c>
      <c r="C22" s="61" t="s">
        <v>79</v>
      </c>
      <c r="D22" s="61" t="s">
        <v>42</v>
      </c>
      <c r="E22" s="61" t="s">
        <v>43</v>
      </c>
      <c r="F22" s="61" t="s">
        <v>44</v>
      </c>
      <c r="G22" s="61" t="s">
        <v>80</v>
      </c>
      <c r="H22" s="61" t="s">
        <v>46</v>
      </c>
      <c r="I22" s="60" t="s">
        <v>81</v>
      </c>
      <c r="J22" s="33" t="s">
        <v>48</v>
      </c>
      <c r="K22" s="33" t="s">
        <v>49</v>
      </c>
      <c r="L22" s="33" t="s">
        <v>50</v>
      </c>
      <c r="M22" s="33" t="s">
        <v>51</v>
      </c>
      <c r="N22" s="33">
        <v>0</v>
      </c>
      <c r="O22" s="33">
        <f>Tableau3[[#This Row],[HJ Dev]]*(25%+50%)</f>
        <v>0</v>
      </c>
      <c r="P22" s="33">
        <f>Tableau3[[#This Row],[HJ Analyse et Test]]+Tableau3[[#This Row],[HJ Dev]]</f>
        <v>0</v>
      </c>
      <c r="Q22" s="33"/>
      <c r="R22" s="33"/>
      <c r="S22" s="33"/>
      <c r="T22" s="33"/>
      <c r="U22" s="33"/>
      <c r="V22" s="33"/>
      <c r="W22" s="33"/>
      <c r="X22" s="33"/>
      <c r="Y22" s="33"/>
      <c r="Z22" s="33"/>
      <c r="AA22" s="33"/>
      <c r="AB22" s="33"/>
      <c r="AC22" s="33"/>
      <c r="AD22" s="33"/>
      <c r="AE22" s="33"/>
      <c r="AF22" s="33"/>
      <c r="AG22" s="33"/>
      <c r="AH22" s="33"/>
      <c r="AI22" s="33"/>
      <c r="AJ22" s="33"/>
    </row>
    <row r="23" spans="1:37" s="10" customFormat="1" ht="54.75" hidden="1" customHeight="1">
      <c r="A23" s="33"/>
      <c r="B23" s="38" t="s">
        <v>82</v>
      </c>
      <c r="C23" s="39" t="s">
        <v>83</v>
      </c>
      <c r="D23" s="39" t="s">
        <v>42</v>
      </c>
      <c r="E23" s="39" t="s">
        <v>43</v>
      </c>
      <c r="F23" s="39" t="s">
        <v>44</v>
      </c>
      <c r="G23" s="39" t="s">
        <v>84</v>
      </c>
      <c r="H23" s="39" t="s">
        <v>46</v>
      </c>
      <c r="I23" s="60" t="s">
        <v>85</v>
      </c>
      <c r="J23" s="33" t="s">
        <v>48</v>
      </c>
      <c r="K23" s="33" t="s">
        <v>49</v>
      </c>
      <c r="L23" s="33" t="s">
        <v>50</v>
      </c>
      <c r="M23" s="33" t="s">
        <v>51</v>
      </c>
      <c r="N23" s="33"/>
      <c r="O23" s="33">
        <f>Tableau3[[#This Row],[HJ Dev]]*(25%+50%)</f>
        <v>0</v>
      </c>
      <c r="P23" s="33">
        <f>Tableau3[[#This Row],[HJ Analyse et Test]]+Tableau3[[#This Row],[HJ Dev]]</f>
        <v>0</v>
      </c>
      <c r="Q23" s="33"/>
      <c r="R23" s="33"/>
      <c r="S23" s="33"/>
      <c r="T23" s="33"/>
      <c r="U23" s="33"/>
      <c r="V23" s="33"/>
      <c r="W23" s="33"/>
      <c r="X23" s="33"/>
      <c r="Y23" s="33"/>
      <c r="Z23" s="33"/>
      <c r="AA23" s="33"/>
      <c r="AB23" s="33"/>
      <c r="AC23" s="33"/>
      <c r="AD23" s="33"/>
      <c r="AE23" s="33"/>
      <c r="AF23" s="33"/>
      <c r="AG23" s="33"/>
      <c r="AH23" s="33"/>
      <c r="AI23" s="33"/>
      <c r="AJ23" s="33"/>
    </row>
    <row r="24" spans="1:37" s="10" customFormat="1" ht="63" hidden="1" customHeight="1">
      <c r="A24" s="33"/>
      <c r="B24" s="40" t="s">
        <v>86</v>
      </c>
      <c r="C24" s="61" t="s">
        <v>87</v>
      </c>
      <c r="D24" s="61" t="s">
        <v>42</v>
      </c>
      <c r="E24" s="61" t="s">
        <v>43</v>
      </c>
      <c r="F24" s="61" t="s">
        <v>44</v>
      </c>
      <c r="G24" s="61" t="s">
        <v>88</v>
      </c>
      <c r="H24" s="61" t="s">
        <v>46</v>
      </c>
      <c r="I24" s="60" t="s">
        <v>89</v>
      </c>
      <c r="J24" s="33" t="s">
        <v>48</v>
      </c>
      <c r="K24" s="33" t="s">
        <v>49</v>
      </c>
      <c r="L24" s="33" t="s">
        <v>50</v>
      </c>
      <c r="M24" s="33" t="s">
        <v>51</v>
      </c>
      <c r="N24" s="33"/>
      <c r="O24" s="33">
        <f>Tableau3[[#This Row],[HJ Dev]]*(25%+50%)</f>
        <v>0</v>
      </c>
      <c r="P24" s="33">
        <f>Tableau3[[#This Row],[HJ Analyse et Test]]+Tableau3[[#This Row],[HJ Dev]]</f>
        <v>0</v>
      </c>
      <c r="Q24" s="33"/>
      <c r="R24" s="33"/>
      <c r="S24" s="33"/>
      <c r="T24" s="33"/>
      <c r="U24" s="33"/>
      <c r="V24" s="33"/>
      <c r="W24" s="33"/>
      <c r="X24" s="33"/>
      <c r="Y24" s="33"/>
      <c r="Z24" s="33"/>
      <c r="AA24" s="33"/>
      <c r="AB24" s="33"/>
      <c r="AC24" s="33"/>
      <c r="AD24" s="33"/>
      <c r="AE24" s="33"/>
      <c r="AF24" s="33"/>
      <c r="AG24" s="33"/>
      <c r="AH24" s="33"/>
      <c r="AI24" s="33"/>
      <c r="AJ24" s="33"/>
    </row>
    <row r="25" spans="1:37" s="10" customFormat="1" ht="36" hidden="1" customHeight="1">
      <c r="A25" s="33"/>
      <c r="B25" s="40" t="s">
        <v>90</v>
      </c>
      <c r="C25" s="61" t="s">
        <v>91</v>
      </c>
      <c r="D25" s="61" t="s">
        <v>42</v>
      </c>
      <c r="E25" s="61" t="s">
        <v>43</v>
      </c>
      <c r="F25" s="61" t="s">
        <v>44</v>
      </c>
      <c r="G25" s="61" t="s">
        <v>92</v>
      </c>
      <c r="H25" s="61" t="s">
        <v>46</v>
      </c>
      <c r="I25" s="60" t="s">
        <v>93</v>
      </c>
      <c r="J25" s="33" t="s">
        <v>48</v>
      </c>
      <c r="K25" s="33" t="s">
        <v>49</v>
      </c>
      <c r="L25" s="33" t="s">
        <v>50</v>
      </c>
      <c r="M25" s="33" t="s">
        <v>51</v>
      </c>
      <c r="N25" s="33"/>
      <c r="O25" s="33">
        <f>Tableau3[[#This Row],[HJ Dev]]*(25%+50%)</f>
        <v>0</v>
      </c>
      <c r="P25" s="33">
        <f>Tableau3[[#This Row],[HJ Analyse et Test]]+Tableau3[[#This Row],[HJ Dev]]</f>
        <v>0</v>
      </c>
      <c r="Q25" s="33"/>
      <c r="R25" s="33"/>
      <c r="S25" s="33"/>
      <c r="T25" s="33"/>
      <c r="U25" s="33"/>
      <c r="V25" s="33"/>
      <c r="W25" s="33"/>
      <c r="X25" s="33"/>
      <c r="Y25" s="33"/>
      <c r="Z25" s="33"/>
      <c r="AA25" s="33"/>
      <c r="AB25" s="33"/>
      <c r="AC25" s="33"/>
      <c r="AD25" s="33"/>
      <c r="AE25" s="33"/>
      <c r="AF25" s="33"/>
      <c r="AG25" s="33"/>
      <c r="AH25" s="33"/>
      <c r="AI25" s="33"/>
      <c r="AJ25" s="33"/>
    </row>
    <row r="26" spans="1:37" s="10" customFormat="1" ht="36.75" hidden="1" customHeight="1">
      <c r="A26" s="33"/>
      <c r="B26" s="40" t="s">
        <v>94</v>
      </c>
      <c r="C26" s="61" t="s">
        <v>95</v>
      </c>
      <c r="D26" s="61" t="s">
        <v>42</v>
      </c>
      <c r="E26" s="61" t="s">
        <v>43</v>
      </c>
      <c r="F26" s="61" t="s">
        <v>44</v>
      </c>
      <c r="G26" s="61" t="s">
        <v>96</v>
      </c>
      <c r="H26" s="61" t="s">
        <v>46</v>
      </c>
      <c r="I26" s="60" t="s">
        <v>97</v>
      </c>
      <c r="J26" s="33" t="s">
        <v>48</v>
      </c>
      <c r="K26" s="33" t="s">
        <v>49</v>
      </c>
      <c r="L26" s="33" t="s">
        <v>50</v>
      </c>
      <c r="M26" s="33" t="s">
        <v>51</v>
      </c>
      <c r="N26" s="33">
        <v>3</v>
      </c>
      <c r="O26" s="33">
        <f>Tableau3[[#This Row],[HJ Dev]]*(25%+50%)</f>
        <v>2.25</v>
      </c>
      <c r="P26" s="33">
        <f>Tableau3[[#This Row],[HJ Analyse et Test]]+Tableau3[[#This Row],[HJ Dev]]</f>
        <v>5.25</v>
      </c>
      <c r="Q26" s="33"/>
      <c r="R26" s="33"/>
      <c r="S26" s="33"/>
      <c r="T26" s="33"/>
      <c r="U26" s="33"/>
      <c r="V26" s="33"/>
      <c r="W26" s="33"/>
      <c r="X26" s="33"/>
      <c r="Y26" s="33"/>
      <c r="Z26" s="33"/>
      <c r="AA26" s="33"/>
      <c r="AB26" s="33"/>
      <c r="AC26" s="33"/>
      <c r="AD26" s="33"/>
      <c r="AE26" s="33"/>
      <c r="AF26" s="33"/>
      <c r="AG26" s="33"/>
      <c r="AH26" s="33"/>
      <c r="AI26" s="33"/>
      <c r="AJ26" s="33"/>
      <c r="AK26" s="45"/>
    </row>
    <row r="27" spans="1:37" s="10" customFormat="1" ht="69.75" hidden="1" customHeight="1">
      <c r="A27" s="33"/>
      <c r="B27" s="40" t="s">
        <v>98</v>
      </c>
      <c r="C27" s="61" t="s">
        <v>99</v>
      </c>
      <c r="D27" s="61" t="s">
        <v>42</v>
      </c>
      <c r="E27" s="61" t="s">
        <v>43</v>
      </c>
      <c r="F27" s="61" t="s">
        <v>44</v>
      </c>
      <c r="G27" s="61" t="s">
        <v>100</v>
      </c>
      <c r="H27" s="61" t="s">
        <v>46</v>
      </c>
      <c r="I27" s="60" t="s">
        <v>101</v>
      </c>
      <c r="J27" s="33" t="s">
        <v>48</v>
      </c>
      <c r="K27" s="33" t="s">
        <v>49</v>
      </c>
      <c r="L27" s="33" t="s">
        <v>50</v>
      </c>
      <c r="M27" s="33" t="s">
        <v>51</v>
      </c>
      <c r="N27" s="33">
        <v>4</v>
      </c>
      <c r="O27" s="33">
        <f>Tableau3[[#This Row],[HJ Dev]]*(25%+50%)</f>
        <v>3</v>
      </c>
      <c r="P27" s="33">
        <f>Tableau3[[#This Row],[HJ Analyse et Test]]+Tableau3[[#This Row],[HJ Dev]]</f>
        <v>7</v>
      </c>
      <c r="Q27" s="33"/>
      <c r="R27" s="33"/>
      <c r="S27" s="33"/>
      <c r="T27" s="33"/>
      <c r="U27" s="33"/>
      <c r="V27" s="33"/>
      <c r="W27" s="33"/>
      <c r="X27" s="33"/>
      <c r="Y27" s="33"/>
      <c r="Z27" s="33"/>
      <c r="AA27" s="33"/>
      <c r="AB27" s="33"/>
      <c r="AC27" s="33"/>
      <c r="AD27" s="33"/>
      <c r="AE27" s="33"/>
      <c r="AF27" s="33"/>
      <c r="AG27" s="33"/>
      <c r="AH27" s="33"/>
      <c r="AI27" s="33"/>
      <c r="AJ27" s="33"/>
    </row>
    <row r="28" spans="1:37" s="10" customFormat="1" ht="60.75" hidden="1" customHeight="1">
      <c r="A28" s="33"/>
      <c r="B28" s="62" t="s">
        <v>102</v>
      </c>
      <c r="C28" s="63" t="s">
        <v>103</v>
      </c>
      <c r="D28" s="63" t="s">
        <v>42</v>
      </c>
      <c r="E28" s="63" t="s">
        <v>43</v>
      </c>
      <c r="F28" s="63" t="s">
        <v>44</v>
      </c>
      <c r="G28" s="63" t="s">
        <v>104</v>
      </c>
      <c r="H28" s="63" t="s">
        <v>46</v>
      </c>
      <c r="I28" s="64" t="s">
        <v>105</v>
      </c>
      <c r="J28" s="46" t="s">
        <v>48</v>
      </c>
      <c r="K28" s="33" t="s">
        <v>49</v>
      </c>
      <c r="L28" s="33" t="s">
        <v>50</v>
      </c>
      <c r="M28" s="33" t="s">
        <v>51</v>
      </c>
      <c r="N28" s="33">
        <v>6</v>
      </c>
      <c r="O28" s="33">
        <f>Tableau3[[#This Row],[HJ Dev]]*(25%+50%)</f>
        <v>4.5</v>
      </c>
      <c r="P28" s="33">
        <f>Tableau3[[#This Row],[HJ Analyse et Test]]+Tableau3[[#This Row],[HJ Dev]]</f>
        <v>10.5</v>
      </c>
      <c r="Q28" s="33"/>
      <c r="R28" s="33"/>
      <c r="S28" s="33"/>
      <c r="T28" s="33"/>
      <c r="U28" s="33"/>
      <c r="V28" s="33"/>
      <c r="W28" s="33"/>
      <c r="X28" s="33"/>
      <c r="Y28" s="33"/>
      <c r="Z28" s="33"/>
      <c r="AA28" s="33"/>
      <c r="AB28" s="33"/>
      <c r="AC28" s="33"/>
      <c r="AD28" s="33"/>
      <c r="AE28" s="33"/>
      <c r="AF28" s="33"/>
      <c r="AG28" s="33"/>
      <c r="AH28" s="33"/>
      <c r="AI28" s="33"/>
      <c r="AJ28" s="33"/>
    </row>
    <row r="29" spans="1:37">
      <c r="A29" s="34"/>
      <c r="B29" s="33"/>
      <c r="C29" s="33"/>
      <c r="D29" s="33"/>
      <c r="E29" s="33"/>
      <c r="F29" s="33"/>
      <c r="G29" s="33"/>
      <c r="H29" s="33"/>
      <c r="I29" s="33"/>
      <c r="J29" s="33"/>
      <c r="K29" s="33"/>
      <c r="L29" s="33"/>
      <c r="M29" s="33"/>
      <c r="N29" s="33"/>
      <c r="O29" s="33"/>
      <c r="P29" s="33">
        <f>SUBTOTAL(109,Tableau3[Total HJ])</f>
        <v>0</v>
      </c>
      <c r="Q29" s="33"/>
      <c r="R29" s="33"/>
      <c r="S29" s="33"/>
      <c r="T29" s="33"/>
      <c r="U29" s="33"/>
      <c r="V29" s="33"/>
      <c r="W29" s="34"/>
      <c r="X29" s="34"/>
      <c r="Y29" s="34"/>
      <c r="Z29" s="34"/>
      <c r="AA29" s="34"/>
      <c r="AB29" s="34"/>
      <c r="AC29" s="34"/>
      <c r="AD29" s="34"/>
      <c r="AE29" s="34"/>
      <c r="AF29" s="34"/>
      <c r="AG29" s="34"/>
      <c r="AH29" s="34"/>
      <c r="AI29" s="34"/>
      <c r="AJ29" s="34"/>
    </row>
    <row r="30" spans="1:37">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row>
    <row r="31" spans="1:37">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row>
    <row r="32" spans="1:37">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row>
  </sheetData>
  <mergeCells count="3">
    <mergeCell ref="Q2:V2"/>
    <mergeCell ref="B2:M2"/>
    <mergeCell ref="N2:P2"/>
  </mergeCells>
  <phoneticPr fontId="2" type="noConversion"/>
  <dataValidations count="1">
    <dataValidation type="whole" operator="greaterThanOrEqual" allowBlank="1" showInputMessage="1" showErrorMessage="1" sqref="N14:P28" xr:uid="{10E2E794-3894-4CC1-AB1A-9BB5BF41EABB}">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9E253E9F-6967-4CE3-BEC2-E6EF086F8550}">
          <x14:formula1>
            <xm:f>Params!$B$3:$B$10</xm:f>
          </x14:formula1>
          <xm:sqref>D4</xm:sqref>
        </x14:dataValidation>
        <x14:dataValidation type="list" allowBlank="1" showInputMessage="1" showErrorMessage="1" xr:uid="{63E576AD-8CDE-4B1B-8DEC-1BE67CC8DE6D}">
          <x14:formula1>
            <xm:f>Params!$D$3:$D$10</xm:f>
          </x14:formula1>
          <xm:sqref>F14:F28</xm:sqref>
        </x14:dataValidation>
        <x14:dataValidation type="list" allowBlank="1" showInputMessage="1" showErrorMessage="1" xr:uid="{C43D2377-E8A5-4EC4-8F56-2516FCD07F2A}">
          <x14:formula1>
            <xm:f>Params!$E$3:$E$12</xm:f>
          </x14:formula1>
          <xm:sqref>H14:H28</xm:sqref>
        </x14:dataValidation>
        <x14:dataValidation type="list" allowBlank="1" showInputMessage="1" showErrorMessage="1" xr:uid="{06B2A4DB-2A94-4B0B-971B-CDFF438E23BA}">
          <x14:formula1>
            <xm:f>Params!$G$3:$G$9</xm:f>
          </x14:formula1>
          <xm:sqref>M14:M28</xm:sqref>
        </x14:dataValidation>
        <x14:dataValidation type="list" allowBlank="1" showInputMessage="1" showErrorMessage="1" xr:uid="{1F2CF1C1-BE35-4DC9-A975-F49F788F3D6A}">
          <x14:formula1>
            <xm:f>Params!$H$3:$H$6</xm:f>
          </x14:formula1>
          <xm:sqref>K14:K28</xm:sqref>
        </x14:dataValidation>
        <x14:dataValidation type="list" allowBlank="1" showInputMessage="1" showErrorMessage="1" xr:uid="{63FB3CBD-0303-4DD5-A1D9-0AE10EE7B36C}">
          <x14:formula1>
            <xm:f>Params!$C$3:$C$10</xm:f>
          </x14:formula1>
          <xm:sqref>D14:D28</xm:sqref>
        </x14:dataValidation>
        <x14:dataValidation type="list" allowBlank="1" showInputMessage="1" showErrorMessage="1" xr:uid="{ACD971DD-EBC0-49A2-8B0F-955749BFC348}">
          <x14:formula1>
            <xm:f>Params!$I$3:$I$19</xm:f>
          </x14:formula1>
          <xm:sqref>E14:E28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C15" sqref="C15"/>
    </sheetView>
  </sheetViews>
  <sheetFormatPr defaultColWidth="11.42578125" defaultRowHeight="1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75" thickBot="1"/>
    <row r="3" spans="1:7" ht="24" customHeight="1" thickBot="1">
      <c r="A3" s="2" t="s">
        <v>106</v>
      </c>
      <c r="B3" s="56" t="s">
        <v>0</v>
      </c>
      <c r="C3" s="57"/>
      <c r="D3" s="57"/>
      <c r="E3" s="57"/>
      <c r="F3" s="57"/>
      <c r="G3" s="58"/>
    </row>
    <row r="4" spans="1:7">
      <c r="B4" s="4"/>
      <c r="C4" s="5"/>
      <c r="D4" s="5"/>
      <c r="E4" s="5"/>
      <c r="F4" s="5"/>
      <c r="G4" s="5"/>
    </row>
    <row r="5" spans="1:7">
      <c r="B5" s="12" t="str">
        <f>'Gestion Exigences'!B5</f>
        <v>Client</v>
      </c>
      <c r="D5" s="12" t="str">
        <f>'Gestion Exigences'!D5</f>
        <v>HMI</v>
      </c>
      <c r="E5" s="5"/>
      <c r="F5" s="5"/>
      <c r="G5" s="5"/>
    </row>
    <row r="6" spans="1:7">
      <c r="B6" s="12" t="str">
        <f>'Gestion Exigences'!B6</f>
        <v>Projet</v>
      </c>
      <c r="D6" s="12" t="str">
        <f>'Gestion Exigences'!D6</f>
        <v>Digitalisation Usine</v>
      </c>
      <c r="E6" s="5"/>
      <c r="F6" s="5"/>
      <c r="G6" s="5"/>
    </row>
    <row r="7" spans="1:7">
      <c r="B7" s="12" t="str">
        <f>'Gestion Exigences'!B7</f>
        <v>Réf BPA du Devis</v>
      </c>
      <c r="D7" s="12" t="str">
        <f>'Gestion Exigences'!D7</f>
        <v>S0-00xyz</v>
      </c>
      <c r="E7" s="5"/>
      <c r="F7" s="5"/>
      <c r="G7" s="5"/>
    </row>
    <row r="8" spans="1:7">
      <c r="B8" s="12" t="str">
        <f>'Gestion Exigences'!B8</f>
        <v>Réf BPA du Projet</v>
      </c>
      <c r="D8" s="12" t="str">
        <f>'Gestion Exigences'!D8</f>
        <v>PR-22-0xyz</v>
      </c>
      <c r="E8" s="5"/>
      <c r="F8" s="5"/>
      <c r="G8" s="5"/>
    </row>
    <row r="9" spans="1:7">
      <c r="B9" s="4"/>
      <c r="C9" s="12"/>
      <c r="D9" s="5"/>
      <c r="E9" s="5"/>
      <c r="F9" s="5"/>
      <c r="G9" s="5"/>
    </row>
    <row r="10" spans="1:7">
      <c r="B10" s="24" t="str">
        <f>'Gestion Exigences'!B10</f>
        <v>Réf Modèle Document</v>
      </c>
      <c r="C10" s="25" t="str">
        <f>'Gestion Exigences'!D10</f>
        <v>MD203</v>
      </c>
      <c r="D10" s="5"/>
      <c r="E10" s="5"/>
      <c r="F10" s="5"/>
      <c r="G10" s="5"/>
    </row>
    <row r="11" spans="1:7">
      <c r="B11" s="24" t="str">
        <f>'Gestion Exigences'!B11</f>
        <v>Version Modèle Document</v>
      </c>
      <c r="C11" s="25" t="str">
        <f>'Gestion Exigences'!D11</f>
        <v>V1.5</v>
      </c>
      <c r="D11" s="5"/>
      <c r="E11" s="5"/>
      <c r="F11" s="5"/>
      <c r="G11" s="5"/>
    </row>
    <row r="12" spans="1:7">
      <c r="B12" s="4"/>
      <c r="C12" s="5"/>
      <c r="D12" s="5"/>
      <c r="E12" s="5"/>
      <c r="F12" s="5"/>
      <c r="G12" s="5"/>
    </row>
    <row r="13" spans="1:7">
      <c r="B13" s="13" t="s">
        <v>107</v>
      </c>
      <c r="C13" s="13" t="s">
        <v>108</v>
      </c>
      <c r="D13" s="13" t="s">
        <v>109</v>
      </c>
      <c r="E13" s="13" t="s">
        <v>110</v>
      </c>
      <c r="F13" s="13" t="s">
        <v>111</v>
      </c>
      <c r="G13" s="13" t="s">
        <v>112</v>
      </c>
    </row>
    <row r="14" spans="1:7" ht="29.45" customHeight="1">
      <c r="B14" s="6" t="s">
        <v>113</v>
      </c>
      <c r="C14" s="7">
        <v>45414</v>
      </c>
      <c r="D14" s="22" t="s">
        <v>114</v>
      </c>
      <c r="E14" s="6" t="s">
        <v>50</v>
      </c>
      <c r="F14" s="21" t="s">
        <v>115</v>
      </c>
      <c r="G14" s="6" t="s">
        <v>52</v>
      </c>
    </row>
    <row r="15" spans="1:7">
      <c r="C15" s="32"/>
    </row>
    <row r="16" spans="1:7">
      <c r="C16" s="32"/>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B4" sqref="B4"/>
    </sheetView>
  </sheetViews>
  <sheetFormatPr defaultColWidth="11.42578125" defaultRowHeight="12.75"/>
  <cols>
    <col min="1" max="2" width="11.42578125" style="10"/>
    <col min="3" max="4" width="19.7109375" style="10" customWidth="1"/>
    <col min="5" max="5" width="23.85546875" style="10" customWidth="1"/>
    <col min="6" max="6" width="14.42578125" style="10" customWidth="1"/>
    <col min="7" max="7" width="23.85546875" style="10" customWidth="1"/>
    <col min="8" max="8" width="25.140625" style="10" customWidth="1"/>
    <col min="9" max="9" width="20.42578125" style="10" customWidth="1"/>
    <col min="10" max="16384" width="11.42578125" style="10"/>
  </cols>
  <sheetData>
    <row r="2" spans="2:9" ht="25.5">
      <c r="B2" s="11" t="s">
        <v>3</v>
      </c>
      <c r="C2" s="11" t="s">
        <v>21</v>
      </c>
      <c r="D2" s="11" t="s">
        <v>116</v>
      </c>
      <c r="E2" s="11" t="s">
        <v>25</v>
      </c>
      <c r="F2" s="11" t="s">
        <v>117</v>
      </c>
      <c r="G2" s="11" t="s">
        <v>30</v>
      </c>
      <c r="H2" s="11" t="s">
        <v>118</v>
      </c>
      <c r="I2" s="11" t="s">
        <v>22</v>
      </c>
    </row>
    <row r="3" spans="2:9">
      <c r="B3" s="10" t="s">
        <v>119</v>
      </c>
      <c r="C3" s="10" t="s">
        <v>42</v>
      </c>
      <c r="D3" s="10" t="s">
        <v>44</v>
      </c>
      <c r="E3" s="10" t="s">
        <v>120</v>
      </c>
      <c r="F3" s="10" t="s">
        <v>121</v>
      </c>
      <c r="G3" s="10" t="s">
        <v>122</v>
      </c>
      <c r="H3" s="10" t="s">
        <v>49</v>
      </c>
      <c r="I3" s="10" t="s">
        <v>123</v>
      </c>
    </row>
    <row r="4" spans="2:9">
      <c r="B4" s="10" t="s">
        <v>124</v>
      </c>
      <c r="C4" s="10" t="s">
        <v>125</v>
      </c>
      <c r="D4" s="10" t="s">
        <v>126</v>
      </c>
      <c r="E4" s="10" t="s">
        <v>46</v>
      </c>
      <c r="F4" s="10" t="s">
        <v>127</v>
      </c>
      <c r="G4" s="10" t="s">
        <v>51</v>
      </c>
      <c r="H4" s="10" t="s">
        <v>128</v>
      </c>
      <c r="I4" s="10" t="s">
        <v>129</v>
      </c>
    </row>
    <row r="5" spans="2:9">
      <c r="B5" s="10" t="s">
        <v>130</v>
      </c>
      <c r="C5" s="10" t="s">
        <v>131</v>
      </c>
      <c r="D5" s="10" t="s">
        <v>132</v>
      </c>
      <c r="E5" s="10" t="s">
        <v>133</v>
      </c>
      <c r="F5" s="10" t="s">
        <v>52</v>
      </c>
      <c r="G5" s="10" t="s">
        <v>52</v>
      </c>
      <c r="H5" s="10" t="s">
        <v>52</v>
      </c>
      <c r="I5" s="10" t="s">
        <v>134</v>
      </c>
    </row>
    <row r="6" spans="2:9">
      <c r="B6" s="10" t="s">
        <v>4</v>
      </c>
      <c r="C6" s="10" t="s">
        <v>135</v>
      </c>
      <c r="D6" s="10" t="s">
        <v>136</v>
      </c>
      <c r="E6" s="10" t="s">
        <v>137</v>
      </c>
      <c r="I6" s="10" t="s">
        <v>138</v>
      </c>
    </row>
    <row r="7" spans="2:9">
      <c r="B7" s="10" t="s">
        <v>139</v>
      </c>
      <c r="C7" s="10" t="s">
        <v>140</v>
      </c>
      <c r="D7" s="10" t="s">
        <v>141</v>
      </c>
      <c r="E7" s="10" t="s">
        <v>142</v>
      </c>
      <c r="I7" s="10" t="s">
        <v>143</v>
      </c>
    </row>
    <row r="8" spans="2:9">
      <c r="B8" s="10" t="s">
        <v>144</v>
      </c>
      <c r="C8" s="10" t="s">
        <v>145</v>
      </c>
      <c r="E8" s="10" t="s">
        <v>146</v>
      </c>
      <c r="I8" s="10" t="s">
        <v>147</v>
      </c>
    </row>
    <row r="9" spans="2:9">
      <c r="B9" s="10" t="s">
        <v>148</v>
      </c>
      <c r="E9" s="10" t="s">
        <v>149</v>
      </c>
      <c r="I9" s="10" t="s">
        <v>150</v>
      </c>
    </row>
    <row r="10" spans="2:9">
      <c r="I10" s="10" t="s">
        <v>151</v>
      </c>
    </row>
    <row r="11" spans="2:9">
      <c r="I11" s="10" t="s">
        <v>152</v>
      </c>
    </row>
    <row r="13" spans="2:9">
      <c r="I13" s="10" t="s">
        <v>153</v>
      </c>
    </row>
    <row r="14" spans="2:9">
      <c r="I14" s="10" t="s">
        <v>154</v>
      </c>
    </row>
    <row r="15" spans="2:9">
      <c r="I15" s="10" t="s">
        <v>43</v>
      </c>
    </row>
    <row r="16" spans="2:9">
      <c r="I16" s="10" t="s">
        <v>155</v>
      </c>
    </row>
    <row r="17" spans="9:9">
      <c r="I17" s="10" t="s">
        <v>156</v>
      </c>
    </row>
    <row r="18" spans="9:9">
      <c r="I18" s="10" t="s">
        <v>157</v>
      </c>
    </row>
    <row r="19" spans="9:9">
      <c r="I19" s="10" t="s">
        <v>158</v>
      </c>
    </row>
    <row r="21" spans="9:9">
      <c r="I21" s="10" t="s">
        <v>159</v>
      </c>
    </row>
    <row r="22" spans="9:9" ht="25.5">
      <c r="I22" s="10"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503822-DF13-4051-A489-72B75648E37A}"/>
</file>

<file path=customXml/itemProps2.xml><?xml version="1.0" encoding="utf-8"?>
<ds:datastoreItem xmlns:ds="http://schemas.openxmlformats.org/officeDocument/2006/customXml" ds:itemID="{431C8B5B-7A06-4686-9F8A-E8F24EECD8B3}"/>
</file>

<file path=customXml/itemProps3.xml><?xml version="1.0" encoding="utf-8"?>
<ds:datastoreItem xmlns:ds="http://schemas.openxmlformats.org/officeDocument/2006/customXml" ds:itemID="{BAE26A86-2067-4F6A-AF65-2309DE6964AD}"/>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2024-06-27T17:19:29Z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