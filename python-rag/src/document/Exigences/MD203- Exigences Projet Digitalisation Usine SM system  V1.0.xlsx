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war.abbes\Desktop\SM SYSTEM\"/>
    </mc:Choice>
  </mc:AlternateContent>
  <xr:revisionPtr revIDLastSave="0" documentId="13_ncr:1_{E9651DF3-1719-466F-B898-386775D4551F}" xr6:coauthVersionLast="47" xr6:coauthVersionMax="47" xr10:uidLastSave="{00000000-0000-0000-0000-000000000000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Exigences'!$C$2:$I$23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27" l="1"/>
  <c r="P22" i="27" s="1"/>
  <c r="O26" i="27" l="1"/>
  <c r="P26" i="27" s="1"/>
  <c r="O24" i="27"/>
  <c r="P24" i="27" s="1"/>
  <c r="O21" i="27"/>
  <c r="P21" i="27" s="1"/>
  <c r="O15" i="27"/>
  <c r="P15" i="27" s="1"/>
  <c r="O20" i="27"/>
  <c r="P20" i="27" s="1"/>
  <c r="O25" i="27"/>
  <c r="P25" i="27" s="1"/>
  <c r="O14" i="27"/>
  <c r="P14" i="27" s="1"/>
  <c r="O16" i="27"/>
  <c r="P16" i="27" s="1"/>
  <c r="O17" i="27"/>
  <c r="P17" i="27" s="1"/>
  <c r="O18" i="27"/>
  <c r="P18" i="27" s="1"/>
  <c r="O19" i="27"/>
  <c r="P19" i="27" s="1"/>
  <c r="O23" i="27"/>
  <c r="P23" i="27" s="1"/>
  <c r="D5" i="29"/>
  <c r="D6" i="29"/>
  <c r="D7" i="29"/>
  <c r="D8" i="29"/>
  <c r="C10" i="29"/>
  <c r="C11" i="29"/>
  <c r="B6" i="29"/>
  <c r="B7" i="29"/>
  <c r="B8" i="29"/>
  <c r="B10" i="29"/>
  <c r="B11" i="29"/>
  <c r="B5" i="29"/>
  <c r="P27" i="27" l="1"/>
</calcChain>
</file>

<file path=xl/sharedStrings.xml><?xml version="1.0" encoding="utf-8"?>
<sst xmlns="http://schemas.openxmlformats.org/spreadsheetml/2006/main" count="242" uniqueCount="164">
  <si>
    <t>Gestion Exigences Projet</t>
  </si>
  <si>
    <t>Chiffrage Réalisation (SF only)</t>
  </si>
  <si>
    <t>Revue et Vérification Pendant la Conception</t>
  </si>
  <si>
    <t>BU</t>
  </si>
  <si>
    <t>Client</t>
  </si>
  <si>
    <t>Projet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</si>
  <si>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</si>
  <si>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</si>
  <si>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</si>
  <si>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</si>
  <si>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</si>
  <si>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</si>
  <si>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</si>
  <si>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</si>
  <si>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</si>
  <si>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</si>
  <si>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</si>
  <si>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</si>
  <si>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</si>
  <si>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</si>
  <si>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</si>
  <si>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</si>
  <si>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</si>
  <si>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</si>
  <si>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</si>
  <si>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</si>
  <si>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</si>
  <si>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</si>
  <si>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</si>
  <si>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</si>
  <si>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</si>
  <si>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</si>
  <si>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</si>
  <si>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</si>
  <si>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</si>
  <si>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</si>
  <si>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</si>
  <si>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</si>
  <si>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Configuration</t>
  </si>
  <si>
    <t>Fonctionnelle</t>
  </si>
  <si>
    <t>SF-Processus</t>
  </si>
  <si>
    <t>Commerciale</t>
  </si>
  <si>
    <t>Configuration des données de l'usine</t>
  </si>
  <si>
    <t>Workshop/réunion client</t>
  </si>
  <si>
    <t>N/A</t>
  </si>
  <si>
    <t>Configuration de la gamme opérateur des produits</t>
  </si>
  <si>
    <t>E002</t>
  </si>
  <si>
    <t>Chargement des fichiers CSV</t>
  </si>
  <si>
    <t>Chargement des données de l'usine en utilisation des fichies CSV</t>
  </si>
  <si>
    <t>E003</t>
  </si>
  <si>
    <t>Gestion des commandes clients</t>
  </si>
  <si>
    <t xml:space="preserve">Gestion des commandes clients </t>
  </si>
  <si>
    <t>la solution permet  d'enregistrer les commandes clients , de les découper en Ordres de Fabrication en fonction des quantités demandées, et de suivre la progression de chaque commande tout au long du processus de production.</t>
  </si>
  <si>
    <t>E004</t>
  </si>
  <si>
    <t>Gestion des ordres de fabrication</t>
  </si>
  <si>
    <t>Gestion des ordres de fabrications selon les commandes clients</t>
  </si>
  <si>
    <t>E006</t>
  </si>
  <si>
    <t xml:space="preserve">Gestion des opérations </t>
  </si>
  <si>
    <t xml:space="preserve">gestion des opérations au niveau des ordres de fabrication </t>
  </si>
  <si>
    <t>E007</t>
  </si>
  <si>
    <t>E008</t>
  </si>
  <si>
    <t>Historique production</t>
  </si>
  <si>
    <t xml:space="preserve">Historisation de détails de production par OF </t>
  </si>
  <si>
    <t>La solution offre une historisation complète de détails de prodution / qualité par OF .</t>
  </si>
  <si>
    <t>E009</t>
  </si>
  <si>
    <t>E010</t>
  </si>
  <si>
    <t>Suivi qualité produits</t>
  </si>
  <si>
    <t>Déclaration des défauts et suivi de la qualité produit</t>
  </si>
  <si>
    <t>E011</t>
  </si>
  <si>
    <t>Gestion de la maintenance curative et préventive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</si>
  <si>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</si>
  <si>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</si>
  <si>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</si>
  <si>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</si>
  <si>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</si>
  <si>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</si>
  <si>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</si>
  <si>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</si>
  <si>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</si>
  <si>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</si>
  <si>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+ Ferjania BA </t>
  </si>
  <si>
    <t>Imed A.</t>
  </si>
  <si>
    <t>Exigence identifiée pendant la phase</t>
  </si>
  <si>
    <t>Oui/Non</t>
  </si>
  <si>
    <t>Statut Interne</t>
  </si>
  <si>
    <t>SE</t>
  </si>
  <si>
    <t>CdC client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</si>
  <si>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</si>
  <si>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</si>
  <si>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</si>
  <si>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</si>
  <si>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</si>
  <si>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</si>
  <si>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</si>
  <si>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</si>
  <si>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</si>
  <si>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</si>
  <si>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</si>
  <si>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</si>
  <si>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</si>
  <si>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</si>
  <si>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</si>
  <si>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</si>
  <si>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SF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</si>
  <si>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</si>
  <si>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</si>
  <si>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</si>
  <si>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</si>
  <si>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</si>
  <si>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</si>
  <si>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</si>
  <si>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</si>
  <si>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</si>
  <si>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</si>
  <si>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</si>
  <si>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</si>
  <si>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</si>
  <si>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</si>
  <si>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</si>
  <si>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</si>
  <si>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</si>
  <si>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</si>
  <si>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</si>
  <si>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</si>
  <si>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</si>
  <si>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</si>
  <si>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</si>
  <si>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</si>
  <si>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</si>
  <si>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</si>
  <si>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SM SYSTEM</t>
  </si>
  <si>
    <t xml:space="preserve">Digitalisation usine SM System </t>
  </si>
  <si>
    <t>La solution offre un Module Core permettant la modélisation, gestion et planification del'usine:
• Modélisation hiérarchique de l'usine: Ateliers, lignes, postes, machines, 
• Gestion des produits
• Gestion des incidents et défauts
• Gestion des utilisateurs et des autorisations: Rôles et accès contrôlés.
• Gestion des équipes
• Planification des lignes et des équipes
• Configuration des outillages
• etc</t>
  </si>
  <si>
    <t>Gestion de la gamme opératoire des produits</t>
  </si>
  <si>
    <t>Au niveau de la gestion des produits , la solution permet  de configurer des gammes opératoires détaillées de chaque produit.</t>
  </si>
  <si>
    <t>Déclaration des quantité produites par opération</t>
  </si>
  <si>
    <t>la solution permet la génération automatique de fiches de contrôle qualité au début et à la fin de chaque série de production. Ces fiches, contenant une liste de vérifications de l agamme de controle du produit et de réglages des machines, sont complétées et validées par les responsables concernées</t>
  </si>
  <si>
    <t>La solution offre un module de "Gestion de la maintenance" permettant: 
- la gestion des demandes et des fiches d'intervention spécifiant les actions à mener suite à une panne des équipements
- La planification , la gestion et le suivi des ordres de maintenance</t>
  </si>
  <si>
    <t>L'interface 'Détails Qualité' centralise et archive toutes les non-conformités détectées, avec des informations précises sur la quantité, le défaut et son origine. Les données peuvent être modifiées si nécessaire avant validation.</t>
  </si>
  <si>
    <t xml:space="preserve">La solution comprend un module "Intégartion SI" permettant l'intégration automatisée de données: Chargement automatique de données depuis des fichiers CSV . En supportant les entités produits, utilisateurs et outillages, avec une gestion détaillée des erreurs d'intégration. </t>
  </si>
  <si>
    <t>Fiches de contrôle qualité</t>
  </si>
  <si>
    <t>Instruction de travails</t>
  </si>
  <si>
    <t xml:space="preserve">Gestion de la maintenace curative et préventive </t>
  </si>
  <si>
    <t>Centraliser et diffuser les documents techniques relatifs aux processus de production et de qualité.</t>
  </si>
  <si>
    <t>"La solution offre un module ""Instruction de travail"" qui permet :
• Chargement : Importation des fichiers d'instructions.
• Catégorisation : Classification par qualité, maintenance, et production.
• Affectation : Attribution des instructions par ligne et produit.
• Gestion des Versions : Centralisation et gestion du versionnage des documents.
• Accessibilité : Accès en temps réel aux instructions pour les opérateurs et l'équipe qualité.</t>
  </si>
  <si>
    <t>Lorque le paramètre système gestion des opération ets activé la solution permet à partir de l'interface "Comptage" de déclarer des quantités produites par opération et par OF .Les opérateurs peuvent saisir les quantités conformes et non-conformes (en précisant les défauts) à la fin de chaque étape. Un simple clic valide les données et lance l'opération suivante.</t>
  </si>
  <si>
    <t>E005</t>
  </si>
  <si>
    <t>E012</t>
  </si>
  <si>
    <t>RAS</t>
  </si>
  <si>
    <t>Intégration d'un paramètre système 'Gestion par opération' : lorsqu'activé, ce paramètre permet d'afficher la gamme opératoire détaillée de chaque produit au niveau de l'ordre de fabrication</t>
  </si>
  <si>
    <t>Gérer les gammes de contrôles et générer des fiches de qualité selon le status de l'OF</t>
  </si>
  <si>
    <t>Compte Rendu OF</t>
  </si>
  <si>
    <t>Compte rendu complet de l'OF en terme de production ,qualité et Maintenance</t>
  </si>
  <si>
    <t>La solution offre une interface" Résumé OF" qyu présente une synthèse complète des données de production, qualité, et maintenance par ordre de fabrication (OF).</t>
  </si>
  <si>
    <t>E013</t>
  </si>
  <si>
    <t>Gestion des instructions de travail</t>
  </si>
  <si>
    <t>Suivi matières dans l'usine</t>
  </si>
  <si>
    <t>Suivi des arrêts</t>
  </si>
  <si>
    <t>Gestion des équipes</t>
  </si>
  <si>
    <t>Gestion de l'énergie</t>
  </si>
  <si>
    <t>Gestion 5S/6S</t>
  </si>
  <si>
    <t>Gesiton SPC</t>
  </si>
  <si>
    <t>Intégration avec ERP</t>
  </si>
  <si>
    <t>La solution offre une interface "Gestion des OF" sous le module "Production" permettant :
• Ajout manuel des Ordres de fabrication en spécifiant les informations associées nécessaires : Atelier , ligne , commande ,  produit , temps de cycle , quantité objectif , temps de changement de série , matière .
•Gestion centralisée des OF:
Gestion et suivi des différents statuts des OF (planifié, lancé, suspendu, changement de série, etc.)
Impression étiquette OF avec les informations pértinantes
Mise à jour en temps réel des statuts
Workflow de validation des changements de statut paramétrables
•Planification et ajustement :
Planification initiale des OF en fonction des données saisies 
Ajustement de la planification en cas d'aléas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</si>
</sst>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0" fillId="6" borderId="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0" fillId="0" borderId="5" xfId="0" applyFont="1" applyBorder="1" applyAlignment="1">
      <alignment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3</xdr:col>
      <xdr:colOff>443142</xdr:colOff>
      <xdr:row>2</xdr:row>
      <xdr:rowOff>600635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7" totalsRowCount="1" headerRowDxfId="51" dataDxfId="50">
  <autoFilter ref="B13:V26" xr:uid="{DDEA2C8B-EE0D-4C55-9256-CCC64E002CE6}"/>
  <tableColumns count="21">
    <tableColumn id="1" xr3:uid="{E467E0EE-CDAA-4FF5-85A8-CDC0B23A5AD9}" name="ID" dataDxfId="41" totalsRowDxfId="20"/>
    <tableColumn id="2" xr3:uid="{E53952AC-4972-47BD-8B1D-C7EF23088D0D}" name="Intitulé Exigence" dataDxfId="40" totalsRowDxfId="19"/>
    <tableColumn id="8" xr3:uid="{B2D0BC2C-C803-4015-8FA6-70F84517BDB2}" name="Nature" dataDxfId="39" totalsRowDxfId="18"/>
    <tableColumn id="7" xr3:uid="{24F2F0ED-022E-4EC1-91D8-BFE0E4F2FD36}" name="Catégorie" dataDxfId="38" totalsRowDxfId="17"/>
    <tableColumn id="10" xr3:uid="{1FF81CF1-6D35-421C-8767-9E7FA06FEE6A}" name="Exigence idenfiée pendant la phase" dataDxfId="37" totalsRowDxfId="16"/>
    <tableColumn id="3" xr3:uid="{E7621A68-9552-4853-96A5-92A226EA42DD}" name="Description de l'exigence" dataDxfId="36" totalsRowDxfId="15"/>
    <tableColumn id="9" xr3:uid="{E6EEEC82-3576-4980-94B3-1423906CE531}" name="Source" dataDxfId="35" totalsRowDxfId="14"/>
    <tableColumn id="16" xr3:uid="{1441554A-79F9-4040-9CF5-AEBFF7ADF7D1}" name="Desciption de la solution ADDIXO" dataDxfId="34" totalsRowDxfId="13"/>
    <tableColumn id="17" xr3:uid="{D1BC9C86-C3CE-417F-AC83-FC4786A7656D}" name="Ecart entre exigence client et la solution proposée - préciser aussi les limites et hypothèses si applicable" dataDxfId="33" totalsRowDxfId="12"/>
    <tableColumn id="5" xr3:uid="{2649C3B7-E8B9-44F9-8883-E5BB6F91B4B1}" name="Validation Interne" dataDxfId="32" totalsRowDxfId="11"/>
    <tableColumn id="6" xr3:uid="{8CC493F8-0886-498D-AB98-B77300CC6510}" name="Validation Interne par:" dataDxfId="31" totalsRowDxfId="10"/>
    <tableColumn id="15" xr3:uid="{78231C60-0932-4386-925D-4C689A91C0E3}" name="Statut Client" dataDxfId="30" totalsRowDxfId="9"/>
    <tableColumn id="22" xr3:uid="{D944A0FD-E468-407F-91A6-BD8A29086A7B}" name="HJ Dev" dataDxfId="29" totalsRowDxfId="8"/>
    <tableColumn id="21" xr3:uid="{818C68C5-1CC3-4DC9-9BB8-2CB7816ABE9F}" name="HJ Analyse et Test" dataDxfId="28" totalsRowDxfId="7">
      <calculatedColumnFormula>Tableau3[[#This Row],[HJ Dev]]*(25%+25%)</calculatedColumnFormula>
    </tableColumn>
    <tableColumn id="20" xr3:uid="{81CB5860-4285-4425-ABF9-C91F3323BF25}" name="Total HJ" totalsRowFunction="sum" dataDxfId="27" totalsRowDxfId="6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26" totalsRowDxfId="5"/>
    <tableColumn id="12" xr3:uid="{36B390F4-625A-46E1-864B-7108903FFD96}" name="Conception réalisée par:" dataDxfId="25" totalsRowDxfId="4"/>
    <tableColumn id="13" xr3:uid="{9016419E-83A5-4950-AB28-EA27A0D72FAD}" name="Revue conception réalisée par" dataDxfId="24" totalsRowDxfId="3"/>
    <tableColumn id="14" xr3:uid="{B5F29B7E-09EB-43EF-BD3D-9ADF38F7CC12}" name="Vérification de la conception réalisée par" dataDxfId="23" totalsRowDxfId="2"/>
    <tableColumn id="18" xr3:uid="{0CA25C90-64D6-43D5-90C8-CE6D70CCA638}" name="Preuve de vérification " dataDxfId="22" totalsRowDxfId="1"/>
    <tableColumn id="4" xr3:uid="{B7406A3A-A365-4F76-9A20-372573D19BC9}" name="Notes" dataDxfId="21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49" dataDxfId="48">
  <autoFilter ref="B13:G18" xr:uid="{96AD1385-A1F5-4391-ABC2-C9F250557626}"/>
  <tableColumns count="6">
    <tableColumn id="1" xr3:uid="{56DA355E-F205-482A-9CF1-CA3361A1D801}" name="Version" dataDxfId="47"/>
    <tableColumn id="2" xr3:uid="{C9D8A0D7-1D6E-479B-AF74-6D39D19E4653}" name="Date" dataDxfId="46"/>
    <tableColumn id="3" xr3:uid="{79109713-8A38-4162-A269-136157905B75}" name="Modifications" dataDxfId="45"/>
    <tableColumn id="4" xr3:uid="{AC928B3E-399C-4A3D-9FB5-9CD96F5D4745}" name="Auteur(s)" dataDxfId="44"/>
    <tableColumn id="5" xr3:uid="{0D0A428D-4F18-4D4E-A0CB-4D1A5057B6E9}" name="Vérificateur(s)" dataDxfId="43"/>
    <tableColumn id="6" xr3:uid="{D81EAB57-FBCA-44D9-8F45-58AF13AA08B6}" name="Approbateur" dataDxfId="4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37"/>
  <sheetViews>
    <sheetView tabSelected="1" topLeftCell="A22" zoomScale="67" zoomScaleNormal="85" workbookViewId="0">
      <selection activeCell="D30" sqref="D30"/>
    </sheetView>
  </sheetViews>
  <sheetFormatPr baseColWidth="10" defaultColWidth="11.453125" defaultRowHeight="13" x14ac:dyDescent="0.3"/>
  <cols>
    <col min="1" max="1" width="11.453125" style="1"/>
    <col min="2" max="2" width="6.1796875" style="1" customWidth="1"/>
    <col min="3" max="3" width="27.453125" style="1" customWidth="1"/>
    <col min="4" max="5" width="18.26953125" style="1" customWidth="1"/>
    <col min="6" max="6" width="19.453125" style="1" customWidth="1"/>
    <col min="7" max="7" width="56.54296875" style="1" customWidth="1"/>
    <col min="8" max="8" width="18.453125" style="1" customWidth="1"/>
    <col min="9" max="9" width="56.54296875" style="1" customWidth="1"/>
    <col min="10" max="10" width="33.1796875" style="1" customWidth="1"/>
    <col min="11" max="12" width="13.54296875" style="1" customWidth="1"/>
    <col min="13" max="13" width="15.26953125" style="1" customWidth="1"/>
    <col min="14" max="14" width="11.81640625" style="1" customWidth="1"/>
    <col min="15" max="15" width="15.453125" style="1" customWidth="1"/>
    <col min="16" max="16" width="13.7265625" style="1" customWidth="1"/>
    <col min="17" max="17" width="39.81640625" style="1" customWidth="1"/>
    <col min="18" max="18" width="15.7265625" style="1" customWidth="1"/>
    <col min="19" max="19" width="20.54296875" style="1" customWidth="1"/>
    <col min="20" max="20" width="20.1796875" style="1" customWidth="1"/>
    <col min="21" max="21" width="15.1796875" style="1" customWidth="1"/>
    <col min="22" max="22" width="30.81640625" style="1" customWidth="1"/>
    <col min="23" max="16384" width="11.453125" style="1"/>
  </cols>
  <sheetData>
    <row r="1" spans="2:22" ht="13.5" thickBot="1" x14ac:dyDescent="0.35"/>
    <row r="2" spans="2:22" ht="21.75" customHeight="1" thickBot="1" x14ac:dyDescent="0.5">
      <c r="B2" s="3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  <c r="N2" s="41" t="s">
        <v>1</v>
      </c>
      <c r="O2" s="42"/>
      <c r="P2" s="43"/>
      <c r="Q2" s="35" t="s">
        <v>2</v>
      </c>
      <c r="R2" s="36"/>
      <c r="S2" s="36"/>
      <c r="T2" s="36"/>
      <c r="U2" s="36"/>
      <c r="V2" s="37"/>
    </row>
    <row r="3" spans="2:22" ht="53.25" customHeight="1" x14ac:dyDescent="0.3">
      <c r="C3" s="8"/>
      <c r="D3" s="8"/>
      <c r="E3" s="8"/>
      <c r="F3" s="8"/>
      <c r="G3" s="8"/>
      <c r="H3" s="8"/>
      <c r="I3" s="8"/>
    </row>
    <row r="4" spans="2:22" ht="21" customHeight="1" x14ac:dyDescent="0.3">
      <c r="B4" s="27" t="s">
        <v>3</v>
      </c>
      <c r="C4" s="8"/>
      <c r="D4" s="29"/>
      <c r="E4" s="8"/>
      <c r="F4" s="8"/>
      <c r="G4" s="8"/>
      <c r="H4" s="8"/>
      <c r="I4" s="8"/>
    </row>
    <row r="5" spans="2:22" ht="21.75" customHeight="1" x14ac:dyDescent="0.35">
      <c r="B5" s="24" t="s">
        <v>4</v>
      </c>
      <c r="D5" s="3" t="s">
        <v>130</v>
      </c>
      <c r="E5" s="3"/>
      <c r="F5" s="3"/>
      <c r="G5" s="3"/>
      <c r="H5" s="3"/>
      <c r="I5" s="3"/>
    </row>
    <row r="6" spans="2:22" ht="21" customHeight="1" x14ac:dyDescent="0.35">
      <c r="B6" s="24" t="s">
        <v>5</v>
      </c>
      <c r="D6" s="3" t="s">
        <v>131</v>
      </c>
      <c r="E6" s="3"/>
      <c r="F6" s="3"/>
      <c r="G6" s="3"/>
      <c r="H6" s="3"/>
      <c r="I6" s="3"/>
    </row>
    <row r="7" spans="2:22" ht="20.5" customHeight="1" thickBot="1" x14ac:dyDescent="0.4">
      <c r="B7" s="24" t="s">
        <v>6</v>
      </c>
      <c r="D7" s="3" t="s">
        <v>7</v>
      </c>
      <c r="E7" s="3"/>
      <c r="F7" s="3"/>
      <c r="G7" s="28" t="s">
        <v>8</v>
      </c>
      <c r="H7" s="3"/>
      <c r="I7" s="3"/>
    </row>
    <row r="8" spans="2:22" ht="21.65" customHeight="1" x14ac:dyDescent="0.35">
      <c r="B8" s="24" t="s">
        <v>9</v>
      </c>
      <c r="D8" s="3" t="s">
        <v>10</v>
      </c>
      <c r="E8" s="3"/>
      <c r="F8" s="3"/>
      <c r="G8" s="3"/>
      <c r="H8" s="3"/>
      <c r="I8" s="3"/>
    </row>
    <row r="9" spans="2:22" ht="14.5" x14ac:dyDescent="0.35">
      <c r="C9" s="3"/>
      <c r="D9" s="21"/>
      <c r="E9" s="21"/>
      <c r="F9" s="21"/>
      <c r="G9" s="21"/>
      <c r="H9" s="21"/>
      <c r="I9" s="21"/>
    </row>
    <row r="10" spans="2:22" x14ac:dyDescent="0.3">
      <c r="B10" s="25" t="s">
        <v>11</v>
      </c>
      <c r="C10" s="26"/>
      <c r="D10" s="25" t="s">
        <v>12</v>
      </c>
      <c r="E10" s="9"/>
      <c r="F10" s="9"/>
      <c r="I10" s="18" t="s">
        <v>13</v>
      </c>
    </row>
    <row r="11" spans="2:22" x14ac:dyDescent="0.3">
      <c r="B11" s="25" t="s">
        <v>14</v>
      </c>
      <c r="C11" s="26"/>
      <c r="D11" s="25" t="s">
        <v>15</v>
      </c>
      <c r="E11" s="9"/>
      <c r="F11" s="9"/>
    </row>
    <row r="12" spans="2:22" ht="13.5" thickBot="1" x14ac:dyDescent="0.35"/>
    <row r="13" spans="2:22" s="10" customFormat="1" ht="39.5" thickBot="1" x14ac:dyDescent="0.3">
      <c r="B13" s="31" t="s">
        <v>16</v>
      </c>
      <c r="C13" s="32" t="s">
        <v>17</v>
      </c>
      <c r="D13" s="32" t="s">
        <v>18</v>
      </c>
      <c r="E13" s="32" t="s">
        <v>19</v>
      </c>
      <c r="F13" s="32" t="s">
        <v>20</v>
      </c>
      <c r="G13" s="32" t="s">
        <v>21</v>
      </c>
      <c r="H13" s="32" t="s">
        <v>22</v>
      </c>
      <c r="I13" s="32" t="s">
        <v>23</v>
      </c>
      <c r="J13" s="32" t="s">
        <v>24</v>
      </c>
      <c r="K13" s="32" t="s">
        <v>25</v>
      </c>
      <c r="L13" s="32" t="s">
        <v>26</v>
      </c>
      <c r="M13" s="33" t="s">
        <v>27</v>
      </c>
      <c r="N13" s="14" t="s">
        <v>28</v>
      </c>
      <c r="O13" s="14" t="s">
        <v>29</v>
      </c>
      <c r="P13" s="14" t="s">
        <v>30</v>
      </c>
      <c r="Q13" s="15" t="s">
        <v>31</v>
      </c>
      <c r="R13" s="16" t="s">
        <v>32</v>
      </c>
      <c r="S13" s="16" t="s">
        <v>33</v>
      </c>
      <c r="T13" s="16" t="s">
        <v>34</v>
      </c>
      <c r="U13" s="16" t="s">
        <v>35</v>
      </c>
      <c r="V13" s="17" t="s">
        <v>36</v>
      </c>
    </row>
    <row r="14" spans="2:22" s="10" customFormat="1" ht="166.5" customHeight="1" x14ac:dyDescent="0.25">
      <c r="B14" s="10" t="s">
        <v>37</v>
      </c>
      <c r="C14" s="10" t="s">
        <v>38</v>
      </c>
      <c r="D14" s="10" t="s">
        <v>39</v>
      </c>
      <c r="E14" s="10" t="s">
        <v>40</v>
      </c>
      <c r="F14" s="10" t="s">
        <v>41</v>
      </c>
      <c r="G14" s="10" t="s">
        <v>42</v>
      </c>
      <c r="H14" s="10" t="s">
        <v>43</v>
      </c>
      <c r="I14" s="10" t="s">
        <v>132</v>
      </c>
      <c r="J14" s="10" t="s">
        <v>148</v>
      </c>
      <c r="N14" s="10">
        <v>0</v>
      </c>
      <c r="O14" s="10">
        <f>Tableau3[[#This Row],[HJ Dev]]*(25%+25%)</f>
        <v>0</v>
      </c>
      <c r="P14" s="10">
        <f>Tableau3[[#This Row],[HJ Analyse et Test]]+Tableau3[[#This Row],[HJ Dev]]</f>
        <v>0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</row>
    <row r="15" spans="2:22" s="10" customFormat="1" ht="166.5" customHeight="1" x14ac:dyDescent="0.25">
      <c r="B15" s="10" t="s">
        <v>46</v>
      </c>
      <c r="C15" s="10" t="s">
        <v>133</v>
      </c>
      <c r="D15" s="10" t="s">
        <v>39</v>
      </c>
      <c r="E15" s="10" t="s">
        <v>40</v>
      </c>
      <c r="F15" s="10" t="s">
        <v>41</v>
      </c>
      <c r="G15" s="10" t="s">
        <v>45</v>
      </c>
      <c r="H15" s="10" t="s">
        <v>43</v>
      </c>
      <c r="I15" s="10" t="s">
        <v>134</v>
      </c>
      <c r="J15" s="10" t="s">
        <v>148</v>
      </c>
      <c r="N15" s="10">
        <v>0.5</v>
      </c>
      <c r="O15" s="10">
        <f>Tableau3[[#This Row],[HJ Dev]]*(25%+25%)</f>
        <v>0.25</v>
      </c>
      <c r="P15" s="10">
        <f>Tableau3[[#This Row],[HJ Analyse et Test]]+Tableau3[[#This Row],[HJ Dev]]</f>
        <v>0.75</v>
      </c>
    </row>
    <row r="16" spans="2:22" s="10" customFormat="1" ht="87" customHeight="1" x14ac:dyDescent="0.25">
      <c r="B16" s="10" t="s">
        <v>49</v>
      </c>
      <c r="C16" s="10" t="s">
        <v>47</v>
      </c>
      <c r="D16" s="10" t="s">
        <v>39</v>
      </c>
      <c r="E16" s="10" t="s">
        <v>40</v>
      </c>
      <c r="F16" s="10" t="s">
        <v>41</v>
      </c>
      <c r="G16" s="10" t="s">
        <v>48</v>
      </c>
      <c r="H16" s="10" t="s">
        <v>43</v>
      </c>
      <c r="I16" s="10" t="s">
        <v>139</v>
      </c>
      <c r="J16" s="10" t="s">
        <v>148</v>
      </c>
      <c r="N16" s="10">
        <v>0</v>
      </c>
      <c r="O16" s="10">
        <f>Tableau3[[#This Row],[HJ Dev]]*(25%+25%)</f>
        <v>0</v>
      </c>
      <c r="P16" s="10">
        <f>Tableau3[[#This Row],[HJ Analyse et Test]]+Tableau3[[#This Row],[HJ Dev]]</f>
        <v>0</v>
      </c>
    </row>
    <row r="17" spans="2:22" s="10" customFormat="1" ht="87" customHeight="1" x14ac:dyDescent="0.25">
      <c r="B17" s="10" t="s">
        <v>53</v>
      </c>
      <c r="C17" s="10" t="s">
        <v>50</v>
      </c>
      <c r="D17" s="10" t="s">
        <v>39</v>
      </c>
      <c r="E17" s="10" t="s">
        <v>40</v>
      </c>
      <c r="F17" s="10" t="s">
        <v>41</v>
      </c>
      <c r="G17" s="10" t="s">
        <v>51</v>
      </c>
      <c r="H17" s="10" t="s">
        <v>43</v>
      </c>
      <c r="I17" s="10" t="s">
        <v>52</v>
      </c>
      <c r="J17" s="10" t="s">
        <v>148</v>
      </c>
      <c r="N17" s="10">
        <v>0</v>
      </c>
      <c r="O17" s="10">
        <f>Tableau3[[#This Row],[HJ Dev]]*(25%+25%)</f>
        <v>0</v>
      </c>
      <c r="P17" s="10">
        <f>Tableau3[[#This Row],[HJ Analyse et Test]]+Tableau3[[#This Row],[HJ Dev]]</f>
        <v>0</v>
      </c>
    </row>
    <row r="18" spans="2:22" s="10" customFormat="1" ht="36" customHeight="1" x14ac:dyDescent="0.25">
      <c r="B18" s="10" t="s">
        <v>146</v>
      </c>
      <c r="C18" s="10" t="s">
        <v>54</v>
      </c>
      <c r="D18" s="10" t="s">
        <v>39</v>
      </c>
      <c r="E18" s="10" t="s">
        <v>40</v>
      </c>
      <c r="F18" s="10" t="s">
        <v>41</v>
      </c>
      <c r="G18" s="10" t="s">
        <v>55</v>
      </c>
      <c r="H18" s="10" t="s">
        <v>43</v>
      </c>
      <c r="I18" s="10" t="s">
        <v>163</v>
      </c>
      <c r="J18" s="10" t="s">
        <v>148</v>
      </c>
      <c r="N18" s="10">
        <v>1</v>
      </c>
      <c r="O18" s="10">
        <f>Tableau3[[#This Row],[HJ Dev]]*(25%+25%)</f>
        <v>0.5</v>
      </c>
      <c r="P18" s="10">
        <f>Tableau3[[#This Row],[HJ Analyse et Test]]+Tableau3[[#This Row],[HJ Dev]]</f>
        <v>1.5</v>
      </c>
    </row>
    <row r="19" spans="2:22" s="10" customFormat="1" ht="41" customHeight="1" x14ac:dyDescent="0.25">
      <c r="B19" s="10" t="s">
        <v>56</v>
      </c>
      <c r="C19" s="10" t="s">
        <v>57</v>
      </c>
      <c r="D19" s="10" t="s">
        <v>39</v>
      </c>
      <c r="E19" s="10" t="s">
        <v>40</v>
      </c>
      <c r="F19" s="10" t="s">
        <v>41</v>
      </c>
      <c r="G19" s="10" t="s">
        <v>58</v>
      </c>
      <c r="H19" s="10" t="s">
        <v>43</v>
      </c>
      <c r="I19" s="10" t="s">
        <v>149</v>
      </c>
      <c r="J19" s="10" t="s">
        <v>148</v>
      </c>
      <c r="N19" s="10">
        <v>0.5</v>
      </c>
      <c r="O19" s="10">
        <f>Tableau3[[#This Row],[HJ Dev]]*(25%+25%)</f>
        <v>0.25</v>
      </c>
      <c r="P19" s="10">
        <f>Tableau3[[#This Row],[HJ Analyse et Test]]+Tableau3[[#This Row],[HJ Dev]]</f>
        <v>0.75</v>
      </c>
    </row>
    <row r="20" spans="2:22" s="10" customFormat="1" ht="36" customHeight="1" x14ac:dyDescent="0.25">
      <c r="B20" s="10" t="s">
        <v>59</v>
      </c>
      <c r="C20" s="10" t="s">
        <v>135</v>
      </c>
      <c r="D20" s="10" t="s">
        <v>39</v>
      </c>
      <c r="E20" s="10" t="s">
        <v>40</v>
      </c>
      <c r="F20" s="10" t="s">
        <v>41</v>
      </c>
      <c r="G20" s="10" t="s">
        <v>135</v>
      </c>
      <c r="H20" s="10" t="s">
        <v>43</v>
      </c>
      <c r="I20" s="10" t="s">
        <v>145</v>
      </c>
      <c r="J20" s="10" t="s">
        <v>148</v>
      </c>
      <c r="N20" s="10">
        <v>1.5</v>
      </c>
      <c r="O20" s="10">
        <f>Tableau3[[#This Row],[HJ Dev]]*(25%+25%)</f>
        <v>0.75</v>
      </c>
      <c r="P20" s="10">
        <f>Tableau3[[#This Row],[HJ Analyse et Test]]+Tableau3[[#This Row],[HJ Dev]]</f>
        <v>2.25</v>
      </c>
    </row>
    <row r="21" spans="2:22" s="10" customFormat="1" ht="36" customHeight="1" x14ac:dyDescent="0.25">
      <c r="B21" s="10" t="s">
        <v>60</v>
      </c>
      <c r="C21" s="10" t="s">
        <v>61</v>
      </c>
      <c r="D21" s="10" t="s">
        <v>39</v>
      </c>
      <c r="E21" s="10" t="s">
        <v>40</v>
      </c>
      <c r="F21" s="10" t="s">
        <v>41</v>
      </c>
      <c r="G21" s="10" t="s">
        <v>62</v>
      </c>
      <c r="H21" s="10" t="s">
        <v>43</v>
      </c>
      <c r="I21" s="10" t="s">
        <v>63</v>
      </c>
      <c r="J21" s="10" t="s">
        <v>148</v>
      </c>
      <c r="N21" s="10">
        <v>0</v>
      </c>
      <c r="O21" s="10">
        <f>Tableau3[[#This Row],[HJ Dev]]*(25%+25%)</f>
        <v>0</v>
      </c>
      <c r="P21" s="10">
        <f>Tableau3[[#This Row],[HJ Analyse et Test]]+Tableau3[[#This Row],[HJ Dev]]</f>
        <v>0</v>
      </c>
    </row>
    <row r="22" spans="2:22" s="10" customFormat="1" ht="36" customHeight="1" x14ac:dyDescent="0.25">
      <c r="B22" s="10" t="s">
        <v>64</v>
      </c>
      <c r="C22" s="10" t="s">
        <v>151</v>
      </c>
      <c r="D22" s="10" t="s">
        <v>39</v>
      </c>
      <c r="E22" s="10" t="s">
        <v>40</v>
      </c>
      <c r="F22" s="10" t="s">
        <v>41</v>
      </c>
      <c r="G22" s="10" t="s">
        <v>152</v>
      </c>
      <c r="H22" s="10" t="s">
        <v>43</v>
      </c>
      <c r="I22" s="10" t="s">
        <v>153</v>
      </c>
      <c r="J22" s="10" t="s">
        <v>148</v>
      </c>
      <c r="N22" s="10">
        <v>0</v>
      </c>
      <c r="O22" s="47">
        <f>Tableau3[[#This Row],[HJ Dev]]*(25%+25%)</f>
        <v>0</v>
      </c>
      <c r="P22" s="47">
        <f>Tableau3[[#This Row],[HJ Analyse et Test]]+Tableau3[[#This Row],[HJ Dev]]</f>
        <v>0</v>
      </c>
    </row>
    <row r="23" spans="2:22" s="10" customFormat="1" ht="36" customHeight="1" x14ac:dyDescent="0.25">
      <c r="B23" s="10" t="s">
        <v>65</v>
      </c>
      <c r="C23" s="10" t="s">
        <v>66</v>
      </c>
      <c r="D23" s="10" t="s">
        <v>39</v>
      </c>
      <c r="E23" s="10" t="s">
        <v>40</v>
      </c>
      <c r="F23" s="10" t="s">
        <v>41</v>
      </c>
      <c r="G23" s="10" t="s">
        <v>67</v>
      </c>
      <c r="H23" s="10" t="s">
        <v>43</v>
      </c>
      <c r="I23" s="10" t="s">
        <v>138</v>
      </c>
      <c r="J23" s="10" t="s">
        <v>148</v>
      </c>
      <c r="N23" s="10">
        <v>0</v>
      </c>
      <c r="O23" s="10">
        <f>Tableau3[[#This Row],[HJ Dev]]*(25%+25%)</f>
        <v>0</v>
      </c>
      <c r="P23" s="10">
        <f>Tableau3[[#This Row],[HJ Analyse et Test]]+Tableau3[[#This Row],[HJ Dev]]</f>
        <v>0</v>
      </c>
    </row>
    <row r="24" spans="2:22" s="10" customFormat="1" ht="36" customHeight="1" x14ac:dyDescent="0.25">
      <c r="B24" s="10" t="s">
        <v>68</v>
      </c>
      <c r="C24" s="10" t="s">
        <v>140</v>
      </c>
      <c r="D24" s="10" t="s">
        <v>39</v>
      </c>
      <c r="E24" s="10" t="s">
        <v>40</v>
      </c>
      <c r="F24" s="10" t="s">
        <v>41</v>
      </c>
      <c r="G24" s="10" t="s">
        <v>150</v>
      </c>
      <c r="H24" s="10" t="s">
        <v>43</v>
      </c>
      <c r="I24" s="10" t="s">
        <v>136</v>
      </c>
      <c r="J24" s="10" t="s">
        <v>148</v>
      </c>
      <c r="N24" s="10">
        <v>0</v>
      </c>
      <c r="O24" s="10">
        <f>Tableau3[[#This Row],[HJ Dev]]*(25%+25%)</f>
        <v>0</v>
      </c>
      <c r="P24" s="10">
        <f>Tableau3[[#This Row],[HJ Analyse et Test]]+Tableau3[[#This Row],[HJ Dev]]</f>
        <v>0</v>
      </c>
    </row>
    <row r="25" spans="2:22" s="10" customFormat="1" ht="36" customHeight="1" x14ac:dyDescent="0.25">
      <c r="B25" s="10" t="s">
        <v>147</v>
      </c>
      <c r="C25" s="10" t="s">
        <v>69</v>
      </c>
      <c r="D25" s="10" t="s">
        <v>39</v>
      </c>
      <c r="E25" s="10" t="s">
        <v>40</v>
      </c>
      <c r="F25" s="10" t="s">
        <v>41</v>
      </c>
      <c r="G25" s="10" t="s">
        <v>142</v>
      </c>
      <c r="H25" s="10" t="s">
        <v>43</v>
      </c>
      <c r="I25" s="10" t="s">
        <v>137</v>
      </c>
      <c r="J25" s="10" t="s">
        <v>148</v>
      </c>
      <c r="N25" s="10">
        <v>0</v>
      </c>
      <c r="O25" s="10">
        <f>Tableau3[[#This Row],[HJ Dev]]*(25%+25%)</f>
        <v>0</v>
      </c>
      <c r="P25" s="10">
        <f>Tableau3[[#This Row],[HJ Analyse et Test]]+Tableau3[[#This Row],[HJ Dev]]</f>
        <v>0</v>
      </c>
    </row>
    <row r="26" spans="2:22" ht="131" customHeight="1" x14ac:dyDescent="0.3">
      <c r="B26" s="10" t="s">
        <v>154</v>
      </c>
      <c r="C26" s="10" t="s">
        <v>141</v>
      </c>
      <c r="D26" s="10" t="s">
        <v>39</v>
      </c>
      <c r="E26" s="10" t="s">
        <v>40</v>
      </c>
      <c r="F26" s="10" t="s">
        <v>41</v>
      </c>
      <c r="G26" s="34" t="s">
        <v>143</v>
      </c>
      <c r="H26" s="10" t="s">
        <v>43</v>
      </c>
      <c r="I26" s="10" t="s">
        <v>144</v>
      </c>
      <c r="J26" s="10" t="s">
        <v>148</v>
      </c>
      <c r="K26" s="10"/>
      <c r="L26" s="10"/>
      <c r="M26" s="10"/>
      <c r="N26" s="10">
        <v>0</v>
      </c>
      <c r="O26" s="10">
        <f>Tableau3[[#This Row],[HJ Dev]]*(25%+25%)</f>
        <v>0</v>
      </c>
      <c r="P26" s="10">
        <f>Tableau3[[#This Row],[HJ Analyse et Test]]+Tableau3[[#This Row],[HJ Dev]]</f>
        <v>0</v>
      </c>
      <c r="Q26" s="10"/>
      <c r="R26" s="10"/>
      <c r="S26" s="10"/>
      <c r="T26" s="10"/>
      <c r="U26" s="10"/>
      <c r="V26" s="10"/>
    </row>
    <row r="27" spans="2:22" x14ac:dyDescent="0.3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f>SUBTOTAL(109,Tableau3[Total HJ])</f>
        <v>5.25</v>
      </c>
      <c r="Q27" s="10"/>
      <c r="R27" s="10"/>
      <c r="S27" s="10"/>
      <c r="T27" s="10"/>
      <c r="U27" s="10"/>
      <c r="V27" s="10"/>
    </row>
    <row r="30" spans="2:22" x14ac:dyDescent="0.3">
      <c r="C30" s="1" t="s">
        <v>155</v>
      </c>
      <c r="D30" s="48"/>
    </row>
    <row r="31" spans="2:22" x14ac:dyDescent="0.3">
      <c r="C31" s="1" t="s">
        <v>156</v>
      </c>
    </row>
    <row r="32" spans="2:22" x14ac:dyDescent="0.3">
      <c r="C32" s="1" t="s">
        <v>157</v>
      </c>
    </row>
    <row r="33" spans="3:3" x14ac:dyDescent="0.3">
      <c r="C33" s="1" t="s">
        <v>159</v>
      </c>
    </row>
    <row r="34" spans="3:3" x14ac:dyDescent="0.3">
      <c r="C34" s="1" t="s">
        <v>158</v>
      </c>
    </row>
    <row r="35" spans="3:3" x14ac:dyDescent="0.3">
      <c r="C35" s="1" t="s">
        <v>160</v>
      </c>
    </row>
    <row r="36" spans="3:3" x14ac:dyDescent="0.3">
      <c r="C36" s="1" t="s">
        <v>161</v>
      </c>
    </row>
    <row r="37" spans="3:3" x14ac:dyDescent="0.3">
      <c r="C37" s="1" t="s">
        <v>162</v>
      </c>
    </row>
  </sheetData>
  <mergeCells count="3">
    <mergeCell ref="Q2:V2"/>
    <mergeCell ref="B2:M2"/>
    <mergeCell ref="N2:P2"/>
  </mergeCells>
  <phoneticPr fontId="2" type="noConversion"/>
  <dataValidations count="2">
    <dataValidation type="whole" operator="greaterThanOrEqual" allowBlank="1" showInputMessage="1" showErrorMessage="1" sqref="N14 N16:N18 O14:P26 N21:N26" xr:uid="{10E2E794-3894-4CC1-AB1A-9BB5BF41EABB}">
      <formula1>0</formula1>
    </dataValidation>
    <dataValidation type="decimal" operator="greaterThanOrEqual" allowBlank="1" showInputMessage="1" showErrorMessage="1" sqref="N15 N19:N20" xr:uid="{F52A78ED-072D-4E05-8BFC-F4F616442285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  <x14:dataValidation type="list" allowBlank="1" showInputMessage="1" showErrorMessage="1" xr:uid="{032DF2E0-6517-4606-8A1B-412280D81656}">
          <x14:formula1>
            <xm:f>Params!$D$3:$D$10</xm:f>
          </x14:formula1>
          <xm:sqref>F14:F26</xm:sqref>
        </x14:dataValidation>
        <x14:dataValidation type="list" allowBlank="1" showInputMessage="1" showErrorMessage="1" xr:uid="{6A17FA24-E6BE-4551-8FCB-1A1AEF9621AB}">
          <x14:formula1>
            <xm:f>Params!$E$3:$E$12</xm:f>
          </x14:formula1>
          <xm:sqref>H14:H26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M14:M26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K14:K26</xm:sqref>
        </x14:dataValidation>
        <x14:dataValidation type="list" allowBlank="1" showInputMessage="1" showErrorMessage="1" xr:uid="{29F9E61A-948D-4ED3-B8F0-562C71AF0874}">
          <x14:formula1>
            <xm:f>Params!$C$3:$C$10</xm:f>
          </x14:formula1>
          <xm:sqref>D14:D26</xm:sqref>
        </x14:dataValidation>
        <x14:dataValidation type="list" allowBlank="1" showInputMessage="1" showErrorMessage="1" xr:uid="{6C1D1EBF-FDB8-4D08-899B-0A4FBE70945B}">
          <x14:formula1>
            <xm:f>Params!$I$3:$I$19</xm:f>
          </x14:formula1>
          <xm:sqref>E14:E26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F15" sqref="F15"/>
    </sheetView>
  </sheetViews>
  <sheetFormatPr baseColWidth="10" defaultColWidth="11.453125" defaultRowHeight="14.5" x14ac:dyDescent="0.35"/>
  <cols>
    <col min="1" max="1" width="12" style="2" customWidth="1"/>
    <col min="2" max="2" width="10.1796875" style="2" customWidth="1"/>
    <col min="3" max="3" width="11.453125" style="2"/>
    <col min="4" max="4" width="58.26953125" style="2" customWidth="1"/>
    <col min="5" max="5" width="15.81640625" style="2" customWidth="1"/>
    <col min="6" max="6" width="22.2695312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70</v>
      </c>
      <c r="B3" s="44" t="s">
        <v>0</v>
      </c>
      <c r="C3" s="45"/>
      <c r="D3" s="45"/>
      <c r="E3" s="45"/>
      <c r="F3" s="45"/>
      <c r="G3" s="46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12" t="str">
        <f>'Gestion Exigences'!B5</f>
        <v>Client</v>
      </c>
      <c r="D5" s="12" t="str">
        <f>'Gestion Exigences'!D5</f>
        <v>SM SYSTEM</v>
      </c>
      <c r="E5" s="5"/>
      <c r="F5" s="5"/>
      <c r="G5" s="5"/>
    </row>
    <row r="6" spans="1:7" x14ac:dyDescent="0.35">
      <c r="B6" s="12" t="str">
        <f>'Gestion Exigences'!B6</f>
        <v>Projet</v>
      </c>
      <c r="D6" s="12" t="str">
        <f>'Gestion Exigences'!D6</f>
        <v xml:space="preserve">Digitalisation usine SM System </v>
      </c>
      <c r="E6" s="5"/>
      <c r="F6" s="5"/>
      <c r="G6" s="5"/>
    </row>
    <row r="7" spans="1:7" x14ac:dyDescent="0.35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5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5">
      <c r="B9" s="4"/>
      <c r="C9" s="12"/>
      <c r="D9" s="5"/>
      <c r="E9" s="5"/>
      <c r="F9" s="5"/>
      <c r="G9" s="5"/>
    </row>
    <row r="10" spans="1:7" x14ac:dyDescent="0.35">
      <c r="B10" s="22" t="str">
        <f>'Gestion Exigences'!B10</f>
        <v>Réf Modèle Document</v>
      </c>
      <c r="C10" s="23" t="str">
        <f>'Gestion Exigences'!D10</f>
        <v>MD203</v>
      </c>
      <c r="D10" s="5"/>
      <c r="E10" s="5"/>
      <c r="F10" s="5"/>
      <c r="G10" s="5"/>
    </row>
    <row r="11" spans="1:7" x14ac:dyDescent="0.35">
      <c r="B11" s="22" t="str">
        <f>'Gestion Exigences'!B11</f>
        <v>Version Modèle Document</v>
      </c>
      <c r="C11" s="23" t="str">
        <f>'Gestion Exigences'!D11</f>
        <v>V1.5</v>
      </c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3" t="s">
        <v>71</v>
      </c>
      <c r="C13" s="13" t="s">
        <v>72</v>
      </c>
      <c r="D13" s="13" t="s">
        <v>73</v>
      </c>
      <c r="E13" s="13" t="s">
        <v>74</v>
      </c>
      <c r="F13" s="13" t="s">
        <v>75</v>
      </c>
      <c r="G13" s="13" t="s">
        <v>76</v>
      </c>
    </row>
    <row r="14" spans="1:7" ht="29.5" customHeight="1" x14ac:dyDescent="0.35">
      <c r="B14" s="6" t="s">
        <v>77</v>
      </c>
      <c r="C14" s="7">
        <v>45342</v>
      </c>
      <c r="D14" s="20" t="s">
        <v>78</v>
      </c>
      <c r="E14" s="6" t="s">
        <v>79</v>
      </c>
      <c r="F14" s="19" t="s">
        <v>80</v>
      </c>
      <c r="G14" s="6" t="s">
        <v>81</v>
      </c>
    </row>
    <row r="15" spans="1:7" x14ac:dyDescent="0.35">
      <c r="C15" s="30"/>
    </row>
    <row r="16" spans="1:7" x14ac:dyDescent="0.35">
      <c r="C16" s="30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53125" defaultRowHeight="13" x14ac:dyDescent="0.25"/>
  <cols>
    <col min="1" max="2" width="11.453125" style="10"/>
    <col min="3" max="4" width="19.7265625" style="10" customWidth="1"/>
    <col min="5" max="5" width="23.81640625" style="10" customWidth="1"/>
    <col min="6" max="6" width="14.453125" style="10" customWidth="1"/>
    <col min="7" max="7" width="23.81640625" style="10" customWidth="1"/>
    <col min="8" max="8" width="25.1796875" style="10" customWidth="1"/>
    <col min="9" max="9" width="20.453125" style="10" customWidth="1"/>
    <col min="10" max="16384" width="11.453125" style="10"/>
  </cols>
  <sheetData>
    <row r="2" spans="2:9" ht="26" x14ac:dyDescent="0.25">
      <c r="B2" s="11" t="s">
        <v>3</v>
      </c>
      <c r="C2" s="11" t="s">
        <v>18</v>
      </c>
      <c r="D2" s="11" t="s">
        <v>82</v>
      </c>
      <c r="E2" s="11" t="s">
        <v>22</v>
      </c>
      <c r="F2" s="11" t="s">
        <v>83</v>
      </c>
      <c r="G2" s="11" t="s">
        <v>27</v>
      </c>
      <c r="H2" s="11" t="s">
        <v>84</v>
      </c>
      <c r="I2" s="11" t="s">
        <v>19</v>
      </c>
    </row>
    <row r="3" spans="2:9" x14ac:dyDescent="0.25">
      <c r="B3" s="10" t="s">
        <v>85</v>
      </c>
      <c r="C3" s="10" t="s">
        <v>39</v>
      </c>
      <c r="D3" s="10" t="s">
        <v>41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</row>
    <row r="4" spans="2:9" x14ac:dyDescent="0.25">
      <c r="B4" s="10" t="s">
        <v>91</v>
      </c>
      <c r="C4" s="10" t="s">
        <v>92</v>
      </c>
      <c r="D4" s="10" t="s">
        <v>93</v>
      </c>
      <c r="E4" s="10" t="s">
        <v>43</v>
      </c>
      <c r="F4" s="10" t="s">
        <v>94</v>
      </c>
      <c r="G4" s="10" t="s">
        <v>95</v>
      </c>
      <c r="H4" s="10" t="s">
        <v>96</v>
      </c>
      <c r="I4" s="10" t="s">
        <v>97</v>
      </c>
    </row>
    <row r="5" spans="2:9" x14ac:dyDescent="0.25">
      <c r="B5" s="10" t="s">
        <v>98</v>
      </c>
      <c r="C5" s="10" t="s">
        <v>99</v>
      </c>
      <c r="D5" s="10" t="s">
        <v>100</v>
      </c>
      <c r="E5" s="10" t="s">
        <v>101</v>
      </c>
      <c r="F5" s="10" t="s">
        <v>44</v>
      </c>
      <c r="G5" s="10" t="s">
        <v>44</v>
      </c>
      <c r="H5" s="10" t="s">
        <v>44</v>
      </c>
      <c r="I5" s="10" t="s">
        <v>102</v>
      </c>
    </row>
    <row r="6" spans="2:9" x14ac:dyDescent="0.25">
      <c r="B6" s="10" t="s">
        <v>103</v>
      </c>
      <c r="C6" s="10" t="s">
        <v>104</v>
      </c>
      <c r="D6" s="10" t="s">
        <v>105</v>
      </c>
      <c r="E6" s="10" t="s">
        <v>106</v>
      </c>
      <c r="I6" s="10" t="s">
        <v>107</v>
      </c>
    </row>
    <row r="7" spans="2:9" x14ac:dyDescent="0.25">
      <c r="B7" s="10" t="s">
        <v>108</v>
      </c>
      <c r="C7" s="10" t="s">
        <v>109</v>
      </c>
      <c r="D7" s="10" t="s">
        <v>110</v>
      </c>
      <c r="E7" s="10" t="s">
        <v>111</v>
      </c>
      <c r="I7" s="10" t="s">
        <v>112</v>
      </c>
    </row>
    <row r="8" spans="2:9" x14ac:dyDescent="0.25">
      <c r="B8" s="10" t="s">
        <v>113</v>
      </c>
      <c r="C8" s="10" t="s">
        <v>114</v>
      </c>
      <c r="E8" s="10" t="s">
        <v>115</v>
      </c>
      <c r="I8" s="10" t="s">
        <v>116</v>
      </c>
    </row>
    <row r="9" spans="2:9" x14ac:dyDescent="0.25">
      <c r="B9" s="10" t="s">
        <v>117</v>
      </c>
      <c r="E9" s="10" t="s">
        <v>118</v>
      </c>
      <c r="I9" s="10" t="s">
        <v>119</v>
      </c>
    </row>
    <row r="10" spans="2:9" x14ac:dyDescent="0.25">
      <c r="I10" s="10" t="s">
        <v>120</v>
      </c>
    </row>
    <row r="11" spans="2:9" x14ac:dyDescent="0.25">
      <c r="I11" s="10" t="s">
        <v>121</v>
      </c>
    </row>
    <row r="13" spans="2:9" x14ac:dyDescent="0.25">
      <c r="I13" s="10" t="s">
        <v>122</v>
      </c>
    </row>
    <row r="14" spans="2:9" x14ac:dyDescent="0.25">
      <c r="I14" s="10" t="s">
        <v>40</v>
      </c>
    </row>
    <row r="15" spans="2:9" x14ac:dyDescent="0.25">
      <c r="I15" s="10" t="s">
        <v>123</v>
      </c>
    </row>
    <row r="16" spans="2:9" x14ac:dyDescent="0.25">
      <c r="I16" s="10" t="s">
        <v>124</v>
      </c>
    </row>
    <row r="17" spans="9:9" x14ac:dyDescent="0.25">
      <c r="I17" s="10" t="s">
        <v>125</v>
      </c>
    </row>
    <row r="18" spans="9:9" x14ac:dyDescent="0.25">
      <c r="I18" s="10" t="s">
        <v>126</v>
      </c>
    </row>
    <row r="19" spans="9:9" x14ac:dyDescent="0.25">
      <c r="I19" s="10" t="s">
        <v>127</v>
      </c>
    </row>
    <row r="21" spans="9:9" x14ac:dyDescent="0.25">
      <c r="I21" s="10" t="s">
        <v>128</v>
      </c>
    </row>
    <row r="22" spans="9:9" ht="26" x14ac:dyDescent="0.25">
      <c r="I22" s="10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C72CC57B-3F75-4A7C-85FE-BE9D8F1B0954}"/>
</file>

<file path=customXml/itemProps2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5f2f9e80-f74a-40c7-b145-b94d8e4966f0"/>
    <ds:schemaRef ds:uri="43b908ec-9e92-424c-a4ad-3174bac6e8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2024-09-11T15:01:05Z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