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https://addixo.sharepoint.com/COM/Documents partages/01 Clients/Confiserie Triki/8 SF/04 Digitalisation site 3/2 Préparation Offre/"/>
    </mc:Choice>
  </mc:AlternateContent>
  <xr:revisionPtr revIDLastSave="152" documentId="8_{E9EFE21D-26E1-4772-89C6-A0ED8A8B2BAB}" xr6:coauthVersionLast="47" xr6:coauthVersionMax="47" xr10:uidLastSave="{F49BCFF5-DC26-4D6A-8249-BE979EAAB2DE}"/>
  <bookViews>
    <workbookView xWindow="-120" yWindow="-120" windowWidth="20730" windowHeight="11040" tabRatio="620" xr2:uid="{00000000-000D-0000-FFFF-FFFF00000000}"/>
  </bookViews>
  <sheets>
    <sheet name="Gestion Exigences" sheetId="27" r:id="rId1"/>
    <sheet name="Modifs Doc" sheetId="29" r:id="rId2"/>
    <sheet name="Params" sheetId="30" r:id="rId3"/>
  </sheets>
  <definedNames>
    <definedName name="_xlnm.Print_Area" localSheetId="0">'Gestion Exigences'!$C$2:$I$21</definedName>
    <definedName name="_xlnm.Print_Area" localSheetId="1">'Modifs Doc'!$B$2:$G$18</definedName>
  </definedName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7" i="27" l="1"/>
  <c r="N20" i="27"/>
  <c r="N31" i="27"/>
  <c r="O14" i="27"/>
  <c r="O15" i="27"/>
  <c r="O16" i="27"/>
  <c r="O17" i="27"/>
  <c r="O18" i="27"/>
  <c r="O19" i="27"/>
  <c r="O20" i="27"/>
  <c r="O21" i="27"/>
  <c r="O22" i="27"/>
  <c r="O23" i="27"/>
  <c r="O24" i="27"/>
  <c r="O25" i="27"/>
  <c r="O26" i="27"/>
  <c r="O27" i="27"/>
  <c r="O28" i="27"/>
  <c r="O29" i="27"/>
  <c r="O30" i="27"/>
  <c r="O31" i="27"/>
  <c r="O32" i="27"/>
  <c r="O33" i="27"/>
  <c r="O34" i="27"/>
  <c r="O35" i="27"/>
  <c r="O36" i="27"/>
  <c r="O37" i="27"/>
  <c r="P37" i="27" s="1"/>
  <c r="O13" i="27"/>
  <c r="P14" i="27"/>
  <c r="P15" i="27"/>
  <c r="P16" i="27"/>
  <c r="P17" i="27"/>
  <c r="P30" i="27"/>
  <c r="P31" i="27"/>
  <c r="P32" i="27"/>
  <c r="P33" i="27"/>
  <c r="P34" i="27"/>
  <c r="P35" i="27"/>
  <c r="P36" i="27"/>
  <c r="N38" i="27"/>
  <c r="O38" i="27" l="1"/>
  <c r="P28" i="27"/>
  <c r="P23" i="27"/>
  <c r="P24" i="27"/>
  <c r="P25" i="27"/>
  <c r="P26" i="27"/>
  <c r="P27" i="27"/>
  <c r="P21" i="27"/>
  <c r="P13" i="27"/>
  <c r="P18" i="27"/>
  <c r="P19" i="27"/>
  <c r="P20" i="27"/>
  <c r="P22" i="27"/>
  <c r="C5" i="29"/>
  <c r="C6" i="29"/>
  <c r="C7" i="29"/>
  <c r="C8" i="29"/>
  <c r="C9" i="29"/>
  <c r="C10" i="29"/>
  <c r="B6" i="29"/>
  <c r="B7" i="29"/>
  <c r="B8" i="29"/>
  <c r="B9" i="29"/>
  <c r="B10" i="29"/>
  <c r="B5" i="29"/>
  <c r="Q27" i="27" l="1"/>
  <c r="R27" i="27" s="1"/>
  <c r="S27" i="27" s="1"/>
  <c r="T27" i="27" s="1"/>
  <c r="U27" i="27" s="1"/>
  <c r="V27" i="27" s="1"/>
  <c r="P29" i="27"/>
  <c r="P38" i="27" l="1"/>
</calcChain>
</file>

<file path=xl/sharedStrings.xml><?xml version="1.0" encoding="utf-8"?>
<sst xmlns="http://schemas.openxmlformats.org/spreadsheetml/2006/main" count="383" uniqueCount="194">
  <si>
    <t>Gestion Exigences Projet</t>
  </si>
  <si>
    <t>Chiffrage Réalisation SF</t>
  </si>
  <si>
    <t>Revue et Vérification pendant la Conception</t>
  </si>
  <si>
    <t>Client</t>
  </si>
  <si>
    <t>Confiserie TRIKI</t>
  </si>
  <si>
    <t>Projet</t>
  </si>
  <si>
    <t>Digitalisation site 3</t>
  </si>
  <si>
    <t>Réf BPA du Devis</t>
  </si>
  <si>
    <t>Réf BPA du Projet</t>
  </si>
  <si>
    <t>Réf Modèle Document</t>
  </si>
  <si>
    <t>MD203</t>
  </si>
  <si>
    <t>Strictement Confidentiel</t>
  </si>
  <si>
    <t>Version Modèle Document</t>
  </si>
  <si>
    <t>V1.5</t>
  </si>
  <si>
    <t>ID</t>
  </si>
  <si>
    <t>Exigence</t>
  </si>
  <si>
    <t>Nature</t>
  </si>
  <si>
    <t>Catégorie</t>
  </si>
  <si>
    <t>Exigence idenfiée pendant la phase</t>
  </si>
  <si>
    <t>Description de l'exigence</t>
  </si>
  <si>
    <t>Source</t>
  </si>
  <si>
    <t>Desciption de la solution ADDIXO</t>
  </si>
  <si>
    <t>Ecart entre exigence client et la solution proposée - préciser aussi les limites et hypothèses si applicable</t>
  </si>
  <si>
    <t>Validation Interne</t>
  </si>
  <si>
    <t>Validation Interne par:</t>
  </si>
  <si>
    <t>Statut Client</t>
  </si>
  <si>
    <t>HJ Dev</t>
  </si>
  <si>
    <t>HJ Analyse et test</t>
  </si>
  <si>
    <t>Total HJ</t>
  </si>
  <si>
    <t>Description comment la conception de la solution prend en compte l'exigence client</t>
  </si>
  <si>
    <t>Conception réalisée par:</t>
  </si>
  <si>
    <t>Revue conception réalisée par</t>
  </si>
  <si>
    <t>Vérification de la conception réalisée par</t>
  </si>
  <si>
    <t xml:space="preserve">Preuve de vérification </t>
  </si>
  <si>
    <t>Notes</t>
  </si>
  <si>
    <t>E001</t>
  </si>
  <si>
    <t>Fonctionnelle</t>
  </si>
  <si>
    <t>SF-Processus</t>
  </si>
  <si>
    <t>Commerciale</t>
  </si>
  <si>
    <t>Permettre de détecter pour la même ligne de production, la quantité réelle produite à travers différentes sources disponibles ( capteurs, champs)</t>
  </si>
  <si>
    <t>Workshop/réunion client</t>
  </si>
  <si>
    <t>RAS</t>
  </si>
  <si>
    <t>Validée</t>
  </si>
  <si>
    <t>Mahdi B.</t>
  </si>
  <si>
    <t>E002</t>
  </si>
  <si>
    <t xml:space="preserve">Gérer un OF sur plusieurs lignes </t>
  </si>
  <si>
    <t>Permettre de lancer un seul OF sur plusieurs lignes</t>
  </si>
  <si>
    <t>E003</t>
  </si>
  <si>
    <t xml:space="preserve">Détecter la production à partir de N source pour la même ligne </t>
  </si>
  <si>
    <t>SF-Connectivité Machine</t>
  </si>
  <si>
    <t>Détecter le début réel de la production pour les lignes avec des enveloppeuses</t>
  </si>
  <si>
    <t>Permettre de détecter l'évènement de début réel de la production lors du passage des produits du enveloppeuse</t>
  </si>
  <si>
    <t>Permettre au niveau de la partie EDGE standard de la solution la détection et l'envoie du message début réel production.</t>
  </si>
  <si>
    <t>E005</t>
  </si>
  <si>
    <t>Tracer  l'évènement de début réel de la production dans la solution</t>
  </si>
  <si>
    <t>Permettre de tracer l'évènement de début réel de la production dans la solution pour toutes les lignes.</t>
  </si>
  <si>
    <t>E006</t>
  </si>
  <si>
    <t>E007</t>
  </si>
  <si>
    <t xml:space="preserve">Historiser le rendement par machine </t>
  </si>
  <si>
    <t xml:space="preserve">Permettre d'historiser par rapport à chaque machine, la quantité produite détectée ainsi que le TRS </t>
  </si>
  <si>
    <t>E008</t>
  </si>
  <si>
    <t>Détecter l'arrêt ainsi que les causes à partir des machines MEF de chaque ligne</t>
  </si>
  <si>
    <t>Permettre de détecter l'arrêt ainsi que les causes à partir des machines MEF de chaque ligne</t>
  </si>
  <si>
    <t>Détection des arrets via les capteurs de présence de production, ou via les signaux recupéres des machines (relais) ou via les alarmes recupéres des machines (OPC-UA)</t>
  </si>
  <si>
    <t>E009</t>
  </si>
  <si>
    <t>Compter automatiquement la quantité produite pour la ligne tablette</t>
  </si>
  <si>
    <t>Permettre de compter automatiquement la quantité produite pour la ligne tablette</t>
  </si>
  <si>
    <t xml:space="preserve">Module production </t>
  </si>
  <si>
    <t>E010</t>
  </si>
  <si>
    <t>Compter automatiquement les quantités produites par enveloppeuse</t>
  </si>
  <si>
    <t>Permettre de compter automatiquement les quantités produites par enveloppeuse</t>
  </si>
  <si>
    <t>E011</t>
  </si>
  <si>
    <t>Détecter l'arrêt ainsi que les causes à partir des machines de dragéifications automatisées</t>
  </si>
  <si>
    <t>Permettre de détecter l'arrêt ainsi que les causes à partir des machines de dragéifications automatisées</t>
  </si>
  <si>
    <t>E012</t>
  </si>
  <si>
    <t>Compter automatiquement les quantités produites pour les lignes de conditionnement</t>
  </si>
  <si>
    <t>Permettre de compter automatiquement les quantités produites pour les lignes de conditionnement</t>
  </si>
  <si>
    <t>E013</t>
  </si>
  <si>
    <t>Détecter l'arrêt ainsi que la source pour les lignes de conditionnement</t>
  </si>
  <si>
    <t>Permettre de détecter l'arrêt ainsi que la source pour les lignes de conditionnement</t>
  </si>
  <si>
    <t>Détection  des arrets via les capteurs de présence de production, ou via les signaux recupéres des machines (relais) ou via les alarmes recupéres des machines (OPC-UA)</t>
  </si>
  <si>
    <t>E014</t>
  </si>
  <si>
    <t>E015</t>
  </si>
  <si>
    <t>E016</t>
  </si>
  <si>
    <t>E017</t>
  </si>
  <si>
    <t>Sortie Alerte visuelle de SF</t>
  </si>
  <si>
    <t>En cas d'arrêt sur SF, permettre le renvoie d'un signal électrique.</t>
  </si>
  <si>
    <t>En cas d'arrêt sur SF, Edge renvoie un signal électrique exploitable par la suite par le client pour ajouter des alertes visuelles par rapport à chaque machine</t>
  </si>
  <si>
    <t>Le client prend en charge le branchement entre Edge box SF et le sytème ANDON de son choix</t>
  </si>
  <si>
    <t>E018</t>
  </si>
  <si>
    <t>Gérer statut OF</t>
  </si>
  <si>
    <t xml:space="preserve">Permettre de gérer le statut de l'OF au niveau des fiches de démarrage et de fin de série </t>
  </si>
  <si>
    <t>Ajouter le statut de l'OF (IN PROGRESS, CLOSED) dans la liste des OF's au niveau des fiches de démarrage et de fin de série</t>
  </si>
  <si>
    <t>E019</t>
  </si>
  <si>
    <t xml:space="preserve">Suivre la date de première mesure du MSP </t>
  </si>
  <si>
    <t>Permettre d'ajouter la date de la premiére mesure au niveau de chaque fiche MSP</t>
  </si>
  <si>
    <t>Ajouter un champ "Date de la premiére mesure" au niveau de chaque fiche MSP</t>
  </si>
  <si>
    <t>E020</t>
  </si>
  <si>
    <t xml:space="preserve">Calculer l'etendu moyen </t>
  </si>
  <si>
    <t>Permettre d'ajouter l'etendu moyen au niveau de chaque fiche MSP</t>
  </si>
  <si>
    <t>E021</t>
  </si>
  <si>
    <t>Gérer les fiches de-conformité</t>
  </si>
  <si>
    <t>Permettre de gérer les fiches de-conformité indiquant au niveau de cette fiche (Probléme,Actions immédiates, Causes, Actions définitives)</t>
  </si>
  <si>
    <t>Ajouter une colonne dans l'interface de gestion des fiches de-conformité indiquant au niveau de cette fiche (Probléme,Actions immédiates, Causes, Actions définitives)</t>
  </si>
  <si>
    <t>E022</t>
  </si>
  <si>
    <t xml:space="preserve">Suivre l'affectation des NC </t>
  </si>
  <si>
    <t>Permettre de choisir les lignes sur lesquelles sont affectées les NC</t>
  </si>
  <si>
    <t>Ajouter un champ avec bouton radio pour choisir les lignes sur lesquelles sont affectées les NC</t>
  </si>
  <si>
    <t>E023</t>
  </si>
  <si>
    <t>Calculer l'indicateur TQ Brute</t>
  </si>
  <si>
    <t>Permettre de calculer l'indicateur TQ Brute dans le Tableau de bord Qualité</t>
  </si>
  <si>
    <t>Ajouter l'indicateur TQ Brute dans le Tableau de bord Qualité</t>
  </si>
  <si>
    <t xml:space="preserve"> </t>
  </si>
  <si>
    <t>Version</t>
  </si>
  <si>
    <t>Date</t>
  </si>
  <si>
    <t>Modifications</t>
  </si>
  <si>
    <t>Auteur(s)</t>
  </si>
  <si>
    <t>Vérificateur(s)</t>
  </si>
  <si>
    <t>Approbateur</t>
  </si>
  <si>
    <t>V1.0</t>
  </si>
  <si>
    <t>Version interne  (envoyée et validée par client)</t>
  </si>
  <si>
    <t>Nihel K.</t>
  </si>
  <si>
    <t>Amani S.</t>
  </si>
  <si>
    <t>Imed A.</t>
  </si>
  <si>
    <t>V1.1</t>
  </si>
  <si>
    <t xml:space="preserve">Mise à jour des exigences après la visite du 15/17 février </t>
  </si>
  <si>
    <t>V1.2</t>
  </si>
  <si>
    <t>Mise à jour des exigences : 
•Mise à jour des HJ des exigences 
•Rajout des nouvelles demandes au niveau de la fiche qualité "E019--E024"
•Supprimer l'exigence E008</t>
  </si>
  <si>
    <t>Mahdi B. + Ferjania B.</t>
  </si>
  <si>
    <t>Exigence identifiée pendant la phase</t>
  </si>
  <si>
    <t>Oui/Non</t>
  </si>
  <si>
    <t>Statut Interne</t>
  </si>
  <si>
    <t>CdC client</t>
  </si>
  <si>
    <t>Oui</t>
  </si>
  <si>
    <t>Validée par le client</t>
  </si>
  <si>
    <t>*** SE</t>
  </si>
  <si>
    <t>Performance</t>
  </si>
  <si>
    <t>Conception</t>
  </si>
  <si>
    <t>Non</t>
  </si>
  <si>
    <t>Non validée par client</t>
  </si>
  <si>
    <t>Non validée</t>
  </si>
  <si>
    <t>SE-Processus</t>
  </si>
  <si>
    <t>Reglementaire</t>
  </si>
  <si>
    <t>Réalisation</t>
  </si>
  <si>
    <t>Workshop/réunion Interne</t>
  </si>
  <si>
    <t>N/A</t>
  </si>
  <si>
    <t>SE-Mécanique</t>
  </si>
  <si>
    <t>Sécurité</t>
  </si>
  <si>
    <t>Mise en œuvre</t>
  </si>
  <si>
    <t>Standards client</t>
  </si>
  <si>
    <t>SE-Electrique</t>
  </si>
  <si>
    <t>Standard Client</t>
  </si>
  <si>
    <t>Support et maintenance</t>
  </si>
  <si>
    <t>Standards ADDIXO</t>
  </si>
  <si>
    <t>SE-Soft</t>
  </si>
  <si>
    <t>Standard ADDIXO</t>
  </si>
  <si>
    <t>Reglementation</t>
  </si>
  <si>
    <t>SE-Auto</t>
  </si>
  <si>
    <t>Demande modification</t>
  </si>
  <si>
    <t>SE-Fabrication</t>
  </si>
  <si>
    <t>SE-Intégration</t>
  </si>
  <si>
    <t>SE-Achats</t>
  </si>
  <si>
    <t>*** SF</t>
  </si>
  <si>
    <t>SF-Fonctionnelle</t>
  </si>
  <si>
    <t>SF-Intégration SI</t>
  </si>
  <si>
    <t>SF-Software</t>
  </si>
  <si>
    <t>SF-Infra IT</t>
  </si>
  <si>
    <t>*** TC</t>
  </si>
  <si>
    <t>TC-Prestations sur site client</t>
  </si>
  <si>
    <t>Permettre le choix de nombre de chiffre après la virgule pour la quantité produite par unité</t>
  </si>
  <si>
    <t>Gestion des sites</t>
  </si>
  <si>
    <t>gestion des sites</t>
  </si>
  <si>
    <t xml:space="preserve">Ajouter une entité " sites " sous le module configuration </t>
  </si>
  <si>
    <t>Ajouter au niveau de la configuration des Postes si la disposition des machines affectées à ce poste est en parallèle.
Permettre la déclaration de production par machine.
Définir la quantité produite par poste et par ligne à partir de la déclaration de production par machine.</t>
  </si>
  <si>
    <t>Délcaration de production à partir de N sources sur le même poste</t>
  </si>
  <si>
    <t>Définir les machines Goulots et les machines Sortie de Production</t>
  </si>
  <si>
    <t>Définir les postes Sortie de production</t>
  </si>
  <si>
    <t>E024</t>
  </si>
  <si>
    <t>E025</t>
  </si>
  <si>
    <t>E026</t>
  </si>
  <si>
    <t>Définir au niveau de chaque poste s'il est sortie de production</t>
  </si>
  <si>
    <t>Définir au niveau de chaque machine s'il est goulot et s'il est sortie de production</t>
  </si>
  <si>
    <t>Définir au niveau de chaque poste s'il est sortie de production
La quantité produite par ligne est la somme des quantités produites par poste sortie de production</t>
  </si>
  <si>
    <t>Configuration des postes au niveau de l'OF</t>
  </si>
  <si>
    <t>Permettre la modification des types de postes sortie de production et goulot au niveau de l'OF</t>
  </si>
  <si>
    <t>Permettre de gérer le même OF sur plusieurs ligne</t>
  </si>
  <si>
    <t>Adaptation au niveau de la partie EDGE standard de la solution pour permettre la détection et l'envoie des quantités produites par Machine</t>
  </si>
  <si>
    <t>Ajouter une interface pour la configuration des évenements
Adaptation au niveau de l'interface 360° pour suivre les évenements en temps réel</t>
  </si>
  <si>
    <t>Adaptation au niveau de module TB Prod pour ajouter une interface de suivi des états des machines, sous le "détails ligne" disponible. 
Ajouter une interface suivi production par shift par machine</t>
  </si>
  <si>
    <t xml:space="preserve">RAS
</t>
  </si>
  <si>
    <t>Déclarer les quantités produites et conformes manuellement par machine</t>
  </si>
  <si>
    <t>Adaptation au niveau de l'interface déclaration de production pour permettre la déclaration des quantités produites et non conformes par machine s'il y a plusieurs machines Sortie de production
Adaptation au niveau de l'interface Fiche non-conformité pour permettre le choix de la machine s'il y a plusieurs machines Sortie de production</t>
  </si>
  <si>
    <t>Permettre le choix de nombre de chiffre après la virgule pour la quantité produite par unité
Adaptation au niveau de la vue 360° pour définir le nombre de chiffre après la virgule des quantités produites et non conformes.
Adaptation au niveau du tableau de bord pour définir le nombre de chiffre après la virgule des quantités produites et non conformes.</t>
  </si>
  <si>
    <t xml:space="preserve">Définir au niveau de chaque machine s'elle est goulot et s'elle est sortie de production
La quantité produite par Poste est la somme des quantités produites par machine sortie de production
L'arrêt d'un poste est l'arrêt de toutes les machines ou l'arrêt d'une machine goulot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</si>
</sst>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sz val="11"/>
      <name val="Calibri Light"/>
      <family val="2"/>
    </font>
    <font>
      <b/>
      <sz val="12"/>
      <name val="Calibri Light"/>
      <family val="2"/>
    </font>
    <font>
      <sz val="10"/>
      <color theme="1"/>
      <name val="Calibri Light"/>
      <family val="2"/>
      <scheme val="major"/>
    </font>
    <font>
      <b/>
      <sz val="10"/>
      <name val="Calibri Light"/>
      <family val="2"/>
      <scheme val="major"/>
    </font>
    <font>
      <b/>
      <sz val="14"/>
      <color theme="0"/>
      <name val="Calibri Light"/>
      <family val="2"/>
      <scheme val="major"/>
    </font>
    <font>
      <sz val="8"/>
      <name val="Calibri Light"/>
      <family val="2"/>
      <scheme val="major"/>
    </font>
    <font>
      <sz val="8"/>
      <name val="Calibri Light"/>
      <family val="2"/>
    </font>
    <font>
      <b/>
      <sz val="11"/>
      <color theme="2" tint="-0.89999084444715716"/>
      <name val="Calibri Light"/>
      <family val="2"/>
    </font>
    <font>
      <b/>
      <sz val="14"/>
      <color rgb="FFFF0000"/>
      <name val="Calibri Light"/>
      <family val="2"/>
      <scheme val="major"/>
    </font>
  </fonts>
  <fills count="6">
    <fill>
      <patternFill patternType="none"/>
    </fill>
    <fill>
      <patternFill patternType="gray125"/>
    </fill>
    <fill>
      <patternFill patternType="solid">
        <fgColor rgb="FF00B050"/>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0"/>
        <bgColor indexed="64"/>
      </patternFill>
    </fill>
  </fills>
  <borders count="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theme="1"/>
      </top>
      <bottom/>
      <diagonal/>
    </border>
    <border>
      <left style="medium">
        <color indexed="64"/>
      </left>
      <right/>
      <top style="thin">
        <color theme="1"/>
      </top>
      <bottom/>
      <diagonal/>
    </border>
  </borders>
  <cellStyleXfs count="1">
    <xf numFmtId="0" fontId="0" fillId="0" borderId="0"/>
  </cellStyleXfs>
  <cellXfs count="42">
    <xf numFmtId="0" fontId="0" fillId="0" borderId="0" xfId="0"/>
    <xf numFmtId="0" fontId="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8" fillId="0" borderId="0" xfId="0" applyFont="1" applyAlignment="1">
      <alignment vertical="center" wrapText="1"/>
    </xf>
    <xf numFmtId="14" fontId="8" fillId="0" borderId="0" xfId="0" applyNumberFormat="1" applyFont="1" applyAlignment="1">
      <alignment vertical="center" wrapText="1"/>
    </xf>
    <xf numFmtId="0" fontId="11" fillId="0" borderId="0" xfId="0" applyFont="1" applyAlignment="1">
      <alignment horizontal="center" wrapText="1"/>
    </xf>
    <xf numFmtId="0" fontId="13" fillId="0" borderId="0" xfId="0" applyFont="1" applyAlignment="1">
      <alignment wrapText="1"/>
    </xf>
    <xf numFmtId="0" fontId="1" fillId="0" borderId="0" xfId="0" applyFont="1" applyAlignment="1">
      <alignment vertical="center" wrapText="1"/>
    </xf>
    <xf numFmtId="0" fontId="11" fillId="0" borderId="0" xfId="0" applyFont="1" applyAlignment="1">
      <alignment vertical="center" wrapText="1"/>
    </xf>
    <xf numFmtId="0" fontId="14" fillId="0" borderId="0" xfId="0" applyFont="1" applyAlignment="1">
      <alignment horizontal="left" vertical="center" wrapText="1"/>
    </xf>
    <xf numFmtId="0" fontId="6" fillId="0" borderId="0" xfId="0" applyFont="1" applyAlignment="1">
      <alignment horizontal="left" vertical="center"/>
    </xf>
    <xf numFmtId="0" fontId="14" fillId="0" borderId="0" xfId="0" applyFont="1" applyAlignment="1">
      <alignment horizontal="left" vertical="center"/>
    </xf>
    <xf numFmtId="0" fontId="15" fillId="3" borderId="0" xfId="0" applyFont="1" applyFill="1" applyAlignment="1">
      <alignment horizontal="center" vertical="center" wrapText="1"/>
    </xf>
    <xf numFmtId="0" fontId="10" fillId="4" borderId="2" xfId="0" applyFont="1" applyFill="1" applyBorder="1" applyAlignment="1">
      <alignment vertical="center" wrapText="1"/>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0" fillId="3" borderId="1" xfId="0" applyFont="1" applyFill="1" applyBorder="1" applyAlignment="1">
      <alignment vertical="center" wrapText="1"/>
    </xf>
    <xf numFmtId="0" fontId="10" fillId="3" borderId="2" xfId="0" applyFont="1" applyFill="1" applyBorder="1" applyAlignment="1">
      <alignment vertical="center" wrapText="1"/>
    </xf>
    <xf numFmtId="0" fontId="10" fillId="3" borderId="3" xfId="0" applyFont="1" applyFill="1" applyBorder="1" applyAlignment="1">
      <alignment vertical="center" wrapText="1"/>
    </xf>
    <xf numFmtId="0" fontId="10" fillId="0" borderId="0" xfId="0" applyFont="1" applyAlignment="1">
      <alignment wrapText="1"/>
    </xf>
    <xf numFmtId="0" fontId="10" fillId="0" borderId="0" xfId="0" applyFont="1" applyAlignment="1">
      <alignment vertical="center" wrapText="1"/>
    </xf>
    <xf numFmtId="0" fontId="16" fillId="0" borderId="0" xfId="0" applyFont="1" applyAlignment="1">
      <alignment wrapText="1"/>
    </xf>
    <xf numFmtId="14" fontId="3" fillId="0" borderId="0" xfId="0" applyNumberFormat="1" applyFont="1" applyAlignment="1">
      <alignment wrapText="1"/>
    </xf>
    <xf numFmtId="0" fontId="3" fillId="0" borderId="0" xfId="0" applyFont="1" applyAlignment="1">
      <alignment vertical="center" wrapText="1"/>
    </xf>
    <xf numFmtId="0" fontId="10" fillId="5" borderId="0" xfId="0" applyFont="1" applyFill="1" applyAlignment="1">
      <alignment wrapText="1"/>
    </xf>
    <xf numFmtId="0" fontId="10" fillId="0" borderId="4" xfId="0" applyFont="1" applyBorder="1" applyAlignment="1">
      <alignment vertical="center" wrapText="1"/>
    </xf>
    <xf numFmtId="0" fontId="5" fillId="0" borderId="0" xfId="0" applyFont="1" applyAlignment="1">
      <alignment horizontal="left" wrapText="1"/>
    </xf>
    <xf numFmtId="0" fontId="12" fillId="2" borderId="5" xfId="0" applyFont="1" applyFill="1" applyBorder="1" applyAlignment="1">
      <alignment horizontal="center" wrapText="1"/>
    </xf>
    <xf numFmtId="0" fontId="12" fillId="2" borderId="4" xfId="0" applyFont="1" applyFill="1" applyBorder="1" applyAlignment="1">
      <alignment horizontal="center" wrapText="1"/>
    </xf>
    <xf numFmtId="0" fontId="4" fillId="3" borderId="1" xfId="0" applyFont="1" applyFill="1" applyBorder="1" applyAlignment="1">
      <alignment horizontal="center" wrapText="1"/>
    </xf>
    <xf numFmtId="0" fontId="4" fillId="3" borderId="2" xfId="0" applyFont="1" applyFill="1" applyBorder="1" applyAlignment="1">
      <alignment horizontal="center" wrapText="1"/>
    </xf>
    <xf numFmtId="0" fontId="4" fillId="3" borderId="3" xfId="0" applyFont="1" applyFill="1" applyBorder="1" applyAlignment="1">
      <alignment horizontal="center" wrapText="1"/>
    </xf>
    <xf numFmtId="0" fontId="4" fillId="4" borderId="1" xfId="0" applyFont="1" applyFill="1" applyBorder="1" applyAlignment="1">
      <alignment horizontal="center" wrapText="1"/>
    </xf>
    <xf numFmtId="0" fontId="4" fillId="4" borderId="2" xfId="0" applyFont="1" applyFill="1" applyBorder="1" applyAlignment="1">
      <alignment horizontal="center" wrapText="1"/>
    </xf>
    <xf numFmtId="0" fontId="4" fillId="4" borderId="3" xfId="0" applyFont="1" applyFill="1" applyBorder="1" applyAlignment="1">
      <alignment horizontal="center" wrapText="1"/>
    </xf>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cellXfs>
  <cellStyles count="1">
    <cellStyle name="Normal" xfId="0" builtinId="0"/>
  </cellStyles>
  <dxfs count="52">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Light"/>
        <family val="2"/>
        <scheme val="major"/>
      </font>
      <alignment horizontal="general" vertical="center"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2" tint="-0.89999084444715716"/>
        <name val="Calibri Light"/>
        <family val="2"/>
        <scheme val="none"/>
      </font>
      <fill>
        <patternFill patternType="solid">
          <fgColor indexed="64"/>
          <bgColor theme="0" tint="-0.14999847407452621"/>
        </patternFill>
      </fill>
      <alignment horizontal="center"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2:V38" totalsRowCount="1" headerRowDxfId="51" dataDxfId="50">
  <autoFilter ref="B12:V37" xr:uid="{DDEA2C8B-EE0D-4C55-9256-CCC64E002CE6}"/>
  <tableColumns count="21">
    <tableColumn id="1" xr3:uid="{E467E0EE-CDAA-4FF5-85A8-CDC0B23A5AD9}" name="ID" dataDxfId="41" totalsRowDxfId="20"/>
    <tableColumn id="2" xr3:uid="{E53952AC-4972-47BD-8B1D-C7EF23088D0D}" name="Exigence" dataDxfId="40" totalsRowDxfId="19"/>
    <tableColumn id="8" xr3:uid="{B2D0BC2C-C803-4015-8FA6-70F84517BDB2}" name="Nature" dataDxfId="39" totalsRowDxfId="18"/>
    <tableColumn id="7" xr3:uid="{24F2F0ED-022E-4EC1-91D8-BFE0E4F2FD36}" name="Catégorie" dataDxfId="38" totalsRowDxfId="17"/>
    <tableColumn id="10" xr3:uid="{1FF81CF1-6D35-421C-8767-9E7FA06FEE6A}" name="Exigence idenfiée pendant la phase" dataDxfId="37" totalsRowDxfId="16"/>
    <tableColumn id="3" xr3:uid="{E7621A68-9552-4853-96A5-92A226EA42DD}" name="Description de l'exigence" dataDxfId="36" totalsRowDxfId="15"/>
    <tableColumn id="9" xr3:uid="{E6EEEC82-3576-4980-94B3-1423906CE531}" name="Source" dataDxfId="35" totalsRowDxfId="14"/>
    <tableColumn id="16" xr3:uid="{1441554A-79F9-4040-9CF5-AEBFF7ADF7D1}" name="Desciption de la solution ADDIXO" dataDxfId="34" totalsRowDxfId="13"/>
    <tableColumn id="17" xr3:uid="{D1BC9C86-C3CE-417F-AC83-FC4786A7656D}" name="Ecart entre exigence client et la solution proposée - préciser aussi les limites et hypothèses si applicable" dataDxfId="33" totalsRowDxfId="12"/>
    <tableColumn id="5" xr3:uid="{2649C3B7-E8B9-44F9-8883-E5BB6F91B4B1}" name="Validation Interne" dataDxfId="32" totalsRowDxfId="11"/>
    <tableColumn id="6" xr3:uid="{8CC493F8-0886-498D-AB98-B77300CC6510}" name="Validation Interne par:" dataDxfId="31" totalsRowDxfId="10"/>
    <tableColumn id="15" xr3:uid="{78231C60-0932-4386-925D-4C689A91C0E3}" name="Statut Client" dataDxfId="30" totalsRowDxfId="9"/>
    <tableColumn id="22" xr3:uid="{D944A0FD-E468-407F-91A6-BD8A29086A7B}" name="HJ Dev" totalsRowFunction="custom" dataDxfId="29" totalsRowDxfId="8">
      <totalsRowFormula>SUBTOTAL(109,N13:N37)</totalsRowFormula>
    </tableColumn>
    <tableColumn id="21" xr3:uid="{818C68C5-1CC3-4DC9-9BB8-2CB7816ABE9F}" name="HJ Analyse et test" totalsRowFunction="custom" dataDxfId="28" totalsRowDxfId="7">
      <calculatedColumnFormula>Tableau3[[#This Row],[HJ Dev]]*(25%+25%)</calculatedColumnFormula>
      <totalsRowFormula>SUBTOTAL(109,O13:O37)</totalsRowFormula>
    </tableColumn>
    <tableColumn id="20" xr3:uid="{81CB5860-4285-4425-ABF9-C91F3323BF25}" name="Total HJ" totalsRowFunction="custom" dataDxfId="27" totalsRowDxfId="6">
      <totalsRowFormula>SUBTOTAL(109,P13:P37)</totalsRowFormula>
    </tableColumn>
    <tableColumn id="11" xr3:uid="{20685332-73A9-4B9D-874E-F1C9F770405F}" name="Description comment la conception de la solution prend en compte l'exigence client" dataDxfId="26" totalsRowDxfId="5"/>
    <tableColumn id="12" xr3:uid="{36B390F4-625A-46E1-864B-7108903FFD96}" name="Conception réalisée par:" dataDxfId="25" totalsRowDxfId="4"/>
    <tableColumn id="13" xr3:uid="{9016419E-83A5-4950-AB28-EA27A0D72FAD}" name="Revue conception réalisée par" dataDxfId="24" totalsRowDxfId="3"/>
    <tableColumn id="14" xr3:uid="{B5F29B7E-09EB-43EF-BD3D-9ADF38F7CC12}" name="Vérification de la conception réalisée par" dataDxfId="23" totalsRowDxfId="2"/>
    <tableColumn id="18" xr3:uid="{0CA25C90-64D6-43D5-90C8-CE6D70CCA638}" name="Preuve de vérification " dataDxfId="22" totalsRowDxfId="1"/>
    <tableColumn id="4" xr3:uid="{B7406A3A-A365-4F76-9A20-372573D19BC9}" name="Notes" dataDxfId="21" totalsRowDxfId="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8" totalsRowShown="0" headerRowDxfId="49" dataDxfId="48">
  <autoFilter ref="B13:G18" xr:uid="{96AD1385-A1F5-4391-ABC2-C9F250557626}"/>
  <tableColumns count="6">
    <tableColumn id="1" xr3:uid="{56DA355E-F205-482A-9CF1-CA3361A1D801}" name="Version" dataDxfId="47"/>
    <tableColumn id="2" xr3:uid="{C9D8A0D7-1D6E-479B-AF74-6D39D19E4653}" name="Date" dataDxfId="46"/>
    <tableColumn id="3" xr3:uid="{79109713-8A38-4162-A269-136157905B75}" name="Modifications" dataDxfId="45"/>
    <tableColumn id="4" xr3:uid="{AC928B3E-399C-4A3D-9FB5-9CD96F5D4745}" name="Auteur(s)" dataDxfId="44"/>
    <tableColumn id="5" xr3:uid="{0D0A428D-4F18-4D4E-A0CB-4D1A5057B6E9}" name="Vérificateur(s)" dataDxfId="43"/>
    <tableColumn id="6" xr3:uid="{D81EAB57-FBCA-44D9-8F45-58AF13AA08B6}" name="Approbateur" dataDxfId="42"/>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V38"/>
  <sheetViews>
    <sheetView tabSelected="1" topLeftCell="I31" zoomScale="110" zoomScaleNormal="110" workbookViewId="0">
      <selection activeCell="N38" sqref="N38"/>
    </sheetView>
  </sheetViews>
  <sheetFormatPr baseColWidth="10" defaultColWidth="11.42578125" defaultRowHeight="12.75" x14ac:dyDescent="0.2"/>
  <cols>
    <col min="1" max="1" width="11.42578125" style="1"/>
    <col min="2" max="2" width="6.140625" style="1" customWidth="1"/>
    <col min="3" max="3" width="37" style="1" customWidth="1"/>
    <col min="4" max="4" width="14.42578125" style="1" customWidth="1"/>
    <col min="5" max="5" width="12.42578125" style="1" customWidth="1"/>
    <col min="6" max="6" width="18.7109375" style="1" customWidth="1"/>
    <col min="7" max="7" width="56.5703125" style="1" customWidth="1"/>
    <col min="8" max="8" width="18.42578125" style="1" customWidth="1"/>
    <col min="9" max="9" width="97.28515625" style="1" customWidth="1"/>
    <col min="10" max="10" width="36.42578125" style="1" customWidth="1"/>
    <col min="11" max="11" width="10.5703125" style="1" customWidth="1"/>
    <col min="12" max="12" width="12" style="1" customWidth="1"/>
    <col min="13" max="13" width="12.7109375" style="1" customWidth="1"/>
    <col min="14" max="14" width="9.140625" style="1" customWidth="1"/>
    <col min="15" max="15" width="14.85546875" style="1" customWidth="1"/>
    <col min="16" max="16" width="10.28515625" style="1" customWidth="1"/>
    <col min="17" max="17" width="33.28515625" style="1" bestFit="1" customWidth="1"/>
    <col min="18" max="18" width="15.42578125" style="1" bestFit="1" customWidth="1"/>
    <col min="19" max="19" width="14.7109375" style="1" bestFit="1" customWidth="1"/>
    <col min="20" max="20" width="17.42578125" style="1" bestFit="1" customWidth="1"/>
    <col min="21" max="21" width="24.140625" style="1" bestFit="1" customWidth="1"/>
    <col min="22" max="22" width="9" style="1" bestFit="1" customWidth="1"/>
    <col min="23" max="23" width="5.5703125" style="1" customWidth="1"/>
    <col min="24" max="25" width="11.42578125" style="1" customWidth="1"/>
    <col min="26" max="16384" width="11.42578125" style="1"/>
  </cols>
  <sheetData>
    <row r="1" spans="2:22" ht="13.5" thickBot="1" x14ac:dyDescent="0.25"/>
    <row r="2" spans="2:22" ht="21.75" customHeight="1" thickBot="1" x14ac:dyDescent="0.35">
      <c r="B2" s="33" t="s">
        <v>0</v>
      </c>
      <c r="C2" s="34"/>
      <c r="D2" s="34"/>
      <c r="E2" s="34"/>
      <c r="F2" s="34"/>
      <c r="G2" s="34"/>
      <c r="H2" s="34"/>
      <c r="I2" s="34"/>
      <c r="J2" s="34"/>
      <c r="K2" s="34"/>
      <c r="L2" s="34"/>
      <c r="M2" s="35"/>
      <c r="N2" s="36" t="s">
        <v>1</v>
      </c>
      <c r="O2" s="37"/>
      <c r="P2" s="38"/>
      <c r="Q2" s="31" t="s">
        <v>2</v>
      </c>
      <c r="R2" s="32"/>
      <c r="S2" s="32"/>
      <c r="T2" s="32"/>
      <c r="U2" s="32"/>
      <c r="V2" s="32"/>
    </row>
    <row r="3" spans="2:22" ht="21.75" customHeight="1" x14ac:dyDescent="0.2">
      <c r="C3" s="8"/>
      <c r="D3" s="8"/>
      <c r="E3" s="8"/>
      <c r="F3" s="8"/>
      <c r="G3" s="8"/>
      <c r="H3" s="8"/>
      <c r="I3" s="8"/>
    </row>
    <row r="4" spans="2:22" ht="21.75" customHeight="1" x14ac:dyDescent="0.25">
      <c r="C4" s="3" t="s">
        <v>3</v>
      </c>
      <c r="D4" s="30" t="s">
        <v>4</v>
      </c>
      <c r="E4" s="30"/>
      <c r="F4" s="30"/>
      <c r="G4" s="30"/>
      <c r="H4" s="30"/>
      <c r="I4" s="30"/>
    </row>
    <row r="5" spans="2:22" ht="15" x14ac:dyDescent="0.25">
      <c r="C5" s="3" t="s">
        <v>5</v>
      </c>
      <c r="D5" s="30" t="s">
        <v>6</v>
      </c>
      <c r="E5" s="30"/>
      <c r="F5" s="30"/>
      <c r="G5" s="30"/>
      <c r="H5" s="30"/>
      <c r="I5" s="30"/>
    </row>
    <row r="6" spans="2:22" ht="15" x14ac:dyDescent="0.25">
      <c r="C6" s="3" t="s">
        <v>7</v>
      </c>
      <c r="D6" s="30"/>
      <c r="E6" s="30"/>
      <c r="F6" s="30"/>
      <c r="G6" s="30"/>
      <c r="H6" s="30"/>
      <c r="I6" s="30"/>
    </row>
    <row r="7" spans="2:22" ht="15" x14ac:dyDescent="0.25">
      <c r="C7" s="3" t="s">
        <v>8</v>
      </c>
      <c r="D7" s="30"/>
      <c r="E7" s="30"/>
      <c r="F7" s="30"/>
      <c r="G7" s="30"/>
      <c r="H7" s="30"/>
      <c r="I7" s="30"/>
    </row>
    <row r="8" spans="2:22" ht="18.75" x14ac:dyDescent="0.3">
      <c r="C8" s="9" t="s">
        <v>9</v>
      </c>
      <c r="D8" s="9" t="s">
        <v>10</v>
      </c>
      <c r="E8" s="9"/>
      <c r="F8" s="9"/>
      <c r="I8" s="25" t="s">
        <v>11</v>
      </c>
    </row>
    <row r="9" spans="2:22" x14ac:dyDescent="0.2">
      <c r="C9" s="9" t="s">
        <v>12</v>
      </c>
      <c r="D9" s="9" t="s">
        <v>13</v>
      </c>
      <c r="E9" s="9"/>
      <c r="F9" s="9"/>
    </row>
    <row r="11" spans="2:22" s="10" customFormat="1" ht="54" customHeight="1" thickBot="1" x14ac:dyDescent="0.25"/>
    <row r="12" spans="2:22" s="10" customFormat="1" ht="61.5" customHeight="1" thickBot="1" x14ac:dyDescent="0.25">
      <c r="B12" s="20" t="s">
        <v>14</v>
      </c>
      <c r="C12" s="21" t="s">
        <v>15</v>
      </c>
      <c r="D12" s="21" t="s">
        <v>16</v>
      </c>
      <c r="E12" s="21" t="s">
        <v>17</v>
      </c>
      <c r="F12" s="21" t="s">
        <v>18</v>
      </c>
      <c r="G12" s="21" t="s">
        <v>19</v>
      </c>
      <c r="H12" s="21" t="s">
        <v>20</v>
      </c>
      <c r="I12" s="21" t="s">
        <v>21</v>
      </c>
      <c r="J12" s="21" t="s">
        <v>22</v>
      </c>
      <c r="K12" s="21" t="s">
        <v>23</v>
      </c>
      <c r="L12" s="21" t="s">
        <v>24</v>
      </c>
      <c r="M12" s="22" t="s">
        <v>25</v>
      </c>
      <c r="N12" s="16" t="s">
        <v>26</v>
      </c>
      <c r="O12" s="16" t="s">
        <v>27</v>
      </c>
      <c r="P12" s="16" t="s">
        <v>28</v>
      </c>
      <c r="Q12" s="17" t="s">
        <v>29</v>
      </c>
      <c r="R12" s="18" t="s">
        <v>30</v>
      </c>
      <c r="S12" s="18" t="s">
        <v>31</v>
      </c>
      <c r="T12" s="18" t="s">
        <v>32</v>
      </c>
      <c r="U12" s="18" t="s">
        <v>33</v>
      </c>
      <c r="V12" s="19" t="s">
        <v>34</v>
      </c>
    </row>
    <row r="13" spans="2:22" s="10" customFormat="1" ht="38.25" x14ac:dyDescent="0.2">
      <c r="B13" s="10" t="s">
        <v>35</v>
      </c>
      <c r="C13" s="10" t="s">
        <v>174</v>
      </c>
      <c r="D13" s="10" t="s">
        <v>36</v>
      </c>
      <c r="E13" s="10" t="s">
        <v>37</v>
      </c>
      <c r="F13" s="10" t="s">
        <v>38</v>
      </c>
      <c r="G13" s="10" t="s">
        <v>39</v>
      </c>
      <c r="H13" s="10" t="s">
        <v>40</v>
      </c>
      <c r="I13" s="10" t="s">
        <v>173</v>
      </c>
      <c r="J13" s="10" t="s">
        <v>41</v>
      </c>
      <c r="K13" s="10" t="s">
        <v>42</v>
      </c>
      <c r="L13" s="10" t="s">
        <v>43</v>
      </c>
      <c r="N13" s="10">
        <v>5</v>
      </c>
      <c r="O13" s="10">
        <f>Tableau3[[#This Row],[HJ Dev]]*(25%+25%)</f>
        <v>2.5</v>
      </c>
      <c r="P13" s="10">
        <f>Tableau3[[#This Row],[HJ Analyse et test]]+Tableau3[[#This Row],[HJ Dev]]</f>
        <v>7.5</v>
      </c>
    </row>
    <row r="14" spans="2:22" s="10" customFormat="1" ht="25.5" x14ac:dyDescent="0.2">
      <c r="B14" s="10" t="s">
        <v>44</v>
      </c>
      <c r="C14" s="10" t="s">
        <v>176</v>
      </c>
      <c r="D14" s="10" t="s">
        <v>36</v>
      </c>
      <c r="E14" s="10" t="s">
        <v>37</v>
      </c>
      <c r="F14" s="10" t="s">
        <v>38</v>
      </c>
      <c r="G14" s="10" t="s">
        <v>180</v>
      </c>
      <c r="H14" s="10" t="s">
        <v>40</v>
      </c>
      <c r="I14" s="10" t="s">
        <v>182</v>
      </c>
      <c r="J14" s="10" t="s">
        <v>41</v>
      </c>
      <c r="K14" s="10" t="s">
        <v>42</v>
      </c>
      <c r="L14" s="10" t="s">
        <v>43</v>
      </c>
      <c r="N14" s="10">
        <v>3</v>
      </c>
      <c r="O14" s="10">
        <f>Tableau3[[#This Row],[HJ Dev]]*(25%+25%)</f>
        <v>1.5</v>
      </c>
      <c r="P14" s="10">
        <f>Tableau3[[#This Row],[HJ Analyse et test]]+Tableau3[[#This Row],[HJ Dev]]</f>
        <v>4.5</v>
      </c>
    </row>
    <row r="15" spans="2:22" s="10" customFormat="1" ht="38.25" x14ac:dyDescent="0.2">
      <c r="B15" s="10" t="s">
        <v>47</v>
      </c>
      <c r="C15" s="10" t="s">
        <v>175</v>
      </c>
      <c r="D15" s="10" t="s">
        <v>36</v>
      </c>
      <c r="E15" s="10" t="s">
        <v>37</v>
      </c>
      <c r="F15" s="10" t="s">
        <v>38</v>
      </c>
      <c r="G15" s="10" t="s">
        <v>181</v>
      </c>
      <c r="H15" s="10" t="s">
        <v>40</v>
      </c>
      <c r="I15" s="10" t="s">
        <v>193</v>
      </c>
      <c r="J15" s="10" t="s">
        <v>41</v>
      </c>
      <c r="K15" s="10" t="s">
        <v>42</v>
      </c>
      <c r="L15" s="10" t="s">
        <v>43</v>
      </c>
      <c r="N15" s="10">
        <v>5</v>
      </c>
      <c r="O15" s="10">
        <f>Tableau3[[#This Row],[HJ Dev]]*(25%+25%)</f>
        <v>2.5</v>
      </c>
      <c r="P15" s="10">
        <f>Tableau3[[#This Row],[HJ Analyse et test]]+Tableau3[[#This Row],[HJ Dev]]</f>
        <v>7.5</v>
      </c>
    </row>
    <row r="16" spans="2:22" s="10" customFormat="1" ht="25.5" x14ac:dyDescent="0.2">
      <c r="B16" s="10" t="s">
        <v>53</v>
      </c>
      <c r="C16" s="10" t="s">
        <v>183</v>
      </c>
      <c r="D16" s="10" t="s">
        <v>36</v>
      </c>
      <c r="E16" s="10" t="s">
        <v>37</v>
      </c>
      <c r="F16" s="10" t="s">
        <v>38</v>
      </c>
      <c r="G16" s="10" t="s">
        <v>184</v>
      </c>
      <c r="H16" s="10" t="s">
        <v>40</v>
      </c>
      <c r="I16" s="10" t="s">
        <v>184</v>
      </c>
      <c r="J16" s="10" t="s">
        <v>41</v>
      </c>
      <c r="K16" s="10" t="s">
        <v>42</v>
      </c>
      <c r="L16" s="10" t="s">
        <v>43</v>
      </c>
      <c r="N16" s="10">
        <v>4</v>
      </c>
      <c r="O16" s="10">
        <f>Tableau3[[#This Row],[HJ Dev]]*(25%+25%)</f>
        <v>2</v>
      </c>
      <c r="P16" s="10">
        <f>Tableau3[[#This Row],[HJ Analyse et test]]+Tableau3[[#This Row],[HJ Dev]]</f>
        <v>6</v>
      </c>
    </row>
    <row r="17" spans="2:22" s="10" customFormat="1" ht="84" customHeight="1" x14ac:dyDescent="0.2">
      <c r="B17" s="10" t="s">
        <v>56</v>
      </c>
      <c r="C17" s="10" t="s">
        <v>45</v>
      </c>
      <c r="D17" s="10" t="s">
        <v>36</v>
      </c>
      <c r="E17" s="10" t="s">
        <v>37</v>
      </c>
      <c r="F17" s="10" t="s">
        <v>38</v>
      </c>
      <c r="G17" s="10" t="s">
        <v>46</v>
      </c>
      <c r="H17" s="10" t="s">
        <v>40</v>
      </c>
      <c r="I17" s="10" t="s">
        <v>185</v>
      </c>
      <c r="J17" s="10" t="s">
        <v>41</v>
      </c>
      <c r="K17" s="10" t="s">
        <v>42</v>
      </c>
      <c r="L17" s="10" t="s">
        <v>43</v>
      </c>
      <c r="N17" s="10">
        <v>8</v>
      </c>
      <c r="O17" s="10">
        <f>Tableau3[[#This Row],[HJ Dev]]*(25%+25%)</f>
        <v>4</v>
      </c>
      <c r="P17" s="10">
        <f>Tableau3[[#This Row],[HJ Analyse et test]]+Tableau3[[#This Row],[HJ Dev]]</f>
        <v>12</v>
      </c>
    </row>
    <row r="18" spans="2:22" s="10" customFormat="1" ht="44.25" customHeight="1" x14ac:dyDescent="0.2">
      <c r="B18" s="10" t="s">
        <v>57</v>
      </c>
      <c r="C18" s="10" t="s">
        <v>48</v>
      </c>
      <c r="D18" s="10" t="s">
        <v>36</v>
      </c>
      <c r="E18" s="10" t="s">
        <v>49</v>
      </c>
      <c r="F18" s="10" t="s">
        <v>38</v>
      </c>
      <c r="G18" s="10" t="s">
        <v>39</v>
      </c>
      <c r="H18" s="10" t="s">
        <v>40</v>
      </c>
      <c r="I18" s="10" t="s">
        <v>186</v>
      </c>
      <c r="J18" s="10" t="s">
        <v>41</v>
      </c>
      <c r="K18" s="10" t="s">
        <v>42</v>
      </c>
      <c r="L18" s="10" t="s">
        <v>43</v>
      </c>
      <c r="N18" s="10">
        <v>2</v>
      </c>
      <c r="O18" s="10">
        <f>Tableau3[[#This Row],[HJ Dev]]*(25%+25%)</f>
        <v>1</v>
      </c>
      <c r="P18" s="10">
        <f>Tableau3[[#This Row],[HJ Analyse et test]]+Tableau3[[#This Row],[HJ Dev]]</f>
        <v>3</v>
      </c>
    </row>
    <row r="19" spans="2:22" s="10" customFormat="1" ht="38.25" customHeight="1" x14ac:dyDescent="0.2">
      <c r="B19" s="10" t="s">
        <v>60</v>
      </c>
      <c r="C19" s="10" t="s">
        <v>50</v>
      </c>
      <c r="D19" s="10" t="s">
        <v>36</v>
      </c>
      <c r="E19" s="10" t="s">
        <v>49</v>
      </c>
      <c r="F19" s="10" t="s">
        <v>38</v>
      </c>
      <c r="G19" s="10" t="s">
        <v>51</v>
      </c>
      <c r="H19" s="10" t="s">
        <v>40</v>
      </c>
      <c r="I19" s="10" t="s">
        <v>52</v>
      </c>
      <c r="J19" s="10" t="s">
        <v>41</v>
      </c>
      <c r="K19" s="10" t="s">
        <v>42</v>
      </c>
      <c r="L19" s="10" t="s">
        <v>43</v>
      </c>
      <c r="N19" s="10">
        <v>2</v>
      </c>
      <c r="O19" s="10">
        <f>Tableau3[[#This Row],[HJ Dev]]*(25%+25%)</f>
        <v>1</v>
      </c>
      <c r="P19" s="10">
        <f>Tableau3[[#This Row],[HJ Analyse et test]]+Tableau3[[#This Row],[HJ Dev]]</f>
        <v>3</v>
      </c>
    </row>
    <row r="20" spans="2:22" s="10" customFormat="1" ht="42" customHeight="1" x14ac:dyDescent="0.2">
      <c r="B20" s="10" t="s">
        <v>64</v>
      </c>
      <c r="C20" s="10" t="s">
        <v>54</v>
      </c>
      <c r="D20" s="10" t="s">
        <v>36</v>
      </c>
      <c r="E20" s="10" t="s">
        <v>37</v>
      </c>
      <c r="F20" s="10" t="s">
        <v>38</v>
      </c>
      <c r="G20" s="10" t="s">
        <v>55</v>
      </c>
      <c r="H20" s="10" t="s">
        <v>40</v>
      </c>
      <c r="I20" s="10" t="s">
        <v>187</v>
      </c>
      <c r="J20" s="10" t="s">
        <v>41</v>
      </c>
      <c r="K20" s="10" t="s">
        <v>42</v>
      </c>
      <c r="L20" s="10" t="s">
        <v>43</v>
      </c>
      <c r="N20" s="10">
        <f>7-7</f>
        <v>0</v>
      </c>
      <c r="O20" s="10">
        <f>Tableau3[[#This Row],[HJ Dev]]*(25%+25%)</f>
        <v>0</v>
      </c>
      <c r="P20" s="10">
        <f>Tableau3[[#This Row],[HJ Analyse et test]]+Tableau3[[#This Row],[HJ Dev]]</f>
        <v>0</v>
      </c>
    </row>
    <row r="21" spans="2:22" s="10" customFormat="1" ht="81.75" customHeight="1" x14ac:dyDescent="0.2">
      <c r="B21" s="10" t="s">
        <v>68</v>
      </c>
      <c r="C21" s="10" t="s">
        <v>58</v>
      </c>
      <c r="D21" s="10" t="s">
        <v>36</v>
      </c>
      <c r="E21" s="10" t="s">
        <v>37</v>
      </c>
      <c r="F21" s="10" t="s">
        <v>38</v>
      </c>
      <c r="G21" s="10" t="s">
        <v>59</v>
      </c>
      <c r="H21" s="10" t="s">
        <v>40</v>
      </c>
      <c r="I21" s="10" t="s">
        <v>188</v>
      </c>
      <c r="J21" s="10" t="s">
        <v>189</v>
      </c>
      <c r="K21" s="10" t="s">
        <v>42</v>
      </c>
      <c r="L21" s="10" t="s">
        <v>43</v>
      </c>
      <c r="N21" s="10">
        <v>10</v>
      </c>
      <c r="O21" s="10">
        <f>Tableau3[[#This Row],[HJ Dev]]*(25%+25%)</f>
        <v>5</v>
      </c>
      <c r="P21" s="10">
        <f>Tableau3[[#This Row],[HJ Analyse et test]]+Tableau3[[#This Row],[HJ Dev]]</f>
        <v>15</v>
      </c>
    </row>
    <row r="22" spans="2:22" ht="36" customHeight="1" x14ac:dyDescent="0.2">
      <c r="B22" s="10" t="s">
        <v>71</v>
      </c>
      <c r="C22" s="10" t="s">
        <v>61</v>
      </c>
      <c r="D22" s="10" t="s">
        <v>36</v>
      </c>
      <c r="E22" s="10" t="s">
        <v>49</v>
      </c>
      <c r="F22" s="10" t="s">
        <v>38</v>
      </c>
      <c r="G22" s="10" t="s">
        <v>62</v>
      </c>
      <c r="H22" s="10" t="s">
        <v>40</v>
      </c>
      <c r="I22" s="10" t="s">
        <v>63</v>
      </c>
      <c r="J22" s="10" t="s">
        <v>41</v>
      </c>
      <c r="K22" s="10" t="s">
        <v>42</v>
      </c>
      <c r="L22" s="10" t="s">
        <v>43</v>
      </c>
      <c r="M22" s="10"/>
      <c r="N22" s="10">
        <v>0</v>
      </c>
      <c r="O22" s="10">
        <f>Tableau3[[#This Row],[HJ Dev]]*(25%+25%)</f>
        <v>0</v>
      </c>
      <c r="P22" s="10">
        <f>Tableau3[[#This Row],[HJ Analyse et test]]+Tableau3[[#This Row],[HJ Dev]]</f>
        <v>0</v>
      </c>
      <c r="Q22" s="10"/>
      <c r="R22" s="10"/>
      <c r="S22" s="10"/>
      <c r="T22" s="10"/>
      <c r="U22" s="10"/>
      <c r="V22" s="10"/>
    </row>
    <row r="23" spans="2:22" ht="38.25" x14ac:dyDescent="0.2">
      <c r="B23" s="10" t="s">
        <v>74</v>
      </c>
      <c r="C23" s="10" t="s">
        <v>65</v>
      </c>
      <c r="D23" s="10" t="s">
        <v>36</v>
      </c>
      <c r="E23" s="10" t="s">
        <v>49</v>
      </c>
      <c r="F23" s="10" t="s">
        <v>38</v>
      </c>
      <c r="G23" s="10" t="s">
        <v>66</v>
      </c>
      <c r="H23" s="10" t="s">
        <v>40</v>
      </c>
      <c r="I23" s="10" t="s">
        <v>67</v>
      </c>
      <c r="J23" s="10" t="s">
        <v>41</v>
      </c>
      <c r="K23" s="10" t="s">
        <v>42</v>
      </c>
      <c r="L23" s="10" t="s">
        <v>43</v>
      </c>
      <c r="M23" s="10"/>
      <c r="N23" s="10">
        <v>0</v>
      </c>
      <c r="O23" s="10">
        <f>Tableau3[[#This Row],[HJ Dev]]*(25%+25%)</f>
        <v>0</v>
      </c>
      <c r="P23" s="10">
        <f>Tableau3[[#This Row],[HJ Analyse et test]]+Tableau3[[#This Row],[HJ Dev]]</f>
        <v>0</v>
      </c>
      <c r="Q23" s="10"/>
      <c r="R23" s="10"/>
      <c r="S23" s="10"/>
      <c r="T23" s="10"/>
      <c r="U23" s="10"/>
      <c r="V23" s="10"/>
    </row>
    <row r="24" spans="2:22" ht="38.25" x14ac:dyDescent="0.2">
      <c r="B24" s="10" t="s">
        <v>77</v>
      </c>
      <c r="C24" s="10" t="s">
        <v>69</v>
      </c>
      <c r="D24" s="10" t="s">
        <v>36</v>
      </c>
      <c r="E24" s="10" t="s">
        <v>49</v>
      </c>
      <c r="F24" s="10" t="s">
        <v>38</v>
      </c>
      <c r="G24" s="10" t="s">
        <v>70</v>
      </c>
      <c r="H24" s="10" t="s">
        <v>40</v>
      </c>
      <c r="I24" s="10" t="s">
        <v>67</v>
      </c>
      <c r="J24" s="10" t="s">
        <v>41</v>
      </c>
      <c r="K24" s="10" t="s">
        <v>42</v>
      </c>
      <c r="L24" s="10" t="s">
        <v>43</v>
      </c>
      <c r="M24" s="10"/>
      <c r="N24" s="10">
        <v>0</v>
      </c>
      <c r="O24" s="10">
        <f>Tableau3[[#This Row],[HJ Dev]]*(25%+25%)</f>
        <v>0</v>
      </c>
      <c r="P24" s="10">
        <f>Tableau3[[#This Row],[HJ Analyse et test]]+Tableau3[[#This Row],[HJ Dev]]</f>
        <v>0</v>
      </c>
      <c r="Q24" s="10"/>
      <c r="R24" s="10"/>
      <c r="S24" s="10"/>
      <c r="T24" s="10"/>
      <c r="U24" s="10"/>
      <c r="V24" s="10"/>
    </row>
    <row r="25" spans="2:22" ht="38.25" x14ac:dyDescent="0.2">
      <c r="B25" s="10" t="s">
        <v>81</v>
      </c>
      <c r="C25" s="10" t="s">
        <v>72</v>
      </c>
      <c r="D25" s="10" t="s">
        <v>36</v>
      </c>
      <c r="E25" s="10" t="s">
        <v>49</v>
      </c>
      <c r="F25" s="10" t="s">
        <v>38</v>
      </c>
      <c r="G25" s="10" t="s">
        <v>73</v>
      </c>
      <c r="H25" s="10" t="s">
        <v>40</v>
      </c>
      <c r="I25" s="10" t="s">
        <v>63</v>
      </c>
      <c r="J25" s="10" t="s">
        <v>41</v>
      </c>
      <c r="K25" s="10" t="s">
        <v>42</v>
      </c>
      <c r="L25" s="10" t="s">
        <v>43</v>
      </c>
      <c r="M25" s="10"/>
      <c r="N25" s="10">
        <v>0</v>
      </c>
      <c r="O25" s="10">
        <f>Tableau3[[#This Row],[HJ Dev]]*(25%+25%)</f>
        <v>0</v>
      </c>
      <c r="P25" s="10">
        <f>Tableau3[[#This Row],[HJ Analyse et test]]+Tableau3[[#This Row],[HJ Dev]]</f>
        <v>0</v>
      </c>
      <c r="Q25" s="10"/>
      <c r="R25" s="10"/>
      <c r="S25" s="10"/>
      <c r="T25" s="10"/>
      <c r="U25" s="10"/>
      <c r="V25" s="10"/>
    </row>
    <row r="26" spans="2:22" ht="38.25" x14ac:dyDescent="0.2">
      <c r="B26" s="10" t="s">
        <v>82</v>
      </c>
      <c r="C26" s="10" t="s">
        <v>75</v>
      </c>
      <c r="D26" s="10" t="s">
        <v>36</v>
      </c>
      <c r="E26" s="10" t="s">
        <v>49</v>
      </c>
      <c r="F26" s="10" t="s">
        <v>38</v>
      </c>
      <c r="G26" s="10" t="s">
        <v>76</v>
      </c>
      <c r="H26" s="10" t="s">
        <v>40</v>
      </c>
      <c r="I26" s="10" t="s">
        <v>67</v>
      </c>
      <c r="J26" s="10" t="s">
        <v>41</v>
      </c>
      <c r="K26" s="10" t="s">
        <v>42</v>
      </c>
      <c r="L26" s="10" t="s">
        <v>43</v>
      </c>
      <c r="M26" s="10"/>
      <c r="N26" s="10">
        <v>0</v>
      </c>
      <c r="O26" s="10">
        <f>Tableau3[[#This Row],[HJ Dev]]*(25%+25%)</f>
        <v>0</v>
      </c>
      <c r="P26" s="10">
        <f>Tableau3[[#This Row],[HJ Analyse et test]]+Tableau3[[#This Row],[HJ Dev]]</f>
        <v>0</v>
      </c>
      <c r="Q26" s="10"/>
      <c r="R26" s="10"/>
      <c r="S26" s="10"/>
      <c r="T26" s="10"/>
      <c r="U26" s="10"/>
      <c r="V26" s="10"/>
    </row>
    <row r="27" spans="2:22" ht="72" customHeight="1" x14ac:dyDescent="0.2">
      <c r="B27" s="10" t="s">
        <v>83</v>
      </c>
      <c r="C27" s="10" t="s">
        <v>78</v>
      </c>
      <c r="D27" s="10" t="s">
        <v>36</v>
      </c>
      <c r="E27" s="10" t="s">
        <v>49</v>
      </c>
      <c r="F27" s="10" t="s">
        <v>38</v>
      </c>
      <c r="G27" s="10" t="s">
        <v>79</v>
      </c>
      <c r="H27" s="10" t="s">
        <v>40</v>
      </c>
      <c r="I27" s="10" t="s">
        <v>80</v>
      </c>
      <c r="J27" s="10" t="s">
        <v>41</v>
      </c>
      <c r="K27" s="10" t="s">
        <v>42</v>
      </c>
      <c r="L27" s="10" t="s">
        <v>43</v>
      </c>
      <c r="M27" s="10"/>
      <c r="N27" s="10">
        <v>0</v>
      </c>
      <c r="O27" s="10">
        <f>Tableau3[[#This Row],[HJ Dev]]*(25%+25%)</f>
        <v>0</v>
      </c>
      <c r="P27" s="10">
        <f>Tableau3[[#This Row],[HJ Analyse et test]]+Tableau3[[#This Row],[HJ Dev]]</f>
        <v>0</v>
      </c>
      <c r="Q27" s="10">
        <f>Tableau3[[#This Row],[Total HJ]]+Tableau3[[#This Row],[HJ Analyse et test]]</f>
        <v>0</v>
      </c>
      <c r="R27" s="10">
        <f>Tableau3[[#This Row],[Description comment la conception de la solution prend en compte l''exigence client]]+Tableau3[[#This Row],[Total HJ]]</f>
        <v>0</v>
      </c>
      <c r="S27" s="10">
        <f>Tableau3[[#This Row],[Conception réalisée par:]]+Tableau3[[#This Row],[Description comment la conception de la solution prend en compte l''exigence client]]</f>
        <v>0</v>
      </c>
      <c r="T27" s="10">
        <f>Tableau3[[#This Row],[Revue conception réalisée par]]+Tableau3[[#This Row],[Conception réalisée par:]]</f>
        <v>0</v>
      </c>
      <c r="U27" s="10">
        <f>Tableau3[[#This Row],[Vérification de la conception réalisée par]]+Tableau3[[#This Row],[Revue conception réalisée par]]</f>
        <v>0</v>
      </c>
      <c r="V27" s="10">
        <f>Tableau3[[#This Row],[Preuve de vérification ]]+Tableau3[[#This Row],[Vérification de la conception réalisée par]]</f>
        <v>0</v>
      </c>
    </row>
    <row r="28" spans="2:22" ht="66.75" customHeight="1" x14ac:dyDescent="0.2">
      <c r="B28" s="10" t="s">
        <v>84</v>
      </c>
      <c r="C28" s="10" t="s">
        <v>190</v>
      </c>
      <c r="D28" s="10" t="s">
        <v>36</v>
      </c>
      <c r="E28" s="10" t="s">
        <v>37</v>
      </c>
      <c r="F28" s="10" t="s">
        <v>38</v>
      </c>
      <c r="G28" s="10" t="s">
        <v>190</v>
      </c>
      <c r="H28" s="10" t="s">
        <v>40</v>
      </c>
      <c r="I28" s="10" t="s">
        <v>191</v>
      </c>
      <c r="J28" s="10" t="s">
        <v>41</v>
      </c>
      <c r="K28" s="10" t="s">
        <v>42</v>
      </c>
      <c r="L28" s="10" t="s">
        <v>43</v>
      </c>
      <c r="M28" s="10"/>
      <c r="N28" s="10">
        <v>5</v>
      </c>
      <c r="O28" s="10">
        <f>Tableau3[[#This Row],[HJ Dev]]*(25%+25%)</f>
        <v>2.5</v>
      </c>
      <c r="P28" s="10">
        <f>Tableau3[[#This Row],[HJ Analyse et test]]+Tableau3[[#This Row],[HJ Dev]]</f>
        <v>7.5</v>
      </c>
      <c r="Q28" s="10"/>
      <c r="R28" s="10"/>
      <c r="S28" s="10"/>
      <c r="T28" s="10"/>
      <c r="U28" s="10"/>
      <c r="V28" s="10"/>
    </row>
    <row r="29" spans="2:22" ht="63.75" x14ac:dyDescent="0.2">
      <c r="B29" s="10" t="s">
        <v>89</v>
      </c>
      <c r="C29" s="10" t="s">
        <v>169</v>
      </c>
      <c r="D29" s="10" t="s">
        <v>36</v>
      </c>
      <c r="E29" s="10" t="s">
        <v>37</v>
      </c>
      <c r="F29" s="10" t="s">
        <v>38</v>
      </c>
      <c r="G29" s="10" t="s">
        <v>169</v>
      </c>
      <c r="H29" s="10" t="s">
        <v>40</v>
      </c>
      <c r="I29" s="10" t="s">
        <v>192</v>
      </c>
      <c r="J29" s="10" t="s">
        <v>41</v>
      </c>
      <c r="K29" s="10" t="s">
        <v>42</v>
      </c>
      <c r="L29" s="10" t="s">
        <v>43</v>
      </c>
      <c r="M29" s="10"/>
      <c r="N29" s="10">
        <v>1</v>
      </c>
      <c r="O29" s="10">
        <f>Tableau3[[#This Row],[HJ Dev]]*(25%+25%)</f>
        <v>0.5</v>
      </c>
      <c r="P29" s="10">
        <f>Tableau3[[#This Row],[HJ Analyse et test]]+Tableau3[[#This Row],[HJ Dev]]</f>
        <v>1.5</v>
      </c>
      <c r="Q29" s="10"/>
      <c r="R29" s="10"/>
      <c r="S29" s="10"/>
      <c r="T29" s="10"/>
      <c r="U29" s="10"/>
      <c r="V29" s="10"/>
    </row>
    <row r="30" spans="2:22" ht="25.5" x14ac:dyDescent="0.2">
      <c r="B30" s="10" t="s">
        <v>93</v>
      </c>
      <c r="C30" s="10" t="s">
        <v>170</v>
      </c>
      <c r="D30" s="10" t="s">
        <v>36</v>
      </c>
      <c r="E30" s="10" t="s">
        <v>37</v>
      </c>
      <c r="F30" s="10" t="s">
        <v>38</v>
      </c>
      <c r="G30" s="10" t="s">
        <v>171</v>
      </c>
      <c r="H30" s="10" t="s">
        <v>40</v>
      </c>
      <c r="I30" s="10" t="s">
        <v>172</v>
      </c>
      <c r="J30" s="10" t="s">
        <v>41</v>
      </c>
      <c r="K30" s="10" t="s">
        <v>42</v>
      </c>
      <c r="L30" s="10" t="s">
        <v>43</v>
      </c>
      <c r="M30" s="10"/>
      <c r="N30" s="10">
        <v>12</v>
      </c>
      <c r="O30" s="10">
        <f>Tableau3[[#This Row],[HJ Dev]]*(25%+25%)</f>
        <v>6</v>
      </c>
      <c r="P30" s="10">
        <f>Tableau3[[#This Row],[HJ Analyse et test]]+Tableau3[[#This Row],[HJ Dev]]</f>
        <v>18</v>
      </c>
      <c r="Q30" s="10"/>
      <c r="R30" s="10"/>
      <c r="S30" s="10"/>
      <c r="T30" s="10"/>
      <c r="U30" s="10"/>
      <c r="V30" s="10"/>
    </row>
    <row r="31" spans="2:22" ht="38.25" x14ac:dyDescent="0.2">
      <c r="B31" s="10" t="s">
        <v>97</v>
      </c>
      <c r="C31" s="10" t="s">
        <v>85</v>
      </c>
      <c r="D31" s="10" t="s">
        <v>36</v>
      </c>
      <c r="E31" s="10" t="s">
        <v>37</v>
      </c>
      <c r="F31" s="10" t="s">
        <v>38</v>
      </c>
      <c r="G31" s="10" t="s">
        <v>86</v>
      </c>
      <c r="H31" s="10" t="s">
        <v>40</v>
      </c>
      <c r="I31" s="10" t="s">
        <v>87</v>
      </c>
      <c r="J31" s="10" t="s">
        <v>88</v>
      </c>
      <c r="K31" s="10" t="s">
        <v>42</v>
      </c>
      <c r="L31" s="10" t="s">
        <v>43</v>
      </c>
      <c r="M31" s="10"/>
      <c r="N31" s="10">
        <f>4-4</f>
        <v>0</v>
      </c>
      <c r="O31" s="10">
        <f>Tableau3[[#This Row],[HJ Dev]]*(25%+25%)</f>
        <v>0</v>
      </c>
      <c r="P31" s="10">
        <f>Tableau3[[#This Row],[HJ Analyse et test]]+Tableau3[[#This Row],[HJ Dev]]</f>
        <v>0</v>
      </c>
      <c r="Q31" s="10"/>
      <c r="R31" s="10"/>
      <c r="S31" s="10"/>
      <c r="T31" s="10"/>
      <c r="U31" s="10"/>
      <c r="V31" s="10"/>
    </row>
    <row r="32" spans="2:22" ht="25.5" x14ac:dyDescent="0.2">
      <c r="B32" s="10" t="s">
        <v>100</v>
      </c>
      <c r="C32" s="10" t="s">
        <v>90</v>
      </c>
      <c r="D32" s="10" t="s">
        <v>36</v>
      </c>
      <c r="E32" s="10" t="s">
        <v>37</v>
      </c>
      <c r="F32" s="10" t="s">
        <v>38</v>
      </c>
      <c r="G32" s="10" t="s">
        <v>91</v>
      </c>
      <c r="H32" s="10" t="s">
        <v>40</v>
      </c>
      <c r="I32" s="10" t="s">
        <v>92</v>
      </c>
      <c r="J32" s="10" t="s">
        <v>41</v>
      </c>
      <c r="K32" s="10" t="s">
        <v>42</v>
      </c>
      <c r="L32" s="10" t="s">
        <v>43</v>
      </c>
      <c r="M32" s="10"/>
      <c r="N32" s="10">
        <v>2</v>
      </c>
      <c r="O32" s="10">
        <f>Tableau3[[#This Row],[HJ Dev]]*(25%+25%)</f>
        <v>1</v>
      </c>
      <c r="P32" s="10">
        <f>Tableau3[[#This Row],[HJ Analyse et test]]+Tableau3[[#This Row],[HJ Dev]]</f>
        <v>3</v>
      </c>
      <c r="Q32" s="10"/>
      <c r="R32" s="10"/>
      <c r="S32" s="10"/>
      <c r="T32" s="10"/>
      <c r="U32" s="10"/>
      <c r="V32" s="10"/>
    </row>
    <row r="33" spans="2:22" ht="25.5" x14ac:dyDescent="0.2">
      <c r="B33" s="10" t="s">
        <v>104</v>
      </c>
      <c r="C33" s="10" t="s">
        <v>94</v>
      </c>
      <c r="D33" s="10" t="s">
        <v>36</v>
      </c>
      <c r="E33" s="10" t="s">
        <v>37</v>
      </c>
      <c r="F33" s="10" t="s">
        <v>38</v>
      </c>
      <c r="G33" s="10" t="s">
        <v>95</v>
      </c>
      <c r="H33" s="10" t="s">
        <v>40</v>
      </c>
      <c r="I33" s="28" t="s">
        <v>96</v>
      </c>
      <c r="J33" s="10" t="s">
        <v>41</v>
      </c>
      <c r="K33" s="10" t="s">
        <v>42</v>
      </c>
      <c r="L33" s="10" t="s">
        <v>43</v>
      </c>
      <c r="M33" s="10"/>
      <c r="N33" s="10">
        <v>1</v>
      </c>
      <c r="O33" s="10">
        <f>Tableau3[[#This Row],[HJ Dev]]*(25%+25%)</f>
        <v>0.5</v>
      </c>
      <c r="P33" s="10">
        <f>Tableau3[[#This Row],[HJ Analyse et test]]+Tableau3[[#This Row],[HJ Dev]]</f>
        <v>1.5</v>
      </c>
      <c r="Q33" s="10"/>
      <c r="R33" s="10"/>
      <c r="S33" s="10"/>
      <c r="T33" s="10"/>
      <c r="U33" s="10"/>
      <c r="V33" s="10"/>
    </row>
    <row r="34" spans="2:22" ht="25.5" x14ac:dyDescent="0.2">
      <c r="B34" s="10" t="s">
        <v>108</v>
      </c>
      <c r="C34" s="10" t="s">
        <v>98</v>
      </c>
      <c r="D34" s="10" t="s">
        <v>36</v>
      </c>
      <c r="E34" s="10" t="s">
        <v>37</v>
      </c>
      <c r="F34" s="10" t="s">
        <v>38</v>
      </c>
      <c r="G34" s="10" t="s">
        <v>99</v>
      </c>
      <c r="H34" s="10" t="s">
        <v>40</v>
      </c>
      <c r="I34" s="10" t="s">
        <v>99</v>
      </c>
      <c r="J34" s="10" t="s">
        <v>41</v>
      </c>
      <c r="K34" s="10" t="s">
        <v>42</v>
      </c>
      <c r="L34" s="10" t="s">
        <v>43</v>
      </c>
      <c r="M34" s="10"/>
      <c r="N34" s="10">
        <v>3</v>
      </c>
      <c r="O34" s="10">
        <f>Tableau3[[#This Row],[HJ Dev]]*(25%+25%)</f>
        <v>1.5</v>
      </c>
      <c r="P34" s="10">
        <f>Tableau3[[#This Row],[HJ Analyse et test]]+Tableau3[[#This Row],[HJ Dev]]</f>
        <v>4.5</v>
      </c>
      <c r="Q34" s="10"/>
      <c r="R34" s="10"/>
      <c r="S34" s="10"/>
      <c r="T34" s="10"/>
      <c r="U34" s="10"/>
      <c r="V34" s="10"/>
    </row>
    <row r="35" spans="2:22" ht="36" customHeight="1" x14ac:dyDescent="0.2">
      <c r="B35" s="10" t="s">
        <v>177</v>
      </c>
      <c r="C35" s="10" t="s">
        <v>101</v>
      </c>
      <c r="D35" s="10" t="s">
        <v>36</v>
      </c>
      <c r="E35" s="10" t="s">
        <v>37</v>
      </c>
      <c r="F35" s="10" t="s">
        <v>38</v>
      </c>
      <c r="G35" s="10" t="s">
        <v>102</v>
      </c>
      <c r="H35" s="10" t="s">
        <v>40</v>
      </c>
      <c r="I35" s="10" t="s">
        <v>103</v>
      </c>
      <c r="J35" s="10" t="s">
        <v>41</v>
      </c>
      <c r="K35" s="10" t="s">
        <v>42</v>
      </c>
      <c r="L35" s="10" t="s">
        <v>43</v>
      </c>
      <c r="M35" s="10"/>
      <c r="N35" s="10">
        <v>2</v>
      </c>
      <c r="O35" s="10">
        <f>Tableau3[[#This Row],[HJ Dev]]*(25%+25%)</f>
        <v>1</v>
      </c>
      <c r="P35" s="10">
        <f>Tableau3[[#This Row],[HJ Analyse et test]]+Tableau3[[#This Row],[HJ Dev]]</f>
        <v>3</v>
      </c>
      <c r="Q35" s="10"/>
      <c r="R35" s="10"/>
      <c r="S35" s="10"/>
      <c r="T35" s="10"/>
      <c r="U35" s="10"/>
      <c r="V35" s="10"/>
    </row>
    <row r="36" spans="2:22" ht="25.5" x14ac:dyDescent="0.2">
      <c r="B36" s="10" t="s">
        <v>178</v>
      </c>
      <c r="C36" s="10" t="s">
        <v>105</v>
      </c>
      <c r="D36" s="10" t="s">
        <v>36</v>
      </c>
      <c r="E36" s="10" t="s">
        <v>37</v>
      </c>
      <c r="F36" s="10" t="s">
        <v>38</v>
      </c>
      <c r="G36" s="10" t="s">
        <v>106</v>
      </c>
      <c r="H36" s="10" t="s">
        <v>40</v>
      </c>
      <c r="I36" s="10" t="s">
        <v>107</v>
      </c>
      <c r="J36" s="10" t="s">
        <v>41</v>
      </c>
      <c r="K36" s="10" t="s">
        <v>42</v>
      </c>
      <c r="L36" s="10" t="s">
        <v>43</v>
      </c>
      <c r="M36" s="10"/>
      <c r="N36" s="10">
        <v>3</v>
      </c>
      <c r="O36" s="10">
        <f>Tableau3[[#This Row],[HJ Dev]]*(25%+25%)</f>
        <v>1.5</v>
      </c>
      <c r="P36" s="10">
        <f>Tableau3[[#This Row],[HJ Analyse et test]]+Tableau3[[#This Row],[HJ Dev]]</f>
        <v>4.5</v>
      </c>
      <c r="Q36" s="10"/>
      <c r="R36" s="10"/>
      <c r="S36" s="10"/>
      <c r="T36" s="10"/>
      <c r="U36" s="10"/>
      <c r="V36" s="10"/>
    </row>
    <row r="37" spans="2:22" ht="25.5" x14ac:dyDescent="0.2">
      <c r="B37" s="10" t="s">
        <v>179</v>
      </c>
      <c r="C37" s="10" t="s">
        <v>109</v>
      </c>
      <c r="D37" s="10" t="s">
        <v>36</v>
      </c>
      <c r="E37" s="10" t="s">
        <v>37</v>
      </c>
      <c r="F37" s="10" t="s">
        <v>38</v>
      </c>
      <c r="G37" s="10" t="s">
        <v>110</v>
      </c>
      <c r="H37" s="10" t="s">
        <v>40</v>
      </c>
      <c r="I37" s="10" t="s">
        <v>111</v>
      </c>
      <c r="J37" s="10" t="s">
        <v>41</v>
      </c>
      <c r="K37" s="10" t="s">
        <v>42</v>
      </c>
      <c r="L37" s="10" t="s">
        <v>43</v>
      </c>
      <c r="M37" s="10"/>
      <c r="N37" s="10">
        <f>5-5</f>
        <v>0</v>
      </c>
      <c r="O37" s="10">
        <f>Tableau3[[#This Row],[HJ Dev]]*(25%+25%)</f>
        <v>0</v>
      </c>
      <c r="P37" s="10">
        <f>Tableau3[[#This Row],[HJ Analyse et test]]+Tableau3[[#This Row],[HJ Dev]]</f>
        <v>0</v>
      </c>
      <c r="Q37" s="10"/>
      <c r="R37" s="10"/>
      <c r="S37" s="10"/>
      <c r="T37" s="10"/>
      <c r="U37" s="10"/>
      <c r="V37" s="10"/>
    </row>
    <row r="38" spans="2:22" x14ac:dyDescent="0.2">
      <c r="B38" s="10"/>
      <c r="C38" s="10"/>
      <c r="D38" s="10"/>
      <c r="E38" s="10"/>
      <c r="F38" s="10"/>
      <c r="G38" s="10"/>
      <c r="H38" s="10"/>
      <c r="I38" s="10"/>
      <c r="J38" s="10"/>
      <c r="K38" s="10"/>
      <c r="L38" s="10"/>
      <c r="M38" s="10"/>
      <c r="N38" s="10">
        <f>SUBTOTAL(109,N13:N37)</f>
        <v>68</v>
      </c>
      <c r="O38" s="10">
        <f>SUBTOTAL(109,O13:O37)</f>
        <v>34</v>
      </c>
      <c r="P38" s="29">
        <f>SUBTOTAL(109,P13:P37)</f>
        <v>102</v>
      </c>
      <c r="Q38" s="10"/>
      <c r="R38" s="10"/>
      <c r="S38" s="10"/>
      <c r="T38" s="10"/>
      <c r="U38" s="10"/>
      <c r="V38" s="10"/>
    </row>
  </sheetData>
  <mergeCells count="7">
    <mergeCell ref="D7:I7"/>
    <mergeCell ref="D6:I6"/>
    <mergeCell ref="Q2:V2"/>
    <mergeCell ref="B2:M2"/>
    <mergeCell ref="D4:I4"/>
    <mergeCell ref="D5:I5"/>
    <mergeCell ref="N2:P2"/>
  </mergeCells>
  <phoneticPr fontId="2" type="noConversion"/>
  <dataValidations count="1">
    <dataValidation type="whole" operator="greaterThanOrEqual" allowBlank="1" showInputMessage="1" showErrorMessage="1" sqref="Q27:V27 N13:N33 P13:P37" xr:uid="{10E2E794-3894-4CC1-AB1A-9BB5BF41EABB}">
      <formula1>0</formula1>
    </dataValidation>
  </dataValidations>
  <pageMargins left="0.7" right="0.7" top="0.75" bottom="0.75" header="0.3" footer="0.3"/>
  <pageSetup paperSize="9" scale="74" fitToHeight="0" orientation="landscape"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06B2A4DB-2A94-4B0B-971B-CDFF438E23BA}">
          <x14:formula1>
            <xm:f>Params!$F$3:$F$9</xm:f>
          </x14:formula1>
          <xm:sqref>M35 M13:M33</xm:sqref>
        </x14:dataValidation>
        <x14:dataValidation type="list" allowBlank="1" showInputMessage="1" showErrorMessage="1" xr:uid="{1F2CF1C1-BE35-4DC9-A975-F49F788F3D6A}">
          <x14:formula1>
            <xm:f>Params!$G$3:$G$6</xm:f>
          </x14:formula1>
          <xm:sqref>K13:K37</xm:sqref>
        </x14:dataValidation>
        <x14:dataValidation type="list" allowBlank="1" showInputMessage="1" showErrorMessage="1" xr:uid="{63E576AD-8CDE-4B1B-8DEC-1BE67CC8DE6D}">
          <x14:formula1>
            <xm:f>Params!$C$3:$C$10</xm:f>
          </x14:formula1>
          <xm:sqref>F13:F37</xm:sqref>
        </x14:dataValidation>
        <x14:dataValidation type="list" allowBlank="1" showInputMessage="1" showErrorMessage="1" xr:uid="{C43D2377-E8A5-4EC4-8F56-2516FCD07F2A}">
          <x14:formula1>
            <xm:f>Params!$D$3:$D$12</xm:f>
          </x14:formula1>
          <xm:sqref>H13:H37</xm:sqref>
        </x14:dataValidation>
        <x14:dataValidation type="list" allowBlank="1" showInputMessage="1" showErrorMessage="1" xr:uid="{63FB3CBD-0303-4DD5-A1D9-0AE10EE7B36C}">
          <x14:formula1>
            <xm:f>Params!$B$3:$B$10</xm:f>
          </x14:formula1>
          <xm:sqref>D13:D37</xm:sqref>
        </x14:dataValidation>
        <x14:dataValidation type="list" allowBlank="1" showInputMessage="1" showErrorMessage="1" xr:uid="{ACD971DD-EBC0-49A2-8B0F-955749BFC348}">
          <x14:formula1>
            <xm:f>Params!$H$3:$H$19</xm:f>
          </x14:formula1>
          <xm:sqref>E13:E37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6"/>
  <sheetViews>
    <sheetView topLeftCell="A7" workbookViewId="0">
      <selection activeCell="D7" sqref="D7"/>
    </sheetView>
  </sheetViews>
  <sheetFormatPr baseColWidth="10" defaultColWidth="11.42578125" defaultRowHeight="15" x14ac:dyDescent="0.25"/>
  <cols>
    <col min="1" max="1" width="16.5703125" style="2" customWidth="1"/>
    <col min="2" max="2" width="19.5703125" style="2" customWidth="1"/>
    <col min="3" max="3" width="11.42578125" style="2"/>
    <col min="4" max="4" width="67.7109375" style="2" customWidth="1"/>
    <col min="5" max="5" width="15.85546875" style="2" customWidth="1"/>
    <col min="6" max="6" width="21.28515625" style="2" customWidth="1"/>
    <col min="7" max="7" width="16.5703125" style="2" customWidth="1"/>
    <col min="8" max="16384" width="11.42578125" style="2"/>
  </cols>
  <sheetData>
    <row r="2" spans="1:7" ht="15.75" thickBot="1" x14ac:dyDescent="0.3"/>
    <row r="3" spans="1:7" ht="24" customHeight="1" thickBot="1" x14ac:dyDescent="0.3">
      <c r="A3" s="2" t="s">
        <v>112</v>
      </c>
      <c r="B3" s="39" t="s">
        <v>0</v>
      </c>
      <c r="C3" s="40"/>
      <c r="D3" s="40"/>
      <c r="E3" s="40"/>
      <c r="F3" s="40"/>
      <c r="G3" s="41"/>
    </row>
    <row r="4" spans="1:7" x14ac:dyDescent="0.25">
      <c r="B4" s="4"/>
      <c r="C4" s="5"/>
      <c r="D4" s="5"/>
      <c r="E4" s="5"/>
      <c r="F4" s="5"/>
      <c r="G4" s="5"/>
    </row>
    <row r="5" spans="1:7" x14ac:dyDescent="0.25">
      <c r="B5" s="4" t="str">
        <f>'Gestion Exigences'!C4</f>
        <v>Client</v>
      </c>
      <c r="C5" s="13" t="str">
        <f>'Gestion Exigences'!D4</f>
        <v>Confiserie TRIKI</v>
      </c>
      <c r="D5" s="5"/>
      <c r="E5" s="5"/>
      <c r="F5" s="5"/>
      <c r="G5" s="5"/>
    </row>
    <row r="6" spans="1:7" x14ac:dyDescent="0.25">
      <c r="B6" s="4" t="str">
        <f>'Gestion Exigences'!C5</f>
        <v>Projet</v>
      </c>
      <c r="C6" s="13" t="str">
        <f>'Gestion Exigences'!D5</f>
        <v>Digitalisation site 3</v>
      </c>
      <c r="D6" s="5"/>
      <c r="E6" s="5"/>
      <c r="F6" s="5"/>
      <c r="G6" s="5"/>
    </row>
    <row r="7" spans="1:7" x14ac:dyDescent="0.25">
      <c r="B7" s="4" t="str">
        <f>'Gestion Exigences'!C6</f>
        <v>Réf BPA du Devis</v>
      </c>
      <c r="C7" s="13">
        <f>'Gestion Exigences'!D6</f>
        <v>0</v>
      </c>
      <c r="D7" s="5"/>
      <c r="E7" s="5"/>
      <c r="F7" s="5"/>
      <c r="G7" s="5"/>
    </row>
    <row r="8" spans="1:7" x14ac:dyDescent="0.25">
      <c r="B8" s="4" t="str">
        <f>'Gestion Exigences'!C7</f>
        <v>Réf BPA du Projet</v>
      </c>
      <c r="C8" s="13">
        <f>'Gestion Exigences'!D7</f>
        <v>0</v>
      </c>
      <c r="D8" s="5"/>
      <c r="E8" s="5"/>
      <c r="F8" s="5"/>
      <c r="G8" s="5"/>
    </row>
    <row r="9" spans="1:7" x14ac:dyDescent="0.25">
      <c r="B9" s="12" t="str">
        <f>'Gestion Exigences'!C8</f>
        <v>Réf Modèle Document</v>
      </c>
      <c r="C9" s="14" t="str">
        <f>'Gestion Exigences'!D8</f>
        <v>MD203</v>
      </c>
      <c r="D9" s="5"/>
      <c r="E9" s="5"/>
      <c r="F9" s="5"/>
      <c r="G9" s="5"/>
    </row>
    <row r="10" spans="1:7" x14ac:dyDescent="0.25">
      <c r="B10" s="12" t="str">
        <f>'Gestion Exigences'!C9</f>
        <v>Version Modèle Document</v>
      </c>
      <c r="C10" s="14" t="str">
        <f>'Gestion Exigences'!D9</f>
        <v>V1.5</v>
      </c>
      <c r="D10" s="5"/>
      <c r="E10" s="5"/>
      <c r="F10" s="5"/>
      <c r="G10" s="5"/>
    </row>
    <row r="11" spans="1:7" x14ac:dyDescent="0.25">
      <c r="B11" s="4"/>
      <c r="C11" s="5"/>
      <c r="D11" s="5"/>
      <c r="E11" s="5"/>
      <c r="F11" s="5"/>
      <c r="G11" s="5"/>
    </row>
    <row r="12" spans="1:7" x14ac:dyDescent="0.25">
      <c r="B12" s="4"/>
      <c r="C12" s="5"/>
      <c r="D12" s="5"/>
      <c r="E12" s="5"/>
      <c r="F12" s="5"/>
      <c r="G12" s="5"/>
    </row>
    <row r="13" spans="1:7" x14ac:dyDescent="0.25">
      <c r="B13" s="15" t="s">
        <v>113</v>
      </c>
      <c r="C13" s="15" t="s">
        <v>114</v>
      </c>
      <c r="D13" s="15" t="s">
        <v>115</v>
      </c>
      <c r="E13" s="15" t="s">
        <v>116</v>
      </c>
      <c r="F13" s="15" t="s">
        <v>117</v>
      </c>
      <c r="G13" s="15" t="s">
        <v>118</v>
      </c>
    </row>
    <row r="14" spans="1:7" x14ac:dyDescent="0.25">
      <c r="B14" s="6" t="s">
        <v>119</v>
      </c>
      <c r="C14" s="7">
        <v>44741</v>
      </c>
      <c r="D14" s="24" t="s">
        <v>120</v>
      </c>
      <c r="E14" s="6" t="s">
        <v>121</v>
      </c>
      <c r="F14" s="23" t="s">
        <v>122</v>
      </c>
      <c r="G14" s="6" t="s">
        <v>123</v>
      </c>
    </row>
    <row r="15" spans="1:7" x14ac:dyDescent="0.25">
      <c r="B15" s="2" t="s">
        <v>124</v>
      </c>
      <c r="C15" s="26">
        <v>44978</v>
      </c>
      <c r="D15" s="2" t="s">
        <v>125</v>
      </c>
      <c r="E15" s="6" t="s">
        <v>121</v>
      </c>
      <c r="F15" s="2" t="s">
        <v>43</v>
      </c>
      <c r="G15" s="2" t="s">
        <v>123</v>
      </c>
    </row>
    <row r="16" spans="1:7" ht="60" x14ac:dyDescent="0.25">
      <c r="B16" s="2" t="s">
        <v>126</v>
      </c>
      <c r="C16" s="26">
        <v>45021</v>
      </c>
      <c r="D16" s="27" t="s">
        <v>127</v>
      </c>
      <c r="E16" s="6" t="s">
        <v>121</v>
      </c>
      <c r="F16" s="27" t="s">
        <v>128</v>
      </c>
      <c r="G16" s="27" t="s">
        <v>123</v>
      </c>
    </row>
  </sheetData>
  <mergeCells count="1">
    <mergeCell ref="B3:G3"/>
  </mergeCells>
  <pageMargins left="0.7" right="0.7" top="0.75" bottom="0.75" header="0.3" footer="0.3"/>
  <pageSetup paperSize="9" scale="95"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H22"/>
  <sheetViews>
    <sheetView workbookViewId="0">
      <selection activeCell="C23" sqref="C23"/>
    </sheetView>
  </sheetViews>
  <sheetFormatPr baseColWidth="10" defaultColWidth="11.42578125" defaultRowHeight="12.75" x14ac:dyDescent="0.2"/>
  <cols>
    <col min="1" max="1" width="11.42578125" style="10"/>
    <col min="2" max="3" width="19.7109375" style="10" customWidth="1"/>
    <col min="4" max="4" width="21.5703125" style="10" customWidth="1"/>
    <col min="5" max="5" width="11.42578125" style="10"/>
    <col min="6" max="6" width="16.140625" style="10" customWidth="1"/>
    <col min="7" max="16384" width="11.42578125" style="10"/>
  </cols>
  <sheetData>
    <row r="2" spans="2:8" ht="25.5" x14ac:dyDescent="0.2">
      <c r="B2" s="11" t="s">
        <v>16</v>
      </c>
      <c r="C2" s="11" t="s">
        <v>129</v>
      </c>
      <c r="D2" s="11" t="s">
        <v>20</v>
      </c>
      <c r="E2" s="11" t="s">
        <v>130</v>
      </c>
      <c r="F2" s="11" t="s">
        <v>25</v>
      </c>
      <c r="G2" s="11" t="s">
        <v>131</v>
      </c>
      <c r="H2" s="11" t="s">
        <v>17</v>
      </c>
    </row>
    <row r="3" spans="2:8" x14ac:dyDescent="0.2">
      <c r="B3" s="10" t="s">
        <v>36</v>
      </c>
      <c r="C3" s="10" t="s">
        <v>38</v>
      </c>
      <c r="D3" s="10" t="s">
        <v>132</v>
      </c>
      <c r="E3" s="10" t="s">
        <v>133</v>
      </c>
      <c r="F3" s="10" t="s">
        <v>134</v>
      </c>
      <c r="G3" s="10" t="s">
        <v>42</v>
      </c>
      <c r="H3" s="10" t="s">
        <v>135</v>
      </c>
    </row>
    <row r="4" spans="2:8" ht="25.5" x14ac:dyDescent="0.2">
      <c r="B4" s="10" t="s">
        <v>136</v>
      </c>
      <c r="C4" s="10" t="s">
        <v>137</v>
      </c>
      <c r="D4" s="10" t="s">
        <v>40</v>
      </c>
      <c r="E4" s="10" t="s">
        <v>138</v>
      </c>
      <c r="F4" s="10" t="s">
        <v>139</v>
      </c>
      <c r="G4" s="10" t="s">
        <v>140</v>
      </c>
      <c r="H4" s="10" t="s">
        <v>141</v>
      </c>
    </row>
    <row r="5" spans="2:8" ht="25.5" x14ac:dyDescent="0.2">
      <c r="B5" s="10" t="s">
        <v>142</v>
      </c>
      <c r="C5" s="10" t="s">
        <v>143</v>
      </c>
      <c r="D5" s="10" t="s">
        <v>144</v>
      </c>
      <c r="E5" s="10" t="s">
        <v>145</v>
      </c>
      <c r="H5" s="10" t="s">
        <v>146</v>
      </c>
    </row>
    <row r="6" spans="2:8" x14ac:dyDescent="0.2">
      <c r="B6" s="10" t="s">
        <v>147</v>
      </c>
      <c r="C6" s="10" t="s">
        <v>148</v>
      </c>
      <c r="D6" s="10" t="s">
        <v>149</v>
      </c>
      <c r="H6" s="10" t="s">
        <v>150</v>
      </c>
    </row>
    <row r="7" spans="2:8" x14ac:dyDescent="0.2">
      <c r="B7" s="10" t="s">
        <v>151</v>
      </c>
      <c r="C7" s="10" t="s">
        <v>152</v>
      </c>
      <c r="D7" s="10" t="s">
        <v>153</v>
      </c>
      <c r="H7" s="10" t="s">
        <v>154</v>
      </c>
    </row>
    <row r="8" spans="2:8" x14ac:dyDescent="0.2">
      <c r="B8" s="10" t="s">
        <v>155</v>
      </c>
      <c r="D8" s="10" t="s">
        <v>156</v>
      </c>
      <c r="H8" s="10" t="s">
        <v>157</v>
      </c>
    </row>
    <row r="9" spans="2:8" ht="25.5" x14ac:dyDescent="0.2">
      <c r="D9" s="10" t="s">
        <v>158</v>
      </c>
      <c r="H9" s="10" t="s">
        <v>159</v>
      </c>
    </row>
    <row r="10" spans="2:8" x14ac:dyDescent="0.2">
      <c r="H10" s="10" t="s">
        <v>160</v>
      </c>
    </row>
    <row r="11" spans="2:8" x14ac:dyDescent="0.2">
      <c r="H11" s="10" t="s">
        <v>161</v>
      </c>
    </row>
    <row r="13" spans="2:8" x14ac:dyDescent="0.2">
      <c r="H13" s="10" t="s">
        <v>162</v>
      </c>
    </row>
    <row r="14" spans="2:8" x14ac:dyDescent="0.2">
      <c r="H14" s="10" t="s">
        <v>37</v>
      </c>
    </row>
    <row r="15" spans="2:8" ht="25.5" x14ac:dyDescent="0.2">
      <c r="H15" s="10" t="s">
        <v>163</v>
      </c>
    </row>
    <row r="16" spans="2:8" ht="38.25" x14ac:dyDescent="0.2">
      <c r="H16" s="10" t="s">
        <v>49</v>
      </c>
    </row>
    <row r="17" spans="8:8" ht="25.5" x14ac:dyDescent="0.2">
      <c r="H17" s="10" t="s">
        <v>164</v>
      </c>
    </row>
    <row r="18" spans="8:8" x14ac:dyDescent="0.2">
      <c r="H18" s="10" t="s">
        <v>165</v>
      </c>
    </row>
    <row r="19" spans="8:8" x14ac:dyDescent="0.2">
      <c r="H19" s="10" t="s">
        <v>166</v>
      </c>
    </row>
    <row r="21" spans="8:8" x14ac:dyDescent="0.2">
      <c r="H21" s="10" t="s">
        <v>167</v>
      </c>
    </row>
    <row r="22" spans="8:8" ht="38.25" x14ac:dyDescent="0.2">
      <c r="H22" s="10" t="s">
        <v>168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3b908ec-9e92-424c-a4ad-3174bac6e888" xsi:nil="true"/>
    <lcf76f155ced4ddcb4097134ff3c332f xmlns="5f2f9e80-f74a-40c7-b145-b94d8e4966f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31C8B5B-7A06-4686-9F8A-E8F24EECD8B3}">
  <ds:schemaRefs>
    <ds:schemaRef ds:uri="http://schemas.microsoft.com/sharepoint/v3/contenttype/forms"/>
  </ds:schemaRefs>
</ds:datastoreItem>
</file>

<file path=customXml/itemProps2.xml><?xml version="1.0" encoding="utf-8"?>
<ds:datastoreItem xmlns:ds="http://schemas.openxmlformats.org/officeDocument/2006/customXml" ds:itemID="{85503822-DF13-4051-A489-72B75648E37A}">
  <ds:schemaRefs>
    <ds:schemaRef ds:uri="http://schemas.microsoft.com/office/2006/documentManagement/types"/>
    <ds:schemaRef ds:uri="http://schemas.microsoft.com/office/infopath/2007/PartnerControls"/>
    <ds:schemaRef ds:uri="98d07ac0-315d-4ba4-a3f8-0e1dfb824eb0"/>
    <ds:schemaRef ds:uri="http://purl.org/dc/elements/1.1/"/>
    <ds:schemaRef ds:uri="http://www.w3.org/XML/1998/namespace"/>
    <ds:schemaRef ds:uri="http://purl.org/dc/dcmitype/"/>
    <ds:schemaRef ds:uri="http://schemas.openxmlformats.org/package/2006/metadata/core-properties"/>
    <ds:schemaRef ds:uri="f681d081-fe2e-4389-8dd1-c7421b0f7b61"/>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6E754F86-EF65-4315-BA24-D78A2034084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2</vt:i4>
      </vt:variant>
    </vt:vector>
  </HeadingPairs>
  <TitlesOfParts>
    <vt:vector size="5" baseType="lpstr">
      <vt:lpstr>Gestion Exigences</vt:lpstr>
      <vt:lpstr>Modifs Doc</vt:lpstr>
      <vt:lpstr>Params</vt:lpstr>
      <vt:lpstr>'Gestion Exigences'!Zone_d_impression</vt:lpstr>
      <vt:lpstr>'Modifs Doc'!Zone_d_impression</vt:lpstr>
    </vt:vector>
  </TitlesOfParts>
  <Manager/>
  <Company>DACTEM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Nihel Kadri</cp:lastModifiedBy>
  <cp:revision/>
  <dcterms:created xsi:type="dcterms:W3CDTF">2000-07-05T17:03:55Z</dcterms:created>
  <dcterms:modified xsi:type="dcterms:W3CDTF">2024-03-22T11:08:12Z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ies>
</file>