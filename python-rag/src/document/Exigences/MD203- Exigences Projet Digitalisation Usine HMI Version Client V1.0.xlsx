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https://addixo.sharepoint.com/COM/Documents partages/02 Prospects/HMI/8 SF/01 Digitalisation usine/2 Préparation Offre/"/>
    </mc:Choice>
  </mc:AlternateContent>
  <xr:revisionPtr revIDLastSave="367" documentId="8_{5D6C2885-D684-4667-AE17-5254F08661EA}" xr6:coauthVersionLast="47" xr6:coauthVersionMax="47" xr10:uidLastSave="{B8DD955B-5198-47DB-AFB0-6466C1E3C75B}"/>
  <bookViews>
    <workbookView xWindow="-120" yWindow="-120" windowWidth="20730" windowHeight="11040" tabRatio="620" xr2:uid="{00000000-000D-0000-FFFF-FFFF00000000}"/>
  </bookViews>
  <sheets>
    <sheet name="Gestion Exigences" sheetId="27" r:id="rId1"/>
    <sheet name="Modifs Doc" sheetId="29" r:id="rId2"/>
    <sheet name="Params" sheetId="30" r:id="rId3"/>
  </sheets>
  <definedNames>
    <definedName name="_xlnm.Print_Area" localSheetId="0">'Gestion Exigences'!$C$2:$I$20</definedName>
    <definedName name="_xlnm.Print_Area" localSheetId="1">'Modifs Doc'!$B$2:$G$18</definedName>
  </definedNames>
  <calcPr calcId="191028"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29" l="1"/>
  <c r="D6" i="29"/>
  <c r="D7" i="29"/>
  <c r="D8" i="29"/>
  <c r="C10" i="29"/>
  <c r="C11" i="29"/>
  <c r="B6" i="29"/>
  <c r="B7" i="29"/>
  <c r="B8" i="29"/>
  <c r="B10" i="29"/>
  <c r="B11" i="29"/>
  <c r="B5" i="29"/>
</calcChain>
</file>

<file path=xl/sharedStrings.xml><?xml version="1.0" encoding="utf-8"?>
<sst xmlns="http://schemas.openxmlformats.org/spreadsheetml/2006/main" count="277" uniqueCount="145">
  <si>
    <t>Gestion Exigences Projet</t>
  </si>
  <si>
    <t>BU</t>
  </si>
  <si>
    <t>A définir</t>
  </si>
  <si>
    <t>Client</t>
  </si>
  <si>
    <t>Projet</t>
  </si>
  <si>
    <t>Réf Modèle Document</t>
  </si>
  <si>
    <t>MD203</t>
  </si>
  <si>
    <t>Confidentiel | Usage Client Limité</t>
  </si>
  <si>
    <t>Version Modèle Document</t>
  </si>
  <si>
    <t>V1.5</t>
  </si>
  <si>
    <t>ID</t>
  </si>
  <si>
    <t>Intitulé Exigence</t>
  </si>
  <si>
    <t>Nature</t>
  </si>
  <si>
    <t>Catégorie</t>
  </si>
  <si>
    <t>Exigence idenfiée pendant la phase</t>
  </si>
  <si>
    <t>Description de l'exigence</t>
  </si>
  <si>
    <t>Source</t>
  </si>
  <si>
    <t>Desciption de la solution ADDIXO</t>
  </si>
  <si>
    <t>Ecart entre exigence client et la solution proposée - préciser aussi les limites et hypothèses si applicable</t>
  </si>
  <si>
    <t>Validation Interne</t>
  </si>
  <si>
    <t>Validation Interne par:</t>
  </si>
  <si>
    <t>Statut Client</t>
  </si>
  <si>
    <t>E001</t>
  </si>
  <si>
    <t>N/A</t>
  </si>
  <si>
    <t>E002</t>
  </si>
  <si>
    <t>E003</t>
  </si>
  <si>
    <t>E004</t>
  </si>
  <si>
    <t>E005</t>
  </si>
  <si>
    <t>E006</t>
  </si>
  <si>
    <t>E007</t>
  </si>
  <si>
    <t>E008</t>
  </si>
  <si>
    <t xml:space="preserve"> </t>
  </si>
  <si>
    <t>Version</t>
  </si>
  <si>
    <t>Date</t>
  </si>
  <si>
    <t>Modifications</t>
  </si>
  <si>
    <t>Auteur(s)</t>
  </si>
  <si>
    <t>Vérificateur(s)</t>
  </si>
  <si>
    <t>Approbateur</t>
  </si>
  <si>
    <t>Exigence identifiée pendant la phase</t>
  </si>
  <si>
    <t>Oui/Non</t>
  </si>
  <si>
    <t>Statut Interne</t>
  </si>
  <si>
    <t>SE</t>
  </si>
  <si>
    <t>Fonctionnelle</t>
  </si>
  <si>
    <t>Commerciale</t>
  </si>
  <si>
    <t>CdC client</t>
  </si>
  <si>
    <t>Oui</t>
  </si>
  <si>
    <t>Validée par le client</t>
  </si>
  <si>
    <t>Validée</t>
  </si>
  <si>
    <t>*** SE</t>
  </si>
  <si>
    <t>SE-TN</t>
  </si>
  <si>
    <t>Performance</t>
  </si>
  <si>
    <t>Conception</t>
  </si>
  <si>
    <t>Workshop/réunion client</t>
  </si>
  <si>
    <t>Non</t>
  </si>
  <si>
    <t>Non validée par client</t>
  </si>
  <si>
    <t>Non validée</t>
  </si>
  <si>
    <t>SE-Processus</t>
  </si>
  <si>
    <t>SE-MA</t>
  </si>
  <si>
    <t>Reglementaire</t>
  </si>
  <si>
    <t>Réalisation</t>
  </si>
  <si>
    <t>Workshop/réunion Interne</t>
  </si>
  <si>
    <t>SE-Mécanique</t>
  </si>
  <si>
    <t>SF</t>
  </si>
  <si>
    <t>Sécurité</t>
  </si>
  <si>
    <t>Mise en œuvre</t>
  </si>
  <si>
    <t>Standards client</t>
  </si>
  <si>
    <t>SE-Electrique</t>
  </si>
  <si>
    <t>R&amp;D</t>
  </si>
  <si>
    <t>Standard Client</t>
  </si>
  <si>
    <t>Support et maintenance</t>
  </si>
  <si>
    <t>Standards ADDIXO</t>
  </si>
  <si>
    <t>SE-Soft</t>
  </si>
  <si>
    <t>LOOYAS</t>
  </si>
  <si>
    <t>Standard ADDIXO</t>
  </si>
  <si>
    <t>Reglementation</t>
  </si>
  <si>
    <t>SE-Auto</t>
  </si>
  <si>
    <t>Demande modification</t>
  </si>
  <si>
    <t>SE-Fabrication</t>
  </si>
  <si>
    <t>SE-Intégration</t>
  </si>
  <si>
    <t>SE-Achats</t>
  </si>
  <si>
    <t>*** SF</t>
  </si>
  <si>
    <t>SF-Processus</t>
  </si>
  <si>
    <t>SF-Fonctionnelle</t>
  </si>
  <si>
    <t>SF-Connectivité Machine</t>
  </si>
  <si>
    <t>SF-Intégration SI</t>
  </si>
  <si>
    <t>SF-Software</t>
  </si>
  <si>
    <t>SF-Infra IT</t>
  </si>
  <si>
    <t>*** TC</t>
  </si>
  <si>
    <t>TC-Prestations sur site client</t>
  </si>
  <si>
    <t>V1.0</t>
  </si>
  <si>
    <t>HMI</t>
  </si>
  <si>
    <t>Digitalisation Usine</t>
  </si>
  <si>
    <t>E009</t>
  </si>
  <si>
    <t>E010</t>
  </si>
  <si>
    <t>E011</t>
  </si>
  <si>
    <t>E012</t>
  </si>
  <si>
    <t>Calcul des pièces non conformes</t>
  </si>
  <si>
    <t>Calculer le nombre de pièces non confomes selon la formule suivante :
Scrap = Quantité Produite par Bouteille - Quantité Produite par Caisse.</t>
  </si>
  <si>
    <t>La solution proposée permet de calculer la quantité non conforme en soustractant la quantité Produite par Caisse à partir de la quantité produite par bouteille.</t>
  </si>
  <si>
    <t>Lecture des OF à partir de l'ERP</t>
  </si>
  <si>
    <t>Renvoie des données de production vers L'ERP</t>
  </si>
  <si>
    <t>E013</t>
  </si>
  <si>
    <t>E014</t>
  </si>
  <si>
    <t>Digitaliser les 9 machines de Blowing</t>
  </si>
  <si>
    <t>Lire les Ordres de fabrications automatiquement à partir de l'ERP.</t>
  </si>
  <si>
    <t>Lecture des Ordres de fabrication à partir de L'ERP en utilisant les webservices.
La lecture des OF peut s'effecuter automatiquement en fonction d'une fréquence choisie par le client et en utilisant l'interface Intégration des OF pour un chargement à sa convenance.
Cette exigences nécessite un travail de collaboration entre l'équipe ADDIXO et le fournisseur ERP du Client</t>
  </si>
  <si>
    <t>Renvoie des données de production suivantes vers l'ERP : Quantité Produite, Quantité non conforme, Durée et causes d'arrêt, Durée réelle de production. 
Ces données sont classifiée par OF et par Ligne de production.
La fréquence de remontée de données vers l'ERP est définie par le client au cours de la phase d'analyse fonctionnelle.</t>
  </si>
  <si>
    <t>Renvoyer les données de production automatiquement vers l'ERP.</t>
  </si>
  <si>
    <t>Digitaliser la ligne Bleach</t>
  </si>
  <si>
    <t>Digitaliser les lignes Liquide en bouteilles</t>
  </si>
  <si>
    <t>Gérer les ordres de fabrications
Déclarer des quantités produites et non conformes manuellement en cas d'absence de connectivité machine.
Lancer des arrêts de production manuellement en cas d'absence de connectivité machine
Avoir un historique détaillé des données de production</t>
  </si>
  <si>
    <t xml:space="preserve">Digitaliser les lignes Blowing </t>
  </si>
  <si>
    <t>Digitaliser les lignes Liquide en sachets</t>
  </si>
  <si>
    <t>Digitaliser la ligne Papier Fluffy</t>
  </si>
  <si>
    <t>Digitaliser la ligne Papier Essui Tout.</t>
  </si>
  <si>
    <t xml:space="preserve">Digitaliser la ligne Papier Fluffy </t>
  </si>
  <si>
    <t>Digitaliser la ligne Papier Essui Tout</t>
  </si>
  <si>
    <t>E015</t>
  </si>
  <si>
    <t>Gérer la production au niveau des lignes de production</t>
  </si>
  <si>
    <t>Suivre la performance des lignes de production en temps réel</t>
  </si>
  <si>
    <t>Effectuer des analyses de la performance des lignes de production</t>
  </si>
  <si>
    <t>Modéliser l'usine HMI Maroc</t>
  </si>
  <si>
    <t>Faciliter l'intégration des données dans la solution</t>
  </si>
  <si>
    <t xml:space="preserve">Assurer la connectivité des machines </t>
  </si>
  <si>
    <t>Lire les données de production (Production, Arrêt) automatiquement et directement à partir de machines.</t>
  </si>
  <si>
    <t>Paramètrage facile et rapide de la solution
Intégration de la solution avec les systèmes d'information de l'usine</t>
  </si>
  <si>
    <t>Analyser la performance historique des lignes de production
Analyser l'évolution des indicateurs clés au cours du temps pour chaque ligne de production.</t>
  </si>
  <si>
    <t>Surveiller la performance de chaque ligne de production en temps réel en utilisant des indicateurs comme le TRS, la progression, le Taux de rebut, le Taux de disponibilité…</t>
  </si>
  <si>
    <t>Intégration des 9 machines de blowing dans ADDIXO Smart Factory.</t>
  </si>
  <si>
    <t>Intégration de la ligne Bleach dans ADDIXO Smart Factory.</t>
  </si>
  <si>
    <t>Intégration des lignes liquides en bouteilles dans ADDIXO Smart Factory</t>
  </si>
  <si>
    <t>Intégration des lignes liquides en sachets dans ADDIXO Smart Factory</t>
  </si>
  <si>
    <t>Intégration de la ligne Papier Fluffy dans ADDIXO Smart Factory</t>
  </si>
  <si>
    <t>Intégration de la ligne Papier Essui Tout dans ADDIXO Smart Factory</t>
  </si>
  <si>
    <t>Digitaliser le suivi des lignes de production</t>
  </si>
  <si>
    <t xml:space="preserve">Module Standard Core de ADDIXO Smart Factory.
Ce module permet de :
• Modéliser les ateliers, les lignes, les postes et les machines.
• Intégrer les produits, les clients.
• Intégrer les utilisateurs et configurer les rôles et les accès
• Configurer les pannes et les défauts qualité.
• etc.
</t>
  </si>
  <si>
    <t>Module Standard Production de ADDIXO Smart Factory.
Ce module permet de :
- Créer et Gérer les ordres de fabrications
- Déclarer les quantités produites et non conformes manuellement par OF, Ligne et Produit.
- Consulter l'historique de production par OF, par shift, par ligne, par déclaration de production.
-etc..</t>
  </si>
  <si>
    <t>Module Standard Vue 360° de ADDIXO Smart Factory.
Ce module permet de suivre les KPIs en temps réel.
Parmi les indicateurs disponibles : TRS, Taux de rebut, progression, PPM, Performance, Durée et cause d'arrêt, etc.</t>
  </si>
  <si>
    <t>Module Standard Tableau de bord de ADDIXO Smart Facoty.
Le tableau de bord fourni une vue multi-niveaux de la production en utilisant des indicateurs comme TRS, Quantité produite vs Quantité planifiée, Temps d'arrêt vs temps de production, etc.</t>
  </si>
  <si>
    <t>Module Intégration SI de ADDIXO Smart Factory.
Ce module permet de charger les données en utilisant des fichiers csv ou excel pour les produits, les moules, les utilisateurs, etc.
Le module permet aussi de charger les données à partir des SI utilisés par le client.</t>
  </si>
  <si>
    <t>Module Shopfloor Intégration de ADDIXO Smart Factory.
Ce module permet le streaming, le traitement et le stockage des données à partir des machines.</t>
  </si>
  <si>
    <t>RAS</t>
  </si>
  <si>
    <t>Mahdi B.</t>
  </si>
  <si>
    <t>Exigence projet Digitalisation Usine HMI suite workshop du 24/04/2024</t>
  </si>
  <si>
    <t>Imed Ayadi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</si>
</sst>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name val="Arial"/>
    </font>
    <font>
      <sz val="10"/>
      <name val="Calibri Light"/>
      <family val="2"/>
      <scheme val="major"/>
    </font>
    <font>
      <sz val="8"/>
      <name val="Arial"/>
      <family val="2"/>
    </font>
    <font>
      <sz val="11"/>
      <name val="Calibri Light"/>
      <family val="2"/>
      <scheme val="major"/>
    </font>
    <font>
      <b/>
      <sz val="14"/>
      <name val="Calibri Light"/>
      <family val="2"/>
      <scheme val="major"/>
    </font>
    <font>
      <b/>
      <sz val="11"/>
      <name val="Calibri Light"/>
      <family val="2"/>
      <scheme val="major"/>
    </font>
    <font>
      <b/>
      <sz val="11"/>
      <name val="Calibri Light"/>
      <family val="2"/>
    </font>
    <font>
      <sz val="11"/>
      <name val="Arial"/>
      <family val="2"/>
    </font>
    <font>
      <sz val="11"/>
      <name val="Calibri Light"/>
      <family val="2"/>
    </font>
    <font>
      <b/>
      <sz val="12"/>
      <name val="Calibri Light"/>
      <family val="2"/>
    </font>
    <font>
      <sz val="10"/>
      <color theme="1"/>
      <name val="Calibri Light"/>
      <family val="2"/>
      <scheme val="major"/>
    </font>
    <font>
      <b/>
      <sz val="10"/>
      <name val="Calibri Light"/>
      <family val="2"/>
      <scheme val="major"/>
    </font>
    <font>
      <sz val="8"/>
      <name val="Calibri Light"/>
      <family val="2"/>
      <scheme val="major"/>
    </font>
    <font>
      <b/>
      <sz val="11"/>
      <color theme="2" tint="-0.89999084444715716"/>
      <name val="Calibri Light"/>
      <family val="2"/>
    </font>
    <font>
      <b/>
      <sz val="10"/>
      <color rgb="FFFF0000"/>
      <name val="Calibri Light"/>
      <family val="2"/>
      <scheme val="major"/>
    </font>
    <font>
      <sz val="4"/>
      <name val="Calibri Light"/>
      <family val="2"/>
    </font>
    <font>
      <sz val="4"/>
      <name val="Calibri Light"/>
      <family val="2"/>
      <scheme val="major"/>
    </font>
  </fonts>
  <fills count="3">
    <fill>
      <patternFill patternType="none"/>
    </fill>
    <fill>
      <patternFill patternType="gray125"/>
    </fill>
    <fill>
      <patternFill patternType="solid">
        <fgColor theme="0" tint="-0.14999847407452621"/>
        <bgColor indexed="64"/>
      </patternFill>
    </fill>
  </fills>
  <borders count="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35">
    <xf numFmtId="0" fontId="0" fillId="0" borderId="0" xfId="0"/>
    <xf numFmtId="0" fontId="1"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6" fillId="0" borderId="0" xfId="0" applyFont="1" applyAlignment="1">
      <alignment horizontal="left" vertical="center" wrapText="1"/>
    </xf>
    <xf numFmtId="0" fontId="7" fillId="0" borderId="0" xfId="0" applyFont="1" applyAlignment="1">
      <alignment wrapText="1"/>
    </xf>
    <xf numFmtId="0" fontId="8" fillId="0" borderId="0" xfId="0" applyFont="1" applyAlignment="1">
      <alignment vertical="center" wrapText="1"/>
    </xf>
    <xf numFmtId="14" fontId="8" fillId="0" borderId="0" xfId="0" applyNumberFormat="1" applyFont="1" applyAlignment="1">
      <alignment vertical="center" wrapText="1"/>
    </xf>
    <xf numFmtId="0" fontId="11" fillId="0" borderId="0" xfId="0" applyFont="1" applyAlignment="1">
      <alignment horizontal="center" wrapText="1"/>
    </xf>
    <xf numFmtId="0" fontId="12" fillId="0" borderId="0" xfId="0" applyFont="1" applyAlignment="1">
      <alignment wrapText="1"/>
    </xf>
    <xf numFmtId="0" fontId="1" fillId="0" borderId="0" xfId="0" applyFont="1" applyAlignment="1">
      <alignment vertical="center" wrapText="1"/>
    </xf>
    <xf numFmtId="0" fontId="11" fillId="0" borderId="0" xfId="0" applyFont="1" applyAlignment="1">
      <alignment vertical="center" wrapText="1"/>
    </xf>
    <xf numFmtId="0" fontId="6" fillId="0" borderId="0" xfId="0" applyFont="1" applyAlignment="1">
      <alignment horizontal="left" vertical="center"/>
    </xf>
    <xf numFmtId="0" fontId="13" fillId="2" borderId="0" xfId="0" applyFont="1" applyFill="1" applyAlignment="1">
      <alignment horizontal="center" vertical="center" wrapText="1"/>
    </xf>
    <xf numFmtId="0" fontId="10" fillId="2" borderId="1" xfId="0" applyFont="1" applyFill="1" applyBorder="1" applyAlignment="1">
      <alignment vertical="center" wrapText="1"/>
    </xf>
    <xf numFmtId="0" fontId="10" fillId="2" borderId="2" xfId="0" applyFont="1" applyFill="1" applyBorder="1" applyAlignment="1">
      <alignment vertical="center" wrapText="1"/>
    </xf>
    <xf numFmtId="0" fontId="10" fillId="2" borderId="3" xfId="0" applyFont="1" applyFill="1" applyBorder="1" applyAlignment="1">
      <alignment vertical="center" wrapText="1"/>
    </xf>
    <xf numFmtId="0" fontId="14" fillId="0" borderId="0" xfId="0" applyFont="1" applyAlignment="1">
      <alignment wrapText="1"/>
    </xf>
    <xf numFmtId="0" fontId="10" fillId="0" borderId="0" xfId="0" applyFont="1" applyAlignment="1">
      <alignment wrapText="1"/>
    </xf>
    <xf numFmtId="0" fontId="10" fillId="0" borderId="0" xfId="0" applyFont="1" applyAlignment="1">
      <alignment vertical="center" wrapText="1"/>
    </xf>
    <xf numFmtId="0" fontId="5" fillId="0" borderId="0" xfId="0" applyFont="1" applyAlignment="1">
      <alignment horizontal="left" wrapText="1"/>
    </xf>
    <xf numFmtId="0" fontId="15" fillId="0" borderId="0" xfId="0" applyFont="1" applyAlignment="1">
      <alignment horizontal="left" vertical="center" wrapText="1"/>
    </xf>
    <xf numFmtId="0" fontId="15" fillId="0" borderId="0" xfId="0" applyFont="1" applyAlignment="1">
      <alignment horizontal="left" vertical="center"/>
    </xf>
    <xf numFmtId="0" fontId="5" fillId="0" borderId="0" xfId="0" applyFont="1"/>
    <xf numFmtId="0" fontId="16" fillId="0" borderId="0" xfId="0" applyFont="1"/>
    <xf numFmtId="0" fontId="1" fillId="0" borderId="0" xfId="0" applyFont="1"/>
    <xf numFmtId="0" fontId="11" fillId="0" borderId="0" xfId="0" applyFont="1" applyAlignment="1">
      <alignment wrapText="1"/>
    </xf>
    <xf numFmtId="0" fontId="11" fillId="0" borderId="0" xfId="0" applyFont="1" applyAlignment="1">
      <alignment horizontal="left" wrapText="1"/>
    </xf>
    <xf numFmtId="14" fontId="3" fillId="0" borderId="0" xfId="0" applyNumberFormat="1" applyFont="1" applyAlignment="1">
      <alignment wrapText="1"/>
    </xf>
    <xf numFmtId="0" fontId="4" fillId="2" borderId="1" xfId="0" applyFont="1" applyFill="1" applyBorder="1" applyAlignment="1">
      <alignment horizontal="center" wrapText="1"/>
    </xf>
    <xf numFmtId="0" fontId="4" fillId="2" borderId="2" xfId="0" applyFont="1" applyFill="1" applyBorder="1" applyAlignment="1">
      <alignment horizontal="center" wrapText="1"/>
    </xf>
    <xf numFmtId="0" fontId="4" fillId="2" borderId="3" xfId="0" applyFont="1" applyFill="1" applyBorder="1" applyAlignment="1">
      <alignment horizontal="center" wrapText="1"/>
    </xf>
    <xf numFmtId="0" fontId="9" fillId="2" borderId="1"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cellXfs>
  <cellStyles count="1">
    <cellStyle name="Normal" xfId="0" builtinId="0"/>
  </cellStyles>
  <dxfs count="34">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i val="0"/>
        <strike val="0"/>
        <condense val="0"/>
        <extend val="0"/>
        <outline val="0"/>
        <shadow val="0"/>
        <u val="none"/>
        <vertAlign val="baseline"/>
        <sz val="11"/>
        <color theme="2" tint="-0.89999084444715716"/>
        <name val="Calibri Light"/>
        <family val="2"/>
        <scheme val="none"/>
      </font>
      <fill>
        <patternFill patternType="solid">
          <fgColor indexed="64"/>
          <bgColor theme="0" tint="-0.14999847407452621"/>
        </patternFill>
      </fill>
      <alignment horizontal="center"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201706</xdr:colOff>
      <xdr:row>2</xdr:row>
      <xdr:rowOff>112059</xdr:rowOff>
    </xdr:from>
    <xdr:to>
      <xdr:col>2</xdr:col>
      <xdr:colOff>1282241</xdr:colOff>
      <xdr:row>2</xdr:row>
      <xdr:rowOff>561093</xdr:rowOff>
    </xdr:to>
    <xdr:pic>
      <xdr:nvPicPr>
        <xdr:cNvPr id="2" name="Image 1">
          <a:extLst>
            <a:ext uri="{FF2B5EF4-FFF2-40B4-BE49-F238E27FC236}">
              <a16:creationId xmlns:a16="http://schemas.microsoft.com/office/drawing/2014/main" id="{468FDDBE-FF59-4CE8-923A-218408949520}"/>
            </a:ext>
          </a:extLst>
        </xdr:cNvPr>
        <xdr:cNvPicPr/>
      </xdr:nvPicPr>
      <xdr:blipFill>
        <a:blip xmlns:r="http://schemas.openxmlformats.org/officeDocument/2006/relationships" r:embed="rId1"/>
        <a:stretch>
          <a:fillRect/>
        </a:stretch>
      </xdr:blipFill>
      <xdr:spPr>
        <a:xfrm>
          <a:off x="963706" y="560294"/>
          <a:ext cx="1495153" cy="449034"/>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EA2C8B-EE0D-4C55-9256-CCC64E002CE6}" name="Tableau3" displayName="Tableau3" ref="B11:M27" totalsRowCount="1" headerRowDxfId="33" dataDxfId="32">
  <autoFilter ref="B11:M26" xr:uid="{DDEA2C8B-EE0D-4C55-9256-CCC64E002CE6}"/>
  <tableColumns count="12">
    <tableColumn id="1" xr3:uid="{E467E0EE-CDAA-4FF5-85A8-CDC0B23A5AD9}" name="ID" dataDxfId="31" totalsRowDxfId="11"/>
    <tableColumn id="2" xr3:uid="{E53952AC-4972-47BD-8B1D-C7EF23088D0D}" name="Intitulé Exigence" dataDxfId="30" totalsRowDxfId="10"/>
    <tableColumn id="8" xr3:uid="{B2D0BC2C-C803-4015-8FA6-70F84517BDB2}" name="Nature" dataDxfId="29" totalsRowDxfId="9"/>
    <tableColumn id="7" xr3:uid="{24F2F0ED-022E-4EC1-91D8-BFE0E4F2FD36}" name="Catégorie" dataDxfId="28" totalsRowDxfId="8"/>
    <tableColumn id="10" xr3:uid="{1FF81CF1-6D35-421C-8767-9E7FA06FEE6A}" name="Exigence idenfiée pendant la phase" dataDxfId="27" totalsRowDxfId="7"/>
    <tableColumn id="3" xr3:uid="{E7621A68-9552-4853-96A5-92A226EA42DD}" name="Description de l'exigence" dataDxfId="26" totalsRowDxfId="6"/>
    <tableColumn id="9" xr3:uid="{E6EEEC82-3576-4980-94B3-1423906CE531}" name="Source" dataDxfId="25" totalsRowDxfId="5"/>
    <tableColumn id="16" xr3:uid="{1441554A-79F9-4040-9CF5-AEBFF7ADF7D1}" name="Desciption de la solution ADDIXO" dataDxfId="24" totalsRowDxfId="4"/>
    <tableColumn id="17" xr3:uid="{D1BC9C86-C3CE-417F-AC83-FC4786A7656D}" name="Ecart entre exigence client et la solution proposée - préciser aussi les limites et hypothèses si applicable" dataDxfId="23" totalsRowDxfId="3"/>
    <tableColumn id="5" xr3:uid="{2649C3B7-E8B9-44F9-8883-E5BB6F91B4B1}" name="Validation Interne" dataDxfId="22" totalsRowDxfId="2"/>
    <tableColumn id="6" xr3:uid="{8CC493F8-0886-498D-AB98-B77300CC6510}" name="Validation Interne par:" dataDxfId="21" totalsRowDxfId="1"/>
    <tableColumn id="15" xr3:uid="{78231C60-0932-4386-925D-4C689A91C0E3}" name="Statut Client" dataDxfId="20" totalsRowDxfId="0"/>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AD1385-A1F5-4391-ABC2-C9F250557626}" name="Tableau325" displayName="Tableau325" ref="B13:G18" totalsRowShown="0" headerRowDxfId="19" dataDxfId="18">
  <autoFilter ref="B13:G18" xr:uid="{96AD1385-A1F5-4391-ABC2-C9F250557626}"/>
  <tableColumns count="6">
    <tableColumn id="1" xr3:uid="{56DA355E-F205-482A-9CF1-CA3361A1D801}" name="Version" dataDxfId="17"/>
    <tableColumn id="2" xr3:uid="{C9D8A0D7-1D6E-479B-AF74-6D39D19E4653}" name="Date" dataDxfId="16"/>
    <tableColumn id="3" xr3:uid="{79109713-8A38-4162-A269-136157905B75}" name="Modifications" dataDxfId="15"/>
    <tableColumn id="4" xr3:uid="{AC928B3E-399C-4A3D-9FB5-9CD96F5D4745}" name="Auteur(s)" dataDxfId="14"/>
    <tableColumn id="5" xr3:uid="{0D0A428D-4F18-4D4E-A0CB-4D1A5057B6E9}" name="Vérificateur(s)" dataDxfId="13"/>
    <tableColumn id="6" xr3:uid="{D81EAB57-FBCA-44D9-8F45-58AF13AA08B6}" name="Approbateur" dataDxfId="12"/>
  </tableColumns>
  <tableStyleInfo name="TableStyleLight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CD31-E0D8-4640-9FED-05D3282809B2}">
  <sheetPr>
    <pageSetUpPr fitToPage="1"/>
  </sheetPr>
  <dimension ref="B1:M27"/>
  <sheetViews>
    <sheetView tabSelected="1" zoomScale="85" zoomScaleNormal="85" workbookViewId="0">
      <selection activeCell="E26" sqref="E26"/>
    </sheetView>
  </sheetViews>
  <sheetFormatPr baseColWidth="10" defaultColWidth="11.42578125" defaultRowHeight="12.75" x14ac:dyDescent="0.2"/>
  <cols>
    <col min="1" max="1" width="11.42578125" style="1"/>
    <col min="2" max="2" width="6.140625" style="1" customWidth="1"/>
    <col min="3" max="3" width="27.42578125" style="1" customWidth="1"/>
    <col min="4" max="4" width="32.85546875" style="1" customWidth="1"/>
    <col min="5" max="5" width="18.28515625" style="1" customWidth="1"/>
    <col min="6" max="6" width="19.42578125" style="1" customWidth="1"/>
    <col min="7" max="7" width="56.5703125" style="1" customWidth="1"/>
    <col min="8" max="8" width="18.42578125" style="1" customWidth="1"/>
    <col min="9" max="9" width="56.5703125" style="1" customWidth="1"/>
    <col min="10" max="10" width="33.140625" style="1" customWidth="1"/>
    <col min="11" max="12" width="13.5703125" style="1" customWidth="1"/>
    <col min="13" max="13" width="15.28515625" style="1" customWidth="1"/>
    <col min="14" max="16384" width="11.42578125" style="1"/>
  </cols>
  <sheetData>
    <row r="1" spans="2:13" ht="13.5" thickBot="1" x14ac:dyDescent="0.25"/>
    <row r="2" spans="2:13" ht="21.75" customHeight="1" thickBot="1" x14ac:dyDescent="0.35">
      <c r="B2" s="29" t="s">
        <v>0</v>
      </c>
      <c r="C2" s="30"/>
      <c r="D2" s="30"/>
      <c r="E2" s="30"/>
      <c r="F2" s="30"/>
      <c r="G2" s="30"/>
      <c r="H2" s="30"/>
      <c r="I2" s="30"/>
      <c r="J2" s="30"/>
      <c r="K2" s="30"/>
      <c r="L2" s="30"/>
      <c r="M2" s="31"/>
    </row>
    <row r="3" spans="2:13" ht="53.25" customHeight="1" x14ac:dyDescent="0.2">
      <c r="C3" s="8"/>
      <c r="D3" s="8"/>
      <c r="E3" s="8"/>
      <c r="F3" s="8"/>
      <c r="G3" s="8"/>
      <c r="H3" s="8"/>
      <c r="I3" s="8"/>
    </row>
    <row r="4" spans="2:13" ht="21" customHeight="1" x14ac:dyDescent="0.2">
      <c r="B4" s="26" t="s">
        <v>1</v>
      </c>
      <c r="C4" s="8"/>
      <c r="D4" s="27" t="s">
        <v>62</v>
      </c>
      <c r="E4" s="8"/>
      <c r="F4" s="8"/>
      <c r="G4" s="8"/>
      <c r="H4" s="8"/>
      <c r="I4" s="8"/>
    </row>
    <row r="5" spans="2:13" ht="21.75" customHeight="1" x14ac:dyDescent="0.25">
      <c r="B5" s="23" t="s">
        <v>3</v>
      </c>
      <c r="D5" s="3" t="s">
        <v>90</v>
      </c>
      <c r="E5" s="3"/>
      <c r="F5" s="3"/>
      <c r="G5" s="3"/>
      <c r="H5" s="3"/>
      <c r="I5" s="3"/>
    </row>
    <row r="6" spans="2:13" ht="21" customHeight="1" x14ac:dyDescent="0.25">
      <c r="B6" s="23" t="s">
        <v>4</v>
      </c>
      <c r="D6" s="3" t="s">
        <v>91</v>
      </c>
      <c r="E6" s="3"/>
      <c r="F6" s="3"/>
      <c r="G6" s="3"/>
      <c r="H6" s="3"/>
      <c r="I6" s="3"/>
    </row>
    <row r="7" spans="2:13" ht="15" x14ac:dyDescent="0.25">
      <c r="C7" s="3"/>
      <c r="D7" s="20"/>
      <c r="E7" s="20"/>
      <c r="F7" s="20"/>
      <c r="G7" s="20"/>
      <c r="H7" s="20"/>
      <c r="I7" s="20"/>
    </row>
    <row r="8" spans="2:13" x14ac:dyDescent="0.2">
      <c r="B8" s="24" t="s">
        <v>5</v>
      </c>
      <c r="C8" s="25"/>
      <c r="D8" s="24" t="s">
        <v>6</v>
      </c>
      <c r="E8" s="9"/>
      <c r="F8" s="9"/>
      <c r="I8" s="17" t="s">
        <v>7</v>
      </c>
    </row>
    <row r="9" spans="2:13" x14ac:dyDescent="0.2">
      <c r="B9" s="24" t="s">
        <v>8</v>
      </c>
      <c r="C9" s="25"/>
      <c r="D9" s="24" t="s">
        <v>9</v>
      </c>
      <c r="E9" s="9"/>
      <c r="F9" s="9"/>
    </row>
    <row r="10" spans="2:13" ht="13.5" thickBot="1" x14ac:dyDescent="0.25"/>
    <row r="11" spans="2:13" s="10" customFormat="1" ht="51.75" thickBot="1" x14ac:dyDescent="0.25">
      <c r="B11" s="14" t="s">
        <v>10</v>
      </c>
      <c r="C11" s="15" t="s">
        <v>11</v>
      </c>
      <c r="D11" s="15" t="s">
        <v>12</v>
      </c>
      <c r="E11" s="15" t="s">
        <v>13</v>
      </c>
      <c r="F11" s="15" t="s">
        <v>14</v>
      </c>
      <c r="G11" s="15" t="s">
        <v>15</v>
      </c>
      <c r="H11" s="15" t="s">
        <v>16</v>
      </c>
      <c r="I11" s="15" t="s">
        <v>17</v>
      </c>
      <c r="J11" s="15" t="s">
        <v>18</v>
      </c>
      <c r="K11" s="15" t="s">
        <v>19</v>
      </c>
      <c r="L11" s="15" t="s">
        <v>20</v>
      </c>
      <c r="M11" s="16" t="s">
        <v>21</v>
      </c>
    </row>
    <row r="12" spans="2:13" s="10" customFormat="1" ht="36" customHeight="1" x14ac:dyDescent="0.2">
      <c r="B12" s="10" t="s">
        <v>22</v>
      </c>
      <c r="C12" s="10" t="s">
        <v>111</v>
      </c>
      <c r="D12" s="10" t="s">
        <v>42</v>
      </c>
      <c r="E12" s="10" t="s">
        <v>82</v>
      </c>
      <c r="F12" s="10" t="s">
        <v>43</v>
      </c>
      <c r="G12" s="10" t="s">
        <v>103</v>
      </c>
      <c r="H12" s="10" t="s">
        <v>52</v>
      </c>
      <c r="I12" s="10" t="s">
        <v>128</v>
      </c>
      <c r="J12" s="10" t="s">
        <v>141</v>
      </c>
      <c r="K12" s="10" t="s">
        <v>47</v>
      </c>
      <c r="L12" s="10" t="s">
        <v>142</v>
      </c>
      <c r="M12" s="10" t="s">
        <v>54</v>
      </c>
    </row>
    <row r="13" spans="2:13" s="10" customFormat="1" ht="36" customHeight="1" x14ac:dyDescent="0.2">
      <c r="B13" s="10" t="s">
        <v>24</v>
      </c>
      <c r="C13" s="10" t="s">
        <v>108</v>
      </c>
      <c r="D13" s="10" t="s">
        <v>42</v>
      </c>
      <c r="E13" s="10" t="s">
        <v>82</v>
      </c>
      <c r="F13" s="10" t="s">
        <v>43</v>
      </c>
      <c r="G13" s="10" t="s">
        <v>108</v>
      </c>
      <c r="H13" s="10" t="s">
        <v>52</v>
      </c>
      <c r="I13" s="10" t="s">
        <v>129</v>
      </c>
      <c r="J13" s="10" t="s">
        <v>141</v>
      </c>
      <c r="K13" s="10" t="s">
        <v>47</v>
      </c>
      <c r="L13" s="10" t="s">
        <v>142</v>
      </c>
      <c r="M13" s="10" t="s">
        <v>54</v>
      </c>
    </row>
    <row r="14" spans="2:13" s="10" customFormat="1" ht="36" customHeight="1" x14ac:dyDescent="0.2">
      <c r="B14" s="10" t="s">
        <v>25</v>
      </c>
      <c r="C14" s="10" t="s">
        <v>109</v>
      </c>
      <c r="D14" s="10" t="s">
        <v>42</v>
      </c>
      <c r="E14" s="10" t="s">
        <v>82</v>
      </c>
      <c r="F14" s="10" t="s">
        <v>43</v>
      </c>
      <c r="G14" s="10" t="s">
        <v>109</v>
      </c>
      <c r="H14" s="10" t="s">
        <v>52</v>
      </c>
      <c r="I14" s="10" t="s">
        <v>130</v>
      </c>
      <c r="J14" s="10" t="s">
        <v>141</v>
      </c>
      <c r="K14" s="10" t="s">
        <v>47</v>
      </c>
      <c r="L14" s="10" t="s">
        <v>142</v>
      </c>
      <c r="M14" s="10" t="s">
        <v>54</v>
      </c>
    </row>
    <row r="15" spans="2:13" s="10" customFormat="1" ht="36" customHeight="1" x14ac:dyDescent="0.2">
      <c r="B15" s="10" t="s">
        <v>26</v>
      </c>
      <c r="C15" s="10" t="s">
        <v>112</v>
      </c>
      <c r="D15" s="10" t="s">
        <v>42</v>
      </c>
      <c r="E15" s="10" t="s">
        <v>82</v>
      </c>
      <c r="F15" s="10" t="s">
        <v>43</v>
      </c>
      <c r="G15" s="10" t="s">
        <v>112</v>
      </c>
      <c r="H15" s="10" t="s">
        <v>52</v>
      </c>
      <c r="I15" s="10" t="s">
        <v>131</v>
      </c>
      <c r="J15" s="10" t="s">
        <v>141</v>
      </c>
      <c r="K15" s="10" t="s">
        <v>47</v>
      </c>
      <c r="L15" s="10" t="s">
        <v>142</v>
      </c>
      <c r="M15" s="10" t="s">
        <v>54</v>
      </c>
    </row>
    <row r="16" spans="2:13" s="10" customFormat="1" ht="36" customHeight="1" x14ac:dyDescent="0.2">
      <c r="B16" s="10" t="s">
        <v>27</v>
      </c>
      <c r="C16" s="10" t="s">
        <v>113</v>
      </c>
      <c r="D16" s="10" t="s">
        <v>42</v>
      </c>
      <c r="E16" s="10" t="s">
        <v>82</v>
      </c>
      <c r="F16" s="10" t="s">
        <v>43</v>
      </c>
      <c r="G16" s="10" t="s">
        <v>115</v>
      </c>
      <c r="H16" s="10" t="s">
        <v>52</v>
      </c>
      <c r="I16" s="10" t="s">
        <v>132</v>
      </c>
      <c r="J16" s="10" t="s">
        <v>141</v>
      </c>
      <c r="K16" s="10" t="s">
        <v>47</v>
      </c>
      <c r="L16" s="10" t="s">
        <v>142</v>
      </c>
      <c r="M16" s="10" t="s">
        <v>54</v>
      </c>
    </row>
    <row r="17" spans="2:13" s="10" customFormat="1" ht="36" customHeight="1" x14ac:dyDescent="0.2">
      <c r="B17" s="10" t="s">
        <v>28</v>
      </c>
      <c r="C17" s="10" t="s">
        <v>114</v>
      </c>
      <c r="D17" s="10" t="s">
        <v>42</v>
      </c>
      <c r="E17" s="10" t="s">
        <v>82</v>
      </c>
      <c r="F17" s="10" t="s">
        <v>43</v>
      </c>
      <c r="G17" s="10" t="s">
        <v>116</v>
      </c>
      <c r="H17" s="10" t="s">
        <v>52</v>
      </c>
      <c r="I17" s="10" t="s">
        <v>133</v>
      </c>
      <c r="J17" s="10" t="s">
        <v>141</v>
      </c>
      <c r="K17" s="10" t="s">
        <v>47</v>
      </c>
      <c r="L17" s="10" t="s">
        <v>142</v>
      </c>
      <c r="M17" s="10" t="s">
        <v>54</v>
      </c>
    </row>
    <row r="18" spans="2:13" s="10" customFormat="1" ht="102" x14ac:dyDescent="0.2">
      <c r="B18" s="10" t="s">
        <v>29</v>
      </c>
      <c r="C18" s="10" t="s">
        <v>121</v>
      </c>
      <c r="D18" s="10" t="s">
        <v>42</v>
      </c>
      <c r="E18" s="10" t="s">
        <v>82</v>
      </c>
      <c r="F18" s="10" t="s">
        <v>43</v>
      </c>
      <c r="G18" s="10" t="s">
        <v>134</v>
      </c>
      <c r="H18" s="10" t="s">
        <v>52</v>
      </c>
      <c r="I18" s="10" t="s">
        <v>135</v>
      </c>
      <c r="J18" s="10" t="s">
        <v>141</v>
      </c>
      <c r="K18" s="10" t="s">
        <v>47</v>
      </c>
      <c r="L18" s="10" t="s">
        <v>142</v>
      </c>
      <c r="M18" s="10" t="s">
        <v>54</v>
      </c>
    </row>
    <row r="19" spans="2:13" s="10" customFormat="1" ht="102" x14ac:dyDescent="0.2">
      <c r="B19" s="10" t="s">
        <v>30</v>
      </c>
      <c r="C19" s="10" t="s">
        <v>118</v>
      </c>
      <c r="D19" s="10" t="s">
        <v>42</v>
      </c>
      <c r="E19" s="10" t="s">
        <v>82</v>
      </c>
      <c r="F19" s="10" t="s">
        <v>43</v>
      </c>
      <c r="G19" s="10" t="s">
        <v>110</v>
      </c>
      <c r="H19" s="10" t="s">
        <v>52</v>
      </c>
      <c r="I19" s="10" t="s">
        <v>136</v>
      </c>
      <c r="J19" s="10" t="s">
        <v>141</v>
      </c>
      <c r="K19" s="10" t="s">
        <v>47</v>
      </c>
      <c r="L19" s="10" t="s">
        <v>142</v>
      </c>
      <c r="M19" s="10" t="s">
        <v>54</v>
      </c>
    </row>
    <row r="20" spans="2:13" s="10" customFormat="1" ht="51" x14ac:dyDescent="0.2">
      <c r="B20" s="10" t="s">
        <v>92</v>
      </c>
      <c r="C20" s="10" t="s">
        <v>119</v>
      </c>
      <c r="D20" s="10" t="s">
        <v>42</v>
      </c>
      <c r="E20" s="10" t="s">
        <v>82</v>
      </c>
      <c r="F20" s="10" t="s">
        <v>43</v>
      </c>
      <c r="G20" s="10" t="s">
        <v>127</v>
      </c>
      <c r="H20" s="10" t="s">
        <v>52</v>
      </c>
      <c r="I20" s="10" t="s">
        <v>137</v>
      </c>
      <c r="J20" s="10" t="s">
        <v>141</v>
      </c>
      <c r="K20" s="10" t="s">
        <v>47</v>
      </c>
      <c r="L20" s="10" t="s">
        <v>142</v>
      </c>
      <c r="M20" s="10" t="s">
        <v>54</v>
      </c>
    </row>
    <row r="21" spans="2:13" s="10" customFormat="1" ht="36" customHeight="1" x14ac:dyDescent="0.2">
      <c r="B21" s="10" t="s">
        <v>93</v>
      </c>
      <c r="C21" s="10" t="s">
        <v>120</v>
      </c>
      <c r="D21" s="10" t="s">
        <v>42</v>
      </c>
      <c r="E21" s="10" t="s">
        <v>82</v>
      </c>
      <c r="F21" s="10" t="s">
        <v>43</v>
      </c>
      <c r="G21" s="10" t="s">
        <v>126</v>
      </c>
      <c r="H21" s="10" t="s">
        <v>52</v>
      </c>
      <c r="I21" s="10" t="s">
        <v>138</v>
      </c>
      <c r="J21" s="10" t="s">
        <v>141</v>
      </c>
      <c r="K21" s="10" t="s">
        <v>47</v>
      </c>
      <c r="L21" s="10" t="s">
        <v>142</v>
      </c>
      <c r="M21" s="10" t="s">
        <v>54</v>
      </c>
    </row>
    <row r="22" spans="2:13" s="10" customFormat="1" ht="63.75" x14ac:dyDescent="0.2">
      <c r="B22" s="10" t="s">
        <v>94</v>
      </c>
      <c r="C22" s="10" t="s">
        <v>122</v>
      </c>
      <c r="D22" s="10" t="s">
        <v>42</v>
      </c>
      <c r="E22" s="10" t="s">
        <v>82</v>
      </c>
      <c r="F22" s="10" t="s">
        <v>43</v>
      </c>
      <c r="G22" s="10" t="s">
        <v>125</v>
      </c>
      <c r="H22" s="10" t="s">
        <v>52</v>
      </c>
      <c r="I22" s="10" t="s">
        <v>139</v>
      </c>
      <c r="J22" s="10" t="s">
        <v>141</v>
      </c>
      <c r="K22" s="10" t="s">
        <v>47</v>
      </c>
      <c r="L22" s="10" t="s">
        <v>142</v>
      </c>
      <c r="M22" s="10" t="s">
        <v>54</v>
      </c>
    </row>
    <row r="23" spans="2:13" s="10" customFormat="1" ht="36" customHeight="1" x14ac:dyDescent="0.2">
      <c r="B23" s="10" t="s">
        <v>95</v>
      </c>
      <c r="C23" s="10" t="s">
        <v>123</v>
      </c>
      <c r="D23" s="10" t="s">
        <v>42</v>
      </c>
      <c r="E23" s="10" t="s">
        <v>82</v>
      </c>
      <c r="F23" s="10" t="s">
        <v>43</v>
      </c>
      <c r="G23" s="10" t="s">
        <v>124</v>
      </c>
      <c r="H23" s="10" t="s">
        <v>52</v>
      </c>
      <c r="I23" s="10" t="s">
        <v>140</v>
      </c>
      <c r="J23" s="10" t="s">
        <v>141</v>
      </c>
      <c r="K23" s="10" t="s">
        <v>47</v>
      </c>
      <c r="L23" s="10" t="s">
        <v>142</v>
      </c>
      <c r="M23" s="10" t="s">
        <v>54</v>
      </c>
    </row>
    <row r="24" spans="2:13" s="10" customFormat="1" ht="38.25" x14ac:dyDescent="0.2">
      <c r="B24" s="10" t="s">
        <v>101</v>
      </c>
      <c r="C24" s="10" t="s">
        <v>96</v>
      </c>
      <c r="D24" s="10" t="s">
        <v>42</v>
      </c>
      <c r="E24" s="10" t="s">
        <v>82</v>
      </c>
      <c r="F24" s="10" t="s">
        <v>43</v>
      </c>
      <c r="G24" s="10" t="s">
        <v>97</v>
      </c>
      <c r="H24" s="10" t="s">
        <v>52</v>
      </c>
      <c r="I24" s="10" t="s">
        <v>98</v>
      </c>
      <c r="J24" s="10" t="s">
        <v>141</v>
      </c>
      <c r="K24" s="10" t="s">
        <v>47</v>
      </c>
      <c r="L24" s="10" t="s">
        <v>142</v>
      </c>
      <c r="M24" s="10" t="s">
        <v>54</v>
      </c>
    </row>
    <row r="25" spans="2:13" s="10" customFormat="1" ht="89.25" x14ac:dyDescent="0.2">
      <c r="B25" s="10" t="s">
        <v>102</v>
      </c>
      <c r="C25" s="10" t="s">
        <v>99</v>
      </c>
      <c r="D25" s="10" t="s">
        <v>42</v>
      </c>
      <c r="E25" s="10" t="s">
        <v>82</v>
      </c>
      <c r="F25" s="10" t="s">
        <v>43</v>
      </c>
      <c r="G25" s="10" t="s">
        <v>104</v>
      </c>
      <c r="H25" s="10" t="s">
        <v>52</v>
      </c>
      <c r="I25" s="10" t="s">
        <v>105</v>
      </c>
      <c r="J25" s="10" t="s">
        <v>141</v>
      </c>
      <c r="K25" s="10" t="s">
        <v>47</v>
      </c>
      <c r="L25" s="10" t="s">
        <v>142</v>
      </c>
      <c r="M25" s="10" t="s">
        <v>54</v>
      </c>
    </row>
    <row r="26" spans="2:13" s="10" customFormat="1" ht="76.5" x14ac:dyDescent="0.2">
      <c r="B26" s="10" t="s">
        <v>117</v>
      </c>
      <c r="C26" s="10" t="s">
        <v>100</v>
      </c>
      <c r="D26" s="10" t="s">
        <v>42</v>
      </c>
      <c r="E26" s="10" t="s">
        <v>82</v>
      </c>
      <c r="F26" s="10" t="s">
        <v>43</v>
      </c>
      <c r="G26" s="10" t="s">
        <v>107</v>
      </c>
      <c r="H26" s="10" t="s">
        <v>52</v>
      </c>
      <c r="I26" s="10" t="s">
        <v>106</v>
      </c>
      <c r="J26" s="10" t="s">
        <v>141</v>
      </c>
      <c r="K26" s="10" t="s">
        <v>47</v>
      </c>
      <c r="L26" s="10" t="s">
        <v>142</v>
      </c>
      <c r="M26" s="10" t="s">
        <v>54</v>
      </c>
    </row>
    <row r="27" spans="2:13" x14ac:dyDescent="0.2">
      <c r="B27" s="10"/>
      <c r="C27" s="10"/>
      <c r="D27" s="10"/>
      <c r="E27" s="10"/>
      <c r="F27" s="10"/>
      <c r="G27" s="10"/>
      <c r="H27" s="10"/>
      <c r="I27" s="10"/>
      <c r="J27" s="10"/>
      <c r="K27" s="10"/>
      <c r="L27" s="10"/>
      <c r="M27" s="10"/>
    </row>
  </sheetData>
  <mergeCells count="1">
    <mergeCell ref="B2:M2"/>
  </mergeCells>
  <phoneticPr fontId="2" type="noConversion"/>
  <pageMargins left="0.7" right="0.7" top="0.75" bottom="0.75" header="0.3" footer="0.3"/>
  <pageSetup paperSize="9" scale="74" fitToHeight="0" orientation="landscape" r:id="rId1"/>
  <drawing r:id="rId2"/>
  <tableParts count="1">
    <tablePart r:id="rId3"/>
  </tableParts>
  <extLst>
    <ext xmlns:x14="http://schemas.microsoft.com/office/spreadsheetml/2009/9/main" uri="{CCE6A557-97BC-4b89-ADB6-D9C93CAAB3DF}">
      <x14:dataValidations xmlns:xm="http://schemas.microsoft.com/office/excel/2006/main" count="7">
        <x14:dataValidation type="list" allowBlank="1" showInputMessage="1" showErrorMessage="1" xr:uid="{9E253E9F-6967-4CE3-BEC2-E6EF086F8550}">
          <x14:formula1>
            <xm:f>Params!$B$3:$B$10</xm:f>
          </x14:formula1>
          <xm:sqref>D4</xm:sqref>
        </x14:dataValidation>
        <x14:dataValidation type="list" allowBlank="1" showInputMessage="1" showErrorMessage="1" xr:uid="{63E576AD-8CDE-4B1B-8DEC-1BE67CC8DE6D}">
          <x14:formula1>
            <xm:f>Params!$D$3:$D$10</xm:f>
          </x14:formula1>
          <xm:sqref>F12:F26</xm:sqref>
        </x14:dataValidation>
        <x14:dataValidation type="list" allowBlank="1" showInputMessage="1" showErrorMessage="1" xr:uid="{C43D2377-E8A5-4EC4-8F56-2516FCD07F2A}">
          <x14:formula1>
            <xm:f>Params!$E$3:$E$12</xm:f>
          </x14:formula1>
          <xm:sqref>H12:H26</xm:sqref>
        </x14:dataValidation>
        <x14:dataValidation type="list" allowBlank="1" showInputMessage="1" showErrorMessage="1" xr:uid="{06B2A4DB-2A94-4B0B-971B-CDFF438E23BA}">
          <x14:formula1>
            <xm:f>Params!$G$3:$G$9</xm:f>
          </x14:formula1>
          <xm:sqref>M12:M26</xm:sqref>
        </x14:dataValidation>
        <x14:dataValidation type="list" allowBlank="1" showInputMessage="1" showErrorMessage="1" xr:uid="{1F2CF1C1-BE35-4DC9-A975-F49F788F3D6A}">
          <x14:formula1>
            <xm:f>Params!$H$3:$H$6</xm:f>
          </x14:formula1>
          <xm:sqref>K12:K26</xm:sqref>
        </x14:dataValidation>
        <x14:dataValidation type="list" allowBlank="1" showInputMessage="1" showErrorMessage="1" xr:uid="{63FB3CBD-0303-4DD5-A1D9-0AE10EE7B36C}">
          <x14:formula1>
            <xm:f>Params!$C$3:$C$10</xm:f>
          </x14:formula1>
          <xm:sqref>D12:D26</xm:sqref>
        </x14:dataValidation>
        <x14:dataValidation type="list" allowBlank="1" showInputMessage="1" showErrorMessage="1" xr:uid="{ACD971DD-EBC0-49A2-8B0F-955749BFC348}">
          <x14:formula1>
            <xm:f>Params!$I$3:$I$19</xm:f>
          </x14:formula1>
          <xm:sqref>E12:E26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013E-CD05-42BB-8D47-11438F5D0F13}">
  <sheetPr>
    <pageSetUpPr fitToPage="1"/>
  </sheetPr>
  <dimension ref="A2:G16"/>
  <sheetViews>
    <sheetView zoomScale="80" zoomScaleNormal="80" workbookViewId="0">
      <selection activeCell="C15" sqref="C15"/>
    </sheetView>
  </sheetViews>
  <sheetFormatPr baseColWidth="10" defaultColWidth="11.42578125" defaultRowHeight="15" x14ac:dyDescent="0.25"/>
  <cols>
    <col min="1" max="1" width="12" style="2" customWidth="1"/>
    <col min="2" max="2" width="10.140625" style="2" customWidth="1"/>
    <col min="3" max="3" width="11.42578125" style="2"/>
    <col min="4" max="4" width="58.28515625" style="2" customWidth="1"/>
    <col min="5" max="5" width="15.85546875" style="2" customWidth="1"/>
    <col min="6" max="6" width="22.28515625" style="2" customWidth="1"/>
    <col min="7" max="7" width="16.5703125" style="2" customWidth="1"/>
    <col min="8" max="16384" width="11.42578125" style="2"/>
  </cols>
  <sheetData>
    <row r="2" spans="1:7" ht="15.75" thickBot="1" x14ac:dyDescent="0.3"/>
    <row r="3" spans="1:7" ht="24" customHeight="1" thickBot="1" x14ac:dyDescent="0.3">
      <c r="A3" s="2" t="s">
        <v>31</v>
      </c>
      <c r="B3" s="32" t="s">
        <v>0</v>
      </c>
      <c r="C3" s="33"/>
      <c r="D3" s="33"/>
      <c r="E3" s="33"/>
      <c r="F3" s="33"/>
      <c r="G3" s="34"/>
    </row>
    <row r="4" spans="1:7" x14ac:dyDescent="0.25">
      <c r="B4" s="4"/>
      <c r="C4" s="5"/>
      <c r="D4" s="5"/>
      <c r="E4" s="5"/>
      <c r="F4" s="5"/>
      <c r="G4" s="5"/>
    </row>
    <row r="5" spans="1:7" x14ac:dyDescent="0.25">
      <c r="B5" s="12" t="str">
        <f>'Gestion Exigences'!B5</f>
        <v>Client</v>
      </c>
      <c r="D5" s="12" t="str">
        <f>'Gestion Exigences'!D5</f>
        <v>HMI</v>
      </c>
      <c r="E5" s="5"/>
      <c r="F5" s="5"/>
      <c r="G5" s="5"/>
    </row>
    <row r="6" spans="1:7" x14ac:dyDescent="0.25">
      <c r="B6" s="12" t="str">
        <f>'Gestion Exigences'!B6</f>
        <v>Projet</v>
      </c>
      <c r="D6" s="12" t="str">
        <f>'Gestion Exigences'!D6</f>
        <v>Digitalisation Usine</v>
      </c>
      <c r="E6" s="5"/>
      <c r="F6" s="5"/>
      <c r="G6" s="5"/>
    </row>
    <row r="7" spans="1:7" x14ac:dyDescent="0.25">
      <c r="B7" s="12" t="e">
        <f>'Gestion Exigences'!#REF!</f>
        <v>#REF!</v>
      </c>
      <c r="D7" s="12" t="e">
        <f>'Gestion Exigences'!#REF!</f>
        <v>#REF!</v>
      </c>
      <c r="E7" s="5"/>
      <c r="F7" s="5"/>
      <c r="G7" s="5"/>
    </row>
    <row r="8" spans="1:7" x14ac:dyDescent="0.25">
      <c r="B8" s="12" t="e">
        <f>'Gestion Exigences'!#REF!</f>
        <v>#REF!</v>
      </c>
      <c r="D8" s="12" t="e">
        <f>'Gestion Exigences'!#REF!</f>
        <v>#REF!</v>
      </c>
      <c r="E8" s="5"/>
      <c r="F8" s="5"/>
      <c r="G8" s="5"/>
    </row>
    <row r="9" spans="1:7" x14ac:dyDescent="0.25">
      <c r="B9" s="4"/>
      <c r="C9" s="12"/>
      <c r="D9" s="5"/>
      <c r="E9" s="5"/>
      <c r="F9" s="5"/>
      <c r="G9" s="5"/>
    </row>
    <row r="10" spans="1:7" x14ac:dyDescent="0.25">
      <c r="B10" s="21" t="str">
        <f>'Gestion Exigences'!B8</f>
        <v>Réf Modèle Document</v>
      </c>
      <c r="C10" s="22" t="str">
        <f>'Gestion Exigences'!D8</f>
        <v>MD203</v>
      </c>
      <c r="D10" s="5"/>
      <c r="E10" s="5"/>
      <c r="F10" s="5"/>
      <c r="G10" s="5"/>
    </row>
    <row r="11" spans="1:7" x14ac:dyDescent="0.25">
      <c r="B11" s="21" t="str">
        <f>'Gestion Exigences'!B9</f>
        <v>Version Modèle Document</v>
      </c>
      <c r="C11" s="22" t="str">
        <f>'Gestion Exigences'!D9</f>
        <v>V1.5</v>
      </c>
      <c r="D11" s="5"/>
      <c r="E11" s="5"/>
      <c r="F11" s="5"/>
      <c r="G11" s="5"/>
    </row>
    <row r="12" spans="1:7" x14ac:dyDescent="0.25">
      <c r="B12" s="4"/>
      <c r="C12" s="5"/>
      <c r="D12" s="5"/>
      <c r="E12" s="5"/>
      <c r="F12" s="5"/>
      <c r="G12" s="5"/>
    </row>
    <row r="13" spans="1:7" x14ac:dyDescent="0.25">
      <c r="B13" s="13" t="s">
        <v>32</v>
      </c>
      <c r="C13" s="13" t="s">
        <v>33</v>
      </c>
      <c r="D13" s="13" t="s">
        <v>34</v>
      </c>
      <c r="E13" s="13" t="s">
        <v>35</v>
      </c>
      <c r="F13" s="13" t="s">
        <v>36</v>
      </c>
      <c r="G13" s="13" t="s">
        <v>37</v>
      </c>
    </row>
    <row r="14" spans="1:7" ht="29.45" customHeight="1" x14ac:dyDescent="0.25">
      <c r="B14" s="6" t="s">
        <v>89</v>
      </c>
      <c r="C14" s="7">
        <v>45414</v>
      </c>
      <c r="D14" s="19" t="s">
        <v>143</v>
      </c>
      <c r="E14" s="6" t="s">
        <v>142</v>
      </c>
      <c r="F14" s="18" t="s">
        <v>144</v>
      </c>
      <c r="G14" s="6" t="s">
        <v>23</v>
      </c>
    </row>
    <row r="15" spans="1:7" x14ac:dyDescent="0.25">
      <c r="C15" s="28"/>
    </row>
    <row r="16" spans="1:7" x14ac:dyDescent="0.25">
      <c r="C16" s="28"/>
    </row>
  </sheetData>
  <mergeCells count="1">
    <mergeCell ref="B3:G3"/>
  </mergeCells>
  <pageMargins left="0.7" right="0.7" top="0.75" bottom="0.75" header="0.3" footer="0.3"/>
  <pageSetup paperSize="9" scale="95"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7DE68-97A3-4D67-BA62-C4208BED1331}">
  <dimension ref="B2:I22"/>
  <sheetViews>
    <sheetView workbookViewId="0">
      <selection activeCell="B4" sqref="B4"/>
    </sheetView>
  </sheetViews>
  <sheetFormatPr baseColWidth="10" defaultColWidth="11.42578125" defaultRowHeight="12.75" x14ac:dyDescent="0.2"/>
  <cols>
    <col min="1" max="2" width="11.42578125" style="10"/>
    <col min="3" max="4" width="19.7109375" style="10" customWidth="1"/>
    <col min="5" max="5" width="23.85546875" style="10" customWidth="1"/>
    <col min="6" max="6" width="14.42578125" style="10" customWidth="1"/>
    <col min="7" max="7" width="23.85546875" style="10" customWidth="1"/>
    <col min="8" max="8" width="25.140625" style="10" customWidth="1"/>
    <col min="9" max="9" width="20.42578125" style="10" customWidth="1"/>
    <col min="10" max="16384" width="11.42578125" style="10"/>
  </cols>
  <sheetData>
    <row r="2" spans="2:9" ht="25.5" x14ac:dyDescent="0.2">
      <c r="B2" s="11" t="s">
        <v>1</v>
      </c>
      <c r="C2" s="11" t="s">
        <v>12</v>
      </c>
      <c r="D2" s="11" t="s">
        <v>38</v>
      </c>
      <c r="E2" s="11" t="s">
        <v>16</v>
      </c>
      <c r="F2" s="11" t="s">
        <v>39</v>
      </c>
      <c r="G2" s="11" t="s">
        <v>21</v>
      </c>
      <c r="H2" s="11" t="s">
        <v>40</v>
      </c>
      <c r="I2" s="11" t="s">
        <v>13</v>
      </c>
    </row>
    <row r="3" spans="2:9" x14ac:dyDescent="0.2">
      <c r="B3" s="10" t="s">
        <v>41</v>
      </c>
      <c r="C3" s="10" t="s">
        <v>42</v>
      </c>
      <c r="D3" s="10" t="s">
        <v>43</v>
      </c>
      <c r="E3" s="10" t="s">
        <v>44</v>
      </c>
      <c r="F3" s="10" t="s">
        <v>45</v>
      </c>
      <c r="G3" s="10" t="s">
        <v>46</v>
      </c>
      <c r="H3" s="10" t="s">
        <v>47</v>
      </c>
      <c r="I3" s="10" t="s">
        <v>48</v>
      </c>
    </row>
    <row r="4" spans="2:9" x14ac:dyDescent="0.2">
      <c r="B4" s="10" t="s">
        <v>49</v>
      </c>
      <c r="C4" s="10" t="s">
        <v>50</v>
      </c>
      <c r="D4" s="10" t="s">
        <v>51</v>
      </c>
      <c r="E4" s="10" t="s">
        <v>52</v>
      </c>
      <c r="F4" s="10" t="s">
        <v>53</v>
      </c>
      <c r="G4" s="10" t="s">
        <v>54</v>
      </c>
      <c r="H4" s="10" t="s">
        <v>55</v>
      </c>
      <c r="I4" s="10" t="s">
        <v>56</v>
      </c>
    </row>
    <row r="5" spans="2:9" x14ac:dyDescent="0.2">
      <c r="B5" s="10" t="s">
        <v>57</v>
      </c>
      <c r="C5" s="10" t="s">
        <v>58</v>
      </c>
      <c r="D5" s="10" t="s">
        <v>59</v>
      </c>
      <c r="E5" s="10" t="s">
        <v>60</v>
      </c>
      <c r="F5" s="10" t="s">
        <v>23</v>
      </c>
      <c r="G5" s="10" t="s">
        <v>23</v>
      </c>
      <c r="H5" s="10" t="s">
        <v>23</v>
      </c>
      <c r="I5" s="10" t="s">
        <v>61</v>
      </c>
    </row>
    <row r="6" spans="2:9" x14ac:dyDescent="0.2">
      <c r="B6" s="10" t="s">
        <v>62</v>
      </c>
      <c r="C6" s="10" t="s">
        <v>63</v>
      </c>
      <c r="D6" s="10" t="s">
        <v>64</v>
      </c>
      <c r="E6" s="10" t="s">
        <v>65</v>
      </c>
      <c r="I6" s="10" t="s">
        <v>66</v>
      </c>
    </row>
    <row r="7" spans="2:9" x14ac:dyDescent="0.2">
      <c r="B7" s="10" t="s">
        <v>67</v>
      </c>
      <c r="C7" s="10" t="s">
        <v>68</v>
      </c>
      <c r="D7" s="10" t="s">
        <v>69</v>
      </c>
      <c r="E7" s="10" t="s">
        <v>70</v>
      </c>
      <c r="I7" s="10" t="s">
        <v>71</v>
      </c>
    </row>
    <row r="8" spans="2:9" x14ac:dyDescent="0.2">
      <c r="B8" s="10" t="s">
        <v>72</v>
      </c>
      <c r="C8" s="10" t="s">
        <v>73</v>
      </c>
      <c r="E8" s="10" t="s">
        <v>74</v>
      </c>
      <c r="I8" s="10" t="s">
        <v>75</v>
      </c>
    </row>
    <row r="9" spans="2:9" x14ac:dyDescent="0.2">
      <c r="B9" s="10" t="s">
        <v>2</v>
      </c>
      <c r="E9" s="10" t="s">
        <v>76</v>
      </c>
      <c r="I9" s="10" t="s">
        <v>77</v>
      </c>
    </row>
    <row r="10" spans="2:9" x14ac:dyDescent="0.2">
      <c r="I10" s="10" t="s">
        <v>78</v>
      </c>
    </row>
    <row r="11" spans="2:9" x14ac:dyDescent="0.2">
      <c r="I11" s="10" t="s">
        <v>79</v>
      </c>
    </row>
    <row r="13" spans="2:9" x14ac:dyDescent="0.2">
      <c r="I13" s="10" t="s">
        <v>80</v>
      </c>
    </row>
    <row r="14" spans="2:9" x14ac:dyDescent="0.2">
      <c r="I14" s="10" t="s">
        <v>81</v>
      </c>
    </row>
    <row r="15" spans="2:9" x14ac:dyDescent="0.2">
      <c r="I15" s="10" t="s">
        <v>82</v>
      </c>
    </row>
    <row r="16" spans="2:9" x14ac:dyDescent="0.2">
      <c r="I16" s="10" t="s">
        <v>83</v>
      </c>
    </row>
    <row r="17" spans="9:9" x14ac:dyDescent="0.2">
      <c r="I17" s="10" t="s">
        <v>84</v>
      </c>
    </row>
    <row r="18" spans="9:9" x14ac:dyDescent="0.2">
      <c r="I18" s="10" t="s">
        <v>85</v>
      </c>
    </row>
    <row r="19" spans="9:9" x14ac:dyDescent="0.2">
      <c r="I19" s="10" t="s">
        <v>86</v>
      </c>
    </row>
    <row r="21" spans="9:9" x14ac:dyDescent="0.2">
      <c r="I21" s="10" t="s">
        <v>87</v>
      </c>
    </row>
    <row r="22" spans="9:9" ht="25.5" x14ac:dyDescent="0.2">
      <c r="I22" s="10" t="s">
        <v>88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3b908ec-9e92-424c-a4ad-3174bac6e888" xsi:nil="true"/>
    <SharedWithUsers xmlns="43b908ec-9e92-424c-a4ad-3174bac6e888">
      <UserInfo>
        <DisplayName/>
        <AccountId xsi:nil="true"/>
        <AccountType/>
      </UserInfo>
    </SharedWithUsers>
    <lcf76f155ced4ddcb4097134ff3c332f xmlns="5f2f9e80-f74a-40c7-b145-b94d8e4966f0">
      <Terms xmlns="http://schemas.microsoft.com/office/infopath/2007/PartnerControls"/>
    </lcf76f155ced4ddcb4097134ff3c332f>
    <MediaLengthInSeconds xmlns="5f2f9e80-f74a-40c7-b145-b94d8e4966f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80D1F9D018AF642BD71F6EA77BA1FCC" ma:contentTypeVersion="15" ma:contentTypeDescription="Crée un document." ma:contentTypeScope="" ma:versionID="97fa8e5381d4afd3c2616966314fa889">
  <xsd:schema xmlns:xsd="http://www.w3.org/2001/XMLSchema" xmlns:xs="http://www.w3.org/2001/XMLSchema" xmlns:p="http://schemas.microsoft.com/office/2006/metadata/properties" xmlns:ns2="5f2f9e80-f74a-40c7-b145-b94d8e4966f0" xmlns:ns3="43b908ec-9e92-424c-a4ad-3174bac6e888" targetNamespace="http://schemas.microsoft.com/office/2006/metadata/properties" ma:root="true" ma:fieldsID="035e21461a3455a1fa8f9ac9d0103124" ns2:_="" ns3:_="">
    <xsd:import namespace="5f2f9e80-f74a-40c7-b145-b94d8e4966f0"/>
    <xsd:import namespace="43b908ec-9e92-424c-a4ad-3174bac6e8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2f9e80-f74a-40c7-b145-b94d8e4966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0894d81-c9a7-44d3-b7de-4b9756e0b1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b908ec-9e92-424c-a4ad-3174bac6e8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9cff33-3cb1-46cb-abfa-a403cc2b0291}" ma:internalName="TaxCatchAll" ma:showField="CatchAllData" ma:web="43b908ec-9e92-424c-a4ad-3174bac6e88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5503822-DF13-4051-A489-72B75648E37A}">
  <ds:schemaRefs>
    <ds:schemaRef ds:uri="http://purl.org/dc/elements/1.1/"/>
    <ds:schemaRef ds:uri="http://purl.org/dc/terms/"/>
    <ds:schemaRef ds:uri="http://purl.org/dc/dcmitype/"/>
    <ds:schemaRef ds:uri="http://schemas.microsoft.com/office/infopath/2007/PartnerControls"/>
    <ds:schemaRef ds:uri="http://www.w3.org/XML/1998/namespace"/>
    <ds:schemaRef ds:uri="98d07ac0-315d-4ba4-a3f8-0e1dfb824eb0"/>
    <ds:schemaRef ds:uri="http://schemas.microsoft.com/office/2006/documentManagement/types"/>
    <ds:schemaRef ds:uri="http://schemas.openxmlformats.org/package/2006/metadata/core-properties"/>
    <ds:schemaRef ds:uri="f681d081-fe2e-4389-8dd1-c7421b0f7b61"/>
    <ds:schemaRef ds:uri="http://schemas.microsoft.com/office/2006/metadata/properties"/>
  </ds:schemaRefs>
</ds:datastoreItem>
</file>

<file path=customXml/itemProps2.xml><?xml version="1.0" encoding="utf-8"?>
<ds:datastoreItem xmlns:ds="http://schemas.openxmlformats.org/officeDocument/2006/customXml" ds:itemID="{431C8B5B-7A06-4686-9F8A-E8F24EECD8B3}">
  <ds:schemaRefs>
    <ds:schemaRef ds:uri="http://schemas.microsoft.com/sharepoint/v3/contenttype/forms"/>
  </ds:schemaRefs>
</ds:datastoreItem>
</file>

<file path=customXml/itemProps3.xml><?xml version="1.0" encoding="utf-8"?>
<ds:datastoreItem xmlns:ds="http://schemas.openxmlformats.org/officeDocument/2006/customXml" ds:itemID="{93729574-B043-4B3B-9FF3-2BEEA771154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2</vt:i4>
      </vt:variant>
    </vt:vector>
  </HeadingPairs>
  <TitlesOfParts>
    <vt:vector size="5" baseType="lpstr">
      <vt:lpstr>Gestion Exigences</vt:lpstr>
      <vt:lpstr>Modifs Doc</vt:lpstr>
      <vt:lpstr>Params</vt:lpstr>
      <vt:lpstr>'Gestion Exigences'!Zone_d_impression</vt:lpstr>
      <vt:lpstr>'Modifs Doc'!Zone_d_impression</vt:lpstr>
    </vt:vector>
  </TitlesOfParts>
  <Manager/>
  <Company>DACTEM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MEJRI Ahmed</dc:creator>
  <cp:keywords/>
  <dc:description/>
  <cp:lastModifiedBy>Mahdi  Besbes</cp:lastModifiedBy>
  <cp:revision/>
  <dcterms:created xsi:type="dcterms:W3CDTF">2000-07-05T17:03:55Z</dcterms:created>
  <dcterms:modified xsi:type="dcterms:W3CDTF">2024-05-02T09:40:28Z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fdf0aad6-f24a-491d-833a-8fe8a48f4ca6</vt:lpwstr>
  </property>
  <property fmtid="{D5CDD505-2E9C-101B-9397-08002B2CF9AE}" pid="3" name="ContentTypeId">
    <vt:lpwstr>0x010100080D1F9D018AF642BD71F6EA77BA1FCC</vt:lpwstr>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y fmtid="{D5CDD505-2E9C-101B-9397-08002B2CF9AE}" pid="11" name="Order">
    <vt:r8>12812100</vt:r8>
  </property>
  <property fmtid="{D5CDD505-2E9C-101B-9397-08002B2CF9AE}" pid="12" name="_ColorHex">
    <vt:lpwstr/>
  </property>
  <property fmtid="{D5CDD505-2E9C-101B-9397-08002B2CF9AE}" pid="13" name="_ColorTag">
    <vt:lpwstr/>
  </property>
  <property fmtid="{D5CDD505-2E9C-101B-9397-08002B2CF9AE}" pid="14" name="_Emoji">
    <vt:lpwstr/>
  </property>
  <property fmtid="{D5CDD505-2E9C-101B-9397-08002B2CF9AE}" pid="15" name="_CopySource">
    <vt:lpwstr>https://addixo.sharepoint.com/COM/Documents partages/02 Prospects/HMI/8 SF/01 Digitalisation usine/2 Préparation Offre/MD203- Exigences Projet Digitalisation Usine HMI  V1.0.xlsx</vt:lpwstr>
  </property>
</Properties>
</file>