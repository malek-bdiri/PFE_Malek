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SystmeQualit/Documents partages/1 Système Qualité/03 SF Solutions/2 Espace de Travail/0 Modèles &amp; Ressources/1 En Cours Préparation/"/>
    </mc:Choice>
  </mc:AlternateContent>
  <xr:revisionPtr revIDLastSave="10" documentId="8_{8D1B8D79-B258-4392-8AD8-97C9A82F4B95}" xr6:coauthVersionLast="47" xr6:coauthVersionMax="47" xr10:uidLastSave="{5C83B5AB-3A11-43F9-853C-B63CBA83CF1F}"/>
  <bookViews>
    <workbookView xWindow="-110" yWindow="-110" windowWidth="19420" windowHeight="10300" tabRatio="620" firstSheet="1" activeTab="1" xr2:uid="{00000000-000D-0000-FFFF-FFFF00000000}"/>
  </bookViews>
  <sheets>
    <sheet name="Fiche Client" sheetId="31" r:id="rId1"/>
    <sheet name="Gestion Exigences" sheetId="27" r:id="rId2"/>
    <sheet name="Modifs Doc" sheetId="29" r:id="rId3"/>
    <sheet name="Params" sheetId="30" r:id="rId4"/>
  </sheets>
  <definedNames>
    <definedName name="_xlnm.Print_Area" localSheetId="1">'Gestion Exigences'!$C$2:$I$16</definedName>
    <definedName name="_xlnm.Print_Area" localSheetId="2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27" l="1"/>
  <c r="P17" i="27" s="1"/>
  <c r="O18" i="27"/>
  <c r="P18" i="27" s="1"/>
  <c r="O19" i="27"/>
  <c r="P19" i="27" s="1"/>
  <c r="O20" i="27"/>
  <c r="P20" i="27" s="1"/>
  <c r="O21" i="27"/>
  <c r="P21" i="27" s="1"/>
  <c r="O22" i="27"/>
  <c r="P22" i="27" s="1"/>
  <c r="O23" i="27"/>
  <c r="P23" i="27" s="1"/>
  <c r="O24" i="27"/>
  <c r="P24" i="27" s="1"/>
  <c r="O25" i="27"/>
  <c r="P25" i="27" s="1"/>
  <c r="O26" i="27"/>
  <c r="P26" i="27" s="1"/>
  <c r="O27" i="27"/>
  <c r="P27" i="27" s="1"/>
  <c r="O28" i="27"/>
  <c r="P28" i="27" s="1"/>
  <c r="O29" i="27"/>
  <c r="P29" i="27" s="1"/>
  <c r="O30" i="27"/>
  <c r="P30" i="27" s="1"/>
  <c r="O31" i="27"/>
  <c r="P31" i="27" s="1"/>
  <c r="O32" i="27"/>
  <c r="P32" i="27" s="1"/>
  <c r="O33" i="27"/>
  <c r="P33" i="27" s="1"/>
  <c r="O34" i="27"/>
  <c r="P34" i="27" s="1"/>
  <c r="O35" i="27"/>
  <c r="P35" i="27" s="1"/>
  <c r="O36" i="27"/>
  <c r="P36" i="27" s="1"/>
  <c r="O37" i="27"/>
  <c r="P37" i="27" s="1"/>
  <c r="O38" i="27"/>
  <c r="P38" i="27" s="1"/>
  <c r="O39" i="27"/>
  <c r="P39" i="27" s="1"/>
  <c r="O40" i="27"/>
  <c r="P40" i="27" s="1"/>
  <c r="O41" i="27"/>
  <c r="P41" i="27" s="1"/>
  <c r="O42" i="27"/>
  <c r="P42" i="27" s="1"/>
  <c r="O43" i="27"/>
  <c r="P43" i="27" s="1"/>
  <c r="O44" i="27"/>
  <c r="P44" i="27" s="1"/>
  <c r="O45" i="27"/>
  <c r="P45" i="27" s="1"/>
  <c r="O46" i="27"/>
  <c r="P46" i="27" s="1"/>
  <c r="O47" i="27"/>
  <c r="P47" i="27" s="1"/>
  <c r="O48" i="27"/>
  <c r="P48" i="27" s="1"/>
  <c r="O49" i="27"/>
  <c r="P49" i="27" s="1"/>
  <c r="O50" i="27"/>
  <c r="P50" i="27" s="1"/>
  <c r="O51" i="27"/>
  <c r="P51" i="27" s="1"/>
  <c r="O52" i="27"/>
  <c r="P52" i="27" s="1"/>
  <c r="O53" i="27"/>
  <c r="P53" i="27" s="1"/>
  <c r="O54" i="27"/>
  <c r="P54" i="27" s="1"/>
  <c r="O55" i="27"/>
  <c r="P55" i="27" s="1"/>
  <c r="O56" i="27"/>
  <c r="P56" i="27" s="1"/>
  <c r="O57" i="27"/>
  <c r="P57" i="27" s="1"/>
  <c r="O59" i="27"/>
  <c r="P59" i="27" s="1"/>
  <c r="O58" i="27"/>
  <c r="P58" i="27" s="1"/>
  <c r="O14" i="27"/>
  <c r="P14" i="27" s="1"/>
  <c r="O15" i="27"/>
  <c r="P15" i="27" s="1"/>
  <c r="O16" i="27"/>
  <c r="P16" i="27" s="1"/>
  <c r="D5" i="29"/>
  <c r="D6" i="29"/>
  <c r="D7" i="29"/>
  <c r="D8" i="29"/>
  <c r="C10" i="29"/>
  <c r="C11" i="29"/>
  <c r="B6" i="29"/>
  <c r="B7" i="29"/>
  <c r="B8" i="29"/>
  <c r="B10" i="29"/>
  <c r="B11" i="29"/>
  <c r="B5" i="29"/>
  <c r="P60" i="27" l="1"/>
</calcChain>
</file>

<file path=xl/sharedStrings.xml><?xml version="1.0" encoding="utf-8"?>
<sst xmlns="http://schemas.openxmlformats.org/spreadsheetml/2006/main" count="193" uniqueCount="173">
  <si>
    <t>Client</t>
  </si>
  <si>
    <t>Secteur</t>
  </si>
  <si>
    <t>Nombre de ligne de production</t>
  </si>
  <si>
    <t>Nombre de machine</t>
  </si>
  <si>
    <t>Nombre de poste manuel</t>
  </si>
  <si>
    <t>Gestion Exigences Projet</t>
  </si>
  <si>
    <t>Chiffrage Réalisation (SF only)</t>
  </si>
  <si>
    <t>Revue et Vérification Pendant la Conception</t>
  </si>
  <si>
    <t>BU</t>
  </si>
  <si>
    <t>SF</t>
  </si>
  <si>
    <t>PEC AC</t>
  </si>
  <si>
    <t>Projet</t>
  </si>
  <si>
    <t>Digitalisation PEC AC</t>
  </si>
  <si>
    <t>Réf BPA du Devis</t>
  </si>
  <si>
    <t>S0-00xyz</t>
  </si>
  <si>
    <t>Zone de saisie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</si>
  <si>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</si>
  <si>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</si>
  <si>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</si>
  <si>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</si>
  <si>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</si>
  <si>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</si>
  <si>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</si>
  <si>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</si>
  <si>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Intitulé Exigence</t>
  </si>
  <si>
    <t>Nature</t>
  </si>
  <si>
    <t>Catégorie</t>
  </si>
  <si>
    <t>Exigence idenfiée pendant la phase</t>
  </si>
  <si>
    <t>Description de l'exigence</t>
  </si>
  <si>
    <t>Source</t>
  </si>
  <si>
    <t>Desciption de la solution MOMSOFT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</si>
  <si>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</si>
  <si>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</si>
  <si>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</si>
  <si>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</si>
  <si>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</si>
  <si>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</si>
  <si>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</si>
  <si>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</si>
  <si>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</si>
  <si>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</si>
  <si>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</si>
  <si>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</si>
  <si>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</si>
  <si>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</si>
  <si>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Gérer plusieurs Sites</t>
  </si>
  <si>
    <t>N/A</t>
  </si>
  <si>
    <t>E006</t>
  </si>
  <si>
    <t>Gérer les familles de produit</t>
  </si>
  <si>
    <t>E007</t>
  </si>
  <si>
    <t>Gérer les sous familles de produit</t>
  </si>
  <si>
    <t>E008</t>
  </si>
  <si>
    <t>Gérer des catégories de produit</t>
  </si>
  <si>
    <t>E009</t>
  </si>
  <si>
    <t>Déclarer la production par Lot</t>
  </si>
  <si>
    <t>E010</t>
  </si>
  <si>
    <t>Déclarer la production par Palette</t>
  </si>
  <si>
    <t>E011</t>
  </si>
  <si>
    <t>Déclarer la production par caisse</t>
  </si>
  <si>
    <t>E012</t>
  </si>
  <si>
    <t>Gérer les OF</t>
  </si>
  <si>
    <t>E013</t>
  </si>
  <si>
    <t>Gérer les fiches de démarrage</t>
  </si>
  <si>
    <t>E014</t>
  </si>
  <si>
    <t>Gérer les fiches de suivi</t>
  </si>
  <si>
    <t>E015</t>
  </si>
  <si>
    <t>Gérer les commandes</t>
  </si>
  <si>
    <t>E016</t>
  </si>
  <si>
    <t>MSP</t>
  </si>
  <si>
    <t>E017</t>
  </si>
  <si>
    <t>QRQC</t>
  </si>
  <si>
    <t>E018</t>
  </si>
  <si>
    <t>6S</t>
  </si>
  <si>
    <t>E019</t>
  </si>
  <si>
    <t>Gestion de stock</t>
  </si>
  <si>
    <t>E020</t>
  </si>
  <si>
    <t>Suivi énergie</t>
  </si>
  <si>
    <t>E021</t>
  </si>
  <si>
    <t>Instruction de travail</t>
  </si>
  <si>
    <t>E022</t>
  </si>
  <si>
    <t>Vue 360°</t>
  </si>
  <si>
    <t>E023</t>
  </si>
  <si>
    <t>Tableau de bord</t>
  </si>
  <si>
    <t>E024</t>
  </si>
  <si>
    <t>E025</t>
  </si>
  <si>
    <t>Configuration des opérations ( artcile et sous articles)</t>
  </si>
  <si>
    <t>E026</t>
  </si>
  <si>
    <t>Gestion des opérations</t>
  </si>
  <si>
    <t xml:space="preserve">suivi des temps opératoires , prod et qualité par opération </t>
  </si>
  <si>
    <t>E027</t>
  </si>
  <si>
    <t xml:space="preserve">Suivi performance par opérateur </t>
  </si>
  <si>
    <t>E028</t>
  </si>
  <si>
    <t xml:space="preserve">Inétgartion des OF de tous les sites PEC </t>
  </si>
  <si>
    <t>E029</t>
  </si>
  <si>
    <t>Module qualité</t>
  </si>
  <si>
    <t>E030</t>
  </si>
  <si>
    <t>gestion des sites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</si>
  <si>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</si>
  <si>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</si>
  <si>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</si>
  <si>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</si>
  <si>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</si>
  <si>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</si>
  <si>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</si>
  <si>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</si>
  <si>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</si>
  <si>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</si>
  <si>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</si>
  <si>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</si>
  <si>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</si>
  <si>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</si>
  <si>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</si>
  <si>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</si>
  <si>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</si>
  <si>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</si>
  <si>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</si>
  <si>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</si>
  <si>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</si>
  <si>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</si>
  <si>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</si>
  <si>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</si>
  <si>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</si>
  <si>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</si>
  <si>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</si>
  <si>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</si>
  <si>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 xml:space="preserve">Version initiale </t>
  </si>
  <si>
    <t>Nihel K.</t>
  </si>
  <si>
    <t xml:space="preserve">Mahdi B. + Ferjania BA </t>
  </si>
  <si>
    <t>Imed A.</t>
  </si>
  <si>
    <t>V1.1</t>
  </si>
  <si>
    <t xml:space="preserve"> Adaptation des paramètres et du logo</t>
  </si>
  <si>
    <t>Moatez D.</t>
  </si>
  <si>
    <t>Mahdi B.</t>
  </si>
  <si>
    <t>V1.2</t>
  </si>
  <si>
    <t xml:space="preserve"> Adaptation du logo</t>
  </si>
  <si>
    <t>Exigence identifiée pendant la phase</t>
  </si>
  <si>
    <t>Oui/Non</t>
  </si>
  <si>
    <t>Statut Interne</t>
  </si>
  <si>
    <t>Fonctionnelle</t>
  </si>
  <si>
    <t>Commerciale</t>
  </si>
  <si>
    <t>CdC client</t>
  </si>
  <si>
    <t>Oui</t>
  </si>
  <si>
    <t>Validée par le client</t>
  </si>
  <si>
    <t>Validée</t>
  </si>
  <si>
    <t>*** SF</t>
  </si>
  <si>
    <t>R&amp;D</t>
  </si>
  <si>
    <t>Performance</t>
  </si>
  <si>
    <t>Conception</t>
  </si>
  <si>
    <t>Workshop/réunion client</t>
  </si>
  <si>
    <t>Non</t>
  </si>
  <si>
    <t>Non validée par client</t>
  </si>
  <si>
    <t>Non validée</t>
  </si>
  <si>
    <t>SF-Processus</t>
  </si>
  <si>
    <t>A définir</t>
  </si>
  <si>
    <t>Reglementaire</t>
  </si>
  <si>
    <t>Réalisation</t>
  </si>
  <si>
    <t>Workshop/réunion Interne</t>
  </si>
  <si>
    <t>SF-Fonctionnelle</t>
  </si>
  <si>
    <t>Sécurité</t>
  </si>
  <si>
    <t>Mise en œuvre</t>
  </si>
  <si>
    <t>Standards client</t>
  </si>
  <si>
    <t>SF-Connectivité Machine</t>
  </si>
  <si>
    <t>Standard Client</t>
  </si>
  <si>
    <t>Support et maintenance</t>
  </si>
  <si>
    <t>Standards MOMSOFT</t>
  </si>
  <si>
    <t>SF-Intégration SI</t>
  </si>
  <si>
    <t>Standard MOMSOFT</t>
  </si>
  <si>
    <t>Reglementation</t>
  </si>
  <si>
    <t>SF-Software</t>
  </si>
  <si>
    <t>Demande modification</t>
  </si>
  <si>
    <t>SF-Infra IT</t>
  </si>
  <si>
    <t>*** TC</t>
  </si>
  <si>
    <t>TC-Prestations sur site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</si>
</sst>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5" fillId="5" borderId="4" xfId="0" applyFont="1" applyFill="1" applyBorder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358589</xdr:colOff>
      <xdr:row>2</xdr:row>
      <xdr:rowOff>67237</xdr:rowOff>
    </xdr:from>
    <xdr:to>
      <xdr:col>2</xdr:col>
      <xdr:colOff>1498640</xdr:colOff>
      <xdr:row>2</xdr:row>
      <xdr:rowOff>713469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88CD8311-0E76-8DE2-2AA2-80DCD7775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1236" y="515472"/>
          <a:ext cx="1140051" cy="6462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V60" totalsRowCount="1" headerRowDxfId="51" dataDxfId="50">
  <autoFilter ref="B13:V59" xr:uid="{DDEA2C8B-EE0D-4C55-9256-CCC64E002CE6}"/>
  <tableColumns count="21">
    <tableColumn id="1" xr3:uid="{E467E0EE-CDAA-4FF5-85A8-CDC0B23A5AD9}" name="ID" dataDxfId="48" totalsRowDxfId="49"/>
    <tableColumn id="2" xr3:uid="{E53952AC-4972-47BD-8B1D-C7EF23088D0D}" name="Intitulé Exigence" dataDxfId="46" totalsRowDxfId="47"/>
    <tableColumn id="8" xr3:uid="{B2D0BC2C-C803-4015-8FA6-70F84517BDB2}" name="Nature" dataDxfId="44" totalsRowDxfId="45"/>
    <tableColumn id="7" xr3:uid="{24F2F0ED-022E-4EC1-91D8-BFE0E4F2FD36}" name="Catégorie" dataDxfId="42" totalsRowDxfId="43"/>
    <tableColumn id="10" xr3:uid="{1FF81CF1-6D35-421C-8767-9E7FA06FEE6A}" name="Exigence idenfiée pendant la phase" dataDxfId="40" totalsRowDxfId="41"/>
    <tableColumn id="3" xr3:uid="{E7621A68-9552-4853-96A5-92A226EA42DD}" name="Description de l'exigence" dataDxfId="38" totalsRowDxfId="39"/>
    <tableColumn id="9" xr3:uid="{E6EEEC82-3576-4980-94B3-1423906CE531}" name="Source" dataDxfId="36" totalsRowDxfId="37"/>
    <tableColumn id="16" xr3:uid="{1441554A-79F9-4040-9CF5-AEBFF7ADF7D1}" name="Desciption de la solution MOMSOFT" dataDxfId="34" totalsRowDxfId="35"/>
    <tableColumn id="17" xr3:uid="{D1BC9C86-C3CE-417F-AC83-FC4786A7656D}" name="Ecart entre exigence client et la solution proposée - préciser aussi les limites et hypothèses si applicable" dataDxfId="32" totalsRowDxfId="33"/>
    <tableColumn id="5" xr3:uid="{2649C3B7-E8B9-44F9-8883-E5BB6F91B4B1}" name="Validation Interne" dataDxfId="30" totalsRowDxfId="31"/>
    <tableColumn id="6" xr3:uid="{8CC493F8-0886-498D-AB98-B77300CC6510}" name="Validation Interne par:" dataDxfId="28" totalsRowDxfId="29"/>
    <tableColumn id="15" xr3:uid="{78231C60-0932-4386-925D-4C689A91C0E3}" name="Statut Client" dataDxfId="26" totalsRowDxfId="27"/>
    <tableColumn id="22" xr3:uid="{D944A0FD-E468-407F-91A6-BD8A29086A7B}" name="HJ Dev" dataDxfId="24" totalsRowDxfId="25"/>
    <tableColumn id="21" xr3:uid="{818C68C5-1CC3-4DC9-9BB8-2CB7816ABE9F}" name="HJ Analyse et Test" dataDxfId="22" totalsRowDxfId="23">
      <calculatedColumnFormula>Tableau3[[#This Row],[HJ Dev]]*(25%+25%)</calculatedColumnFormula>
    </tableColumn>
    <tableColumn id="20" xr3:uid="{81CB5860-4285-4425-ABF9-C91F3323BF25}" name="Total HJ" totalsRowFunction="sum" dataDxfId="20" totalsRowDxfId="21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18" totalsRowDxfId="19"/>
    <tableColumn id="12" xr3:uid="{36B390F4-625A-46E1-864B-7108903FFD96}" name="Conception réalisée par:" dataDxfId="16" totalsRowDxfId="17"/>
    <tableColumn id="13" xr3:uid="{9016419E-83A5-4950-AB28-EA27A0D72FAD}" name="Revue conception réalisée par" dataDxfId="14" totalsRowDxfId="15"/>
    <tableColumn id="14" xr3:uid="{B5F29B7E-09EB-43EF-BD3D-9ADF38F7CC12}" name="Vérification de la conception réalisée par" dataDxfId="12" totalsRowDxfId="13"/>
    <tableColumn id="18" xr3:uid="{0CA25C90-64D6-43D5-90C8-CE6D70CCA638}" name="Preuve de vérification " dataDxfId="10" totalsRowDxfId="11"/>
    <tableColumn id="4" xr3:uid="{B7406A3A-A365-4F76-9A20-372573D19BC9}" name="Notes" dataDxfId="8" totalsRow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D2C8-04DA-4F1F-ACD1-FC1ABC271A02}">
  <dimension ref="B6:B10"/>
  <sheetViews>
    <sheetView workbookViewId="0">
      <selection activeCell="E9" sqref="E9"/>
    </sheetView>
  </sheetViews>
  <sheetFormatPr defaultColWidth="11.42578125" defaultRowHeight="12.6"/>
  <sheetData>
    <row r="6" spans="2:2">
      <c r="B6" t="s">
        <v>0</v>
      </c>
    </row>
    <row r="7" spans="2:2">
      <c r="B7" t="s">
        <v>1</v>
      </c>
    </row>
    <row r="8" spans="2:2">
      <c r="B8" t="s">
        <v>2</v>
      </c>
    </row>
    <row r="9" spans="2:2">
      <c r="B9" t="s">
        <v>3</v>
      </c>
    </row>
    <row r="10" spans="2:2">
      <c r="B10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V60"/>
  <sheetViews>
    <sheetView tabSelected="1" zoomScale="85" zoomScaleNormal="85" workbookViewId="0">
      <selection activeCell="D6" sqref="D6"/>
    </sheetView>
  </sheetViews>
  <sheetFormatPr defaultColWidth="11.42578125" defaultRowHeight="12.95"/>
  <cols>
    <col min="1" max="1" width="11.42578125" style="1"/>
    <col min="2" max="2" width="6.140625" style="1" customWidth="1"/>
    <col min="3" max="3" width="27.42578125" style="1" customWidth="1"/>
    <col min="4" max="5" width="18.28515625" style="1" customWidth="1"/>
    <col min="6" max="6" width="19.42578125" style="1" customWidth="1"/>
    <col min="7" max="7" width="56.5703125" style="1" customWidth="1"/>
    <col min="8" max="8" width="18.42578125" style="1" customWidth="1"/>
    <col min="9" max="9" width="56.5703125" style="1" customWidth="1"/>
    <col min="10" max="10" width="33.140625" style="1" customWidth="1"/>
    <col min="11" max="12" width="13.5703125" style="1" customWidth="1"/>
    <col min="13" max="13" width="15.28515625" style="1" customWidth="1"/>
    <col min="14" max="14" width="11.85546875" style="1" customWidth="1"/>
    <col min="15" max="15" width="15.42578125" style="1" customWidth="1"/>
    <col min="16" max="16" width="13.7109375" style="1" customWidth="1"/>
    <col min="17" max="17" width="39.85546875" style="1" customWidth="1"/>
    <col min="18" max="18" width="15.7109375" style="1" customWidth="1"/>
    <col min="19" max="19" width="20.5703125" style="1" customWidth="1"/>
    <col min="20" max="20" width="20.140625" style="1" customWidth="1"/>
    <col min="21" max="21" width="15.140625" style="1" customWidth="1"/>
    <col min="22" max="22" width="30.85546875" style="1" customWidth="1"/>
    <col min="23" max="16384" width="11.42578125" style="1"/>
  </cols>
  <sheetData>
    <row r="1" spans="2:22" ht="13.5" thickBot="1"/>
    <row r="2" spans="2:22" ht="21.75" customHeight="1" thickBot="1">
      <c r="B2" s="37" t="s">
        <v>5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0" t="s">
        <v>6</v>
      </c>
      <c r="O2" s="41"/>
      <c r="P2" s="42"/>
      <c r="Q2" s="34" t="s">
        <v>7</v>
      </c>
      <c r="R2" s="35"/>
      <c r="S2" s="35"/>
      <c r="T2" s="35"/>
      <c r="U2" s="35"/>
      <c r="V2" s="36"/>
    </row>
    <row r="3" spans="2:22" ht="63" customHeight="1">
      <c r="C3" s="8"/>
      <c r="D3" s="8"/>
      <c r="E3" s="8"/>
      <c r="F3" s="8"/>
      <c r="G3" s="8"/>
      <c r="H3" s="8"/>
      <c r="I3" s="8"/>
    </row>
    <row r="4" spans="2:22" ht="21" customHeight="1">
      <c r="B4" s="30" t="s">
        <v>8</v>
      </c>
      <c r="C4" s="8"/>
      <c r="D4" s="32" t="s">
        <v>9</v>
      </c>
      <c r="E4" s="8"/>
      <c r="F4" s="8"/>
      <c r="G4" s="8"/>
      <c r="H4" s="8"/>
      <c r="I4" s="8"/>
    </row>
    <row r="5" spans="2:22" ht="21.75" customHeight="1">
      <c r="B5" s="27" t="s">
        <v>0</v>
      </c>
      <c r="D5" s="3" t="s">
        <v>10</v>
      </c>
      <c r="E5" s="3"/>
      <c r="F5" s="3"/>
      <c r="G5" s="3"/>
      <c r="H5" s="3"/>
      <c r="I5" s="3"/>
    </row>
    <row r="6" spans="2:22" ht="21" customHeight="1">
      <c r="B6" s="27" t="s">
        <v>11</v>
      </c>
      <c r="D6" s="3" t="s">
        <v>12</v>
      </c>
      <c r="E6" s="3"/>
      <c r="F6" s="3"/>
      <c r="G6" s="3"/>
      <c r="H6" s="3"/>
      <c r="I6" s="3"/>
    </row>
    <row r="7" spans="2:22" ht="20.45" customHeight="1" thickBot="1">
      <c r="B7" s="27" t="s">
        <v>13</v>
      </c>
      <c r="D7" s="3" t="s">
        <v>14</v>
      </c>
      <c r="E7" s="3"/>
      <c r="F7" s="3"/>
      <c r="G7" s="31" t="s">
        <v>15</v>
      </c>
      <c r="H7" s="3"/>
      <c r="I7" s="3"/>
    </row>
    <row r="8" spans="2:22" ht="21.6" customHeight="1">
      <c r="B8" s="27" t="s">
        <v>16</v>
      </c>
      <c r="D8" s="3" t="s">
        <v>17</v>
      </c>
      <c r="E8" s="3"/>
      <c r="F8" s="3"/>
      <c r="G8" s="3"/>
      <c r="H8" s="3"/>
      <c r="I8" s="3"/>
    </row>
    <row r="9" spans="2:22" ht="14.45">
      <c r="C9" s="3"/>
      <c r="D9" s="24"/>
      <c r="E9" s="24"/>
      <c r="F9" s="24"/>
      <c r="G9" s="24"/>
      <c r="H9" s="24"/>
      <c r="I9" s="24"/>
    </row>
    <row r="10" spans="2:22">
      <c r="B10" s="28" t="s">
        <v>18</v>
      </c>
      <c r="C10" s="29"/>
      <c r="D10" s="28" t="s">
        <v>19</v>
      </c>
      <c r="E10" s="9"/>
      <c r="F10" s="9"/>
      <c r="I10" s="21" t="s">
        <v>20</v>
      </c>
    </row>
    <row r="11" spans="2:22">
      <c r="B11" s="28" t="s">
        <v>21</v>
      </c>
      <c r="C11" s="29"/>
      <c r="D11" s="28" t="s">
        <v>22</v>
      </c>
      <c r="E11" s="9"/>
      <c r="F11" s="9"/>
    </row>
    <row r="12" spans="2:22" ht="13.5" thickBot="1"/>
    <row r="13" spans="2:22" s="10" customFormat="1" ht="39.6" thickBot="1">
      <c r="B13" s="18" t="s">
        <v>23</v>
      </c>
      <c r="C13" s="19" t="s">
        <v>24</v>
      </c>
      <c r="D13" s="19" t="s">
        <v>25</v>
      </c>
      <c r="E13" s="19" t="s">
        <v>26</v>
      </c>
      <c r="F13" s="19" t="s">
        <v>27</v>
      </c>
      <c r="G13" s="19" t="s">
        <v>28</v>
      </c>
      <c r="H13" s="19" t="s">
        <v>29</v>
      </c>
      <c r="I13" s="19" t="s">
        <v>30</v>
      </c>
      <c r="J13" s="19" t="s">
        <v>31</v>
      </c>
      <c r="K13" s="19" t="s">
        <v>32</v>
      </c>
      <c r="L13" s="19" t="s">
        <v>33</v>
      </c>
      <c r="M13" s="20" t="s">
        <v>34</v>
      </c>
      <c r="N13" s="14" t="s">
        <v>35</v>
      </c>
      <c r="O13" s="14" t="s">
        <v>36</v>
      </c>
      <c r="P13" s="14" t="s">
        <v>37</v>
      </c>
      <c r="Q13" s="15" t="s">
        <v>38</v>
      </c>
      <c r="R13" s="16" t="s">
        <v>39</v>
      </c>
      <c r="S13" s="16" t="s">
        <v>40</v>
      </c>
      <c r="T13" s="16" t="s">
        <v>41</v>
      </c>
      <c r="U13" s="16" t="s">
        <v>42</v>
      </c>
      <c r="V13" s="17" t="s">
        <v>43</v>
      </c>
    </row>
    <row r="14" spans="2:22" s="10" customFormat="1" ht="36" customHeight="1">
      <c r="B14" s="10" t="s">
        <v>44</v>
      </c>
      <c r="C14" s="10" t="s">
        <v>45</v>
      </c>
      <c r="N14" s="10">
        <v>3</v>
      </c>
      <c r="O14" s="10">
        <f>Tableau3[[#This Row],[HJ Dev]]*(25%+25%)</f>
        <v>1.5</v>
      </c>
      <c r="P14" s="10">
        <f>Tableau3[[#This Row],[HJ Analyse et Test]]+Tableau3[[#This Row],[HJ Dev]]</f>
        <v>4.5</v>
      </c>
      <c r="Q14" s="10" t="s">
        <v>46</v>
      </c>
      <c r="R14" s="10" t="s">
        <v>46</v>
      </c>
      <c r="S14" s="10" t="s">
        <v>46</v>
      </c>
      <c r="T14" s="10" t="s">
        <v>46</v>
      </c>
      <c r="U14" s="10" t="s">
        <v>46</v>
      </c>
    </row>
    <row r="15" spans="2:22" s="10" customFormat="1" ht="36" customHeight="1">
      <c r="B15" s="10" t="s">
        <v>47</v>
      </c>
      <c r="C15" s="10" t="s">
        <v>48</v>
      </c>
      <c r="N15" s="10">
        <v>0</v>
      </c>
      <c r="O15" s="10">
        <f>Tableau3[[#This Row],[HJ Dev]]*(25%+25%)</f>
        <v>0</v>
      </c>
      <c r="P15" s="10">
        <f>Tableau3[[#This Row],[HJ Analyse et Test]]+Tableau3[[#This Row],[HJ Dev]]</f>
        <v>0</v>
      </c>
    </row>
    <row r="16" spans="2:22" s="10" customFormat="1" ht="36" customHeight="1">
      <c r="B16" s="10" t="s">
        <v>49</v>
      </c>
      <c r="C16" s="10" t="s">
        <v>50</v>
      </c>
      <c r="N16" s="10">
        <v>0</v>
      </c>
      <c r="O16" s="10">
        <f>Tableau3[[#This Row],[HJ Dev]]*(25%+25%)</f>
        <v>0</v>
      </c>
      <c r="P16" s="10">
        <f>Tableau3[[#This Row],[HJ Analyse et Test]]+Tableau3[[#This Row],[HJ Dev]]</f>
        <v>0</v>
      </c>
    </row>
    <row r="17" spans="2:22" s="10" customFormat="1" ht="36" customHeight="1">
      <c r="B17" s="10" t="s">
        <v>51</v>
      </c>
      <c r="C17" s="10" t="s">
        <v>52</v>
      </c>
      <c r="O17" s="10">
        <f>Tableau3[[#This Row],[HJ Dev]]*(25%+25%)</f>
        <v>0</v>
      </c>
      <c r="P17" s="10">
        <f>Tableau3[[#This Row],[HJ Analyse et Test]]+Tableau3[[#This Row],[HJ Dev]]</f>
        <v>0</v>
      </c>
    </row>
    <row r="18" spans="2:22" s="10" customFormat="1" ht="36" customHeight="1">
      <c r="B18" s="10" t="s">
        <v>53</v>
      </c>
      <c r="C18" s="10" t="s">
        <v>54</v>
      </c>
      <c r="O18" s="10">
        <f>Tableau3[[#This Row],[HJ Dev]]*(25%+25%)</f>
        <v>0</v>
      </c>
      <c r="P18" s="10">
        <f>Tableau3[[#This Row],[HJ Analyse et Test]]+Tableau3[[#This Row],[HJ Dev]]</f>
        <v>0</v>
      </c>
    </row>
    <row r="19" spans="2:22" ht="36" customHeight="1">
      <c r="B19" s="10" t="s">
        <v>55</v>
      </c>
      <c r="C19" s="10" t="s">
        <v>56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>
        <f>Tableau3[[#This Row],[HJ Dev]]*(25%+25%)</f>
        <v>0</v>
      </c>
      <c r="P19" s="10">
        <f>Tableau3[[#This Row],[HJ Analyse et Test]]+Tableau3[[#This Row],[HJ Dev]]</f>
        <v>0</v>
      </c>
      <c r="Q19" s="10"/>
      <c r="R19" s="10"/>
      <c r="S19" s="10"/>
      <c r="T19" s="10"/>
      <c r="U19" s="10"/>
      <c r="V19" s="10"/>
    </row>
    <row r="20" spans="2:22">
      <c r="B20" s="10" t="s">
        <v>57</v>
      </c>
      <c r="C20" s="10" t="s">
        <v>58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>
        <f>Tableau3[[#This Row],[HJ Dev]]*(25%+25%)</f>
        <v>0</v>
      </c>
      <c r="P20" s="10">
        <f>Tableau3[[#This Row],[HJ Analyse et Test]]+Tableau3[[#This Row],[HJ Dev]]</f>
        <v>0</v>
      </c>
      <c r="Q20" s="10"/>
      <c r="R20" s="10"/>
      <c r="S20" s="10"/>
      <c r="T20" s="10"/>
      <c r="U20" s="10"/>
      <c r="V20" s="10"/>
    </row>
    <row r="21" spans="2:22">
      <c r="B21" s="10" t="s">
        <v>59</v>
      </c>
      <c r="C21" s="10" t="s">
        <v>60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>
        <f>Tableau3[[#This Row],[HJ Dev]]*(25%+25%)</f>
        <v>0</v>
      </c>
      <c r="P21" s="10">
        <f>Tableau3[[#This Row],[HJ Analyse et Test]]+Tableau3[[#This Row],[HJ Dev]]</f>
        <v>0</v>
      </c>
      <c r="Q21" s="10"/>
      <c r="R21" s="10"/>
      <c r="S21" s="10"/>
      <c r="T21" s="10"/>
      <c r="U21" s="10"/>
      <c r="V21" s="10"/>
    </row>
    <row r="22" spans="2:22">
      <c r="B22" s="10" t="s">
        <v>61</v>
      </c>
      <c r="C22" s="10" t="s">
        <v>62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>
        <f>Tableau3[[#This Row],[HJ Dev]]*(25%+25%)</f>
        <v>0</v>
      </c>
      <c r="P22" s="10">
        <f>Tableau3[[#This Row],[HJ Analyse et Test]]+Tableau3[[#This Row],[HJ Dev]]</f>
        <v>0</v>
      </c>
      <c r="Q22" s="10"/>
      <c r="R22" s="10"/>
      <c r="S22" s="10"/>
      <c r="T22" s="10"/>
      <c r="U22" s="10"/>
      <c r="V22" s="10"/>
    </row>
    <row r="23" spans="2:22">
      <c r="B23" s="10" t="s">
        <v>63</v>
      </c>
      <c r="C23" s="10" t="s">
        <v>64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>
        <f>Tableau3[[#This Row],[HJ Dev]]*(25%+25%)</f>
        <v>0</v>
      </c>
      <c r="P23" s="10">
        <f>Tableau3[[#This Row],[HJ Analyse et Test]]+Tableau3[[#This Row],[HJ Dev]]</f>
        <v>0</v>
      </c>
      <c r="Q23" s="10"/>
      <c r="R23" s="10"/>
      <c r="S23" s="10"/>
      <c r="T23" s="10"/>
      <c r="U23" s="10"/>
      <c r="V23" s="10"/>
    </row>
    <row r="24" spans="2:22">
      <c r="B24" s="10" t="s">
        <v>65</v>
      </c>
      <c r="C24" s="10" t="s">
        <v>66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>
        <f>Tableau3[[#This Row],[HJ Dev]]*(25%+25%)</f>
        <v>0</v>
      </c>
      <c r="P24" s="10">
        <f>Tableau3[[#This Row],[HJ Analyse et Test]]+Tableau3[[#This Row],[HJ Dev]]</f>
        <v>0</v>
      </c>
      <c r="Q24" s="10"/>
      <c r="R24" s="10"/>
      <c r="S24" s="10"/>
      <c r="T24" s="10"/>
      <c r="U24" s="10"/>
      <c r="V24" s="10"/>
    </row>
    <row r="25" spans="2:22">
      <c r="B25" s="10" t="s">
        <v>67</v>
      </c>
      <c r="C25" s="10" t="s">
        <v>68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>
        <f>Tableau3[[#This Row],[HJ Dev]]*(25%+25%)</f>
        <v>0</v>
      </c>
      <c r="P25" s="10">
        <f>Tableau3[[#This Row],[HJ Analyse et Test]]+Tableau3[[#This Row],[HJ Dev]]</f>
        <v>0</v>
      </c>
      <c r="Q25" s="10"/>
      <c r="R25" s="10"/>
      <c r="S25" s="10"/>
      <c r="T25" s="10"/>
      <c r="U25" s="10"/>
      <c r="V25" s="10"/>
    </row>
    <row r="26" spans="2:22">
      <c r="B26" s="10" t="s">
        <v>69</v>
      </c>
      <c r="C26" s="10" t="s">
        <v>70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>
        <f>Tableau3[[#This Row],[HJ Dev]]*(25%+25%)</f>
        <v>0</v>
      </c>
      <c r="P26" s="10">
        <f>Tableau3[[#This Row],[HJ Analyse et Test]]+Tableau3[[#This Row],[HJ Dev]]</f>
        <v>0</v>
      </c>
      <c r="Q26" s="10"/>
      <c r="R26" s="10"/>
      <c r="S26" s="10"/>
      <c r="T26" s="10"/>
      <c r="U26" s="10"/>
      <c r="V26" s="10"/>
    </row>
    <row r="27" spans="2:22">
      <c r="B27" s="10" t="s">
        <v>71</v>
      </c>
      <c r="C27" s="10" t="s">
        <v>72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>
        <f>Tableau3[[#This Row],[HJ Dev]]*(25%+25%)</f>
        <v>0</v>
      </c>
      <c r="P27" s="10">
        <f>Tableau3[[#This Row],[HJ Analyse et Test]]+Tableau3[[#This Row],[HJ Dev]]</f>
        <v>0</v>
      </c>
      <c r="Q27" s="10"/>
      <c r="R27" s="10"/>
      <c r="S27" s="10"/>
      <c r="T27" s="10"/>
      <c r="U27" s="10"/>
      <c r="V27" s="10"/>
    </row>
    <row r="28" spans="2:22">
      <c r="B28" s="10" t="s">
        <v>73</v>
      </c>
      <c r="C28" s="10" t="s">
        <v>74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>
        <f>Tableau3[[#This Row],[HJ Dev]]*(25%+25%)</f>
        <v>0</v>
      </c>
      <c r="P28" s="10">
        <f>Tableau3[[#This Row],[HJ Analyse et Test]]+Tableau3[[#This Row],[HJ Dev]]</f>
        <v>0</v>
      </c>
      <c r="Q28" s="10"/>
      <c r="R28" s="10"/>
      <c r="S28" s="10"/>
      <c r="T28" s="10"/>
      <c r="U28" s="10"/>
      <c r="V28" s="10"/>
    </row>
    <row r="29" spans="2:22">
      <c r="B29" s="10" t="s">
        <v>75</v>
      </c>
      <c r="C29" s="10" t="s">
        <v>76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>
        <f>Tableau3[[#This Row],[HJ Dev]]*(25%+25%)</f>
        <v>0</v>
      </c>
      <c r="P29" s="10">
        <f>Tableau3[[#This Row],[HJ Analyse et Test]]+Tableau3[[#This Row],[HJ Dev]]</f>
        <v>0</v>
      </c>
      <c r="Q29" s="10"/>
      <c r="R29" s="10"/>
      <c r="S29" s="10"/>
      <c r="T29" s="10"/>
      <c r="U29" s="10"/>
      <c r="V29" s="10"/>
    </row>
    <row r="30" spans="2:22">
      <c r="B30" s="10" t="s">
        <v>77</v>
      </c>
      <c r="C30" s="10" t="s">
        <v>78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f>Tableau3[[#This Row],[HJ Dev]]*(25%+25%)</f>
        <v>0</v>
      </c>
      <c r="P30" s="10">
        <f>Tableau3[[#This Row],[HJ Analyse et Test]]+Tableau3[[#This Row],[HJ Dev]]</f>
        <v>0</v>
      </c>
      <c r="Q30" s="10"/>
      <c r="R30" s="10"/>
      <c r="S30" s="10"/>
      <c r="T30" s="10"/>
      <c r="U30" s="10"/>
      <c r="V30" s="10"/>
    </row>
    <row r="31" spans="2:22">
      <c r="B31" s="10" t="s">
        <v>79</v>
      </c>
      <c r="C31" s="10" t="s">
        <v>80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>
        <f>Tableau3[[#This Row],[HJ Dev]]*(25%+25%)</f>
        <v>0</v>
      </c>
      <c r="P31" s="10">
        <f>Tableau3[[#This Row],[HJ Analyse et Test]]+Tableau3[[#This Row],[HJ Dev]]</f>
        <v>0</v>
      </c>
      <c r="Q31" s="10"/>
      <c r="R31" s="10"/>
      <c r="S31" s="10"/>
      <c r="T31" s="10"/>
      <c r="U31" s="10"/>
      <c r="V31" s="10"/>
    </row>
    <row r="32" spans="2:22">
      <c r="B32" s="10" t="s">
        <v>81</v>
      </c>
      <c r="C32" s="10" t="s">
        <v>82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>
        <f>Tableau3[[#This Row],[HJ Dev]]*(25%+25%)</f>
        <v>0</v>
      </c>
      <c r="P32" s="10">
        <f>Tableau3[[#This Row],[HJ Analyse et Test]]+Tableau3[[#This Row],[HJ Dev]]</f>
        <v>0</v>
      </c>
      <c r="Q32" s="10"/>
      <c r="R32" s="10"/>
      <c r="S32" s="10"/>
      <c r="T32" s="10"/>
      <c r="U32" s="10"/>
      <c r="V32" s="10"/>
    </row>
    <row r="33" spans="2:22">
      <c r="B33" s="10" t="s">
        <v>83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>
        <f>Tableau3[[#This Row],[HJ Dev]]*(25%+25%)</f>
        <v>0</v>
      </c>
      <c r="P33" s="10">
        <f>Tableau3[[#This Row],[HJ Analyse et Test]]+Tableau3[[#This Row],[HJ Dev]]</f>
        <v>0</v>
      </c>
      <c r="Q33" s="10"/>
      <c r="R33" s="10"/>
      <c r="S33" s="10"/>
      <c r="T33" s="10"/>
      <c r="U33" s="10"/>
      <c r="V33" s="10"/>
    </row>
    <row r="34" spans="2:22" ht="30">
      <c r="B34" s="10" t="s">
        <v>84</v>
      </c>
      <c r="C34" s="10" t="s">
        <v>85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>
        <f>Tableau3[[#This Row],[HJ Dev]]*(25%+25%)</f>
        <v>0</v>
      </c>
      <c r="P34" s="10">
        <f>Tableau3[[#This Row],[HJ Analyse et Test]]+Tableau3[[#This Row],[HJ Dev]]</f>
        <v>0</v>
      </c>
      <c r="Q34" s="10"/>
      <c r="R34" s="10"/>
      <c r="S34" s="10"/>
      <c r="T34" s="10"/>
      <c r="U34" s="10"/>
      <c r="V34" s="10"/>
    </row>
    <row r="35" spans="2:22" ht="14.25">
      <c r="B35" s="10" t="s">
        <v>86</v>
      </c>
      <c r="C35" s="10" t="s">
        <v>87</v>
      </c>
      <c r="D35" s="10"/>
      <c r="E35" s="10"/>
      <c r="F35" s="10"/>
      <c r="G35" s="10" t="s">
        <v>88</v>
      </c>
      <c r="H35" s="10"/>
      <c r="I35" s="10"/>
      <c r="J35" s="10"/>
      <c r="K35" s="10"/>
      <c r="L35" s="10"/>
      <c r="M35" s="10"/>
      <c r="N35" s="10"/>
      <c r="O35" s="10">
        <f>Tableau3[[#This Row],[HJ Dev]]*(25%+25%)</f>
        <v>0</v>
      </c>
      <c r="P35" s="10">
        <f>Tableau3[[#This Row],[HJ Analyse et Test]]+Tableau3[[#This Row],[HJ Dev]]</f>
        <v>0</v>
      </c>
      <c r="Q35" s="10"/>
      <c r="R35" s="10"/>
      <c r="S35" s="10"/>
      <c r="T35" s="10"/>
      <c r="U35" s="10"/>
      <c r="V35" s="10"/>
    </row>
    <row r="36" spans="2:22" ht="14.25">
      <c r="B36" s="10" t="s">
        <v>89</v>
      </c>
      <c r="C36" s="10" t="s">
        <v>90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>
        <f>Tableau3[[#This Row],[HJ Dev]]*(25%+25%)</f>
        <v>0</v>
      </c>
      <c r="P36" s="10">
        <f>Tableau3[[#This Row],[HJ Analyse et Test]]+Tableau3[[#This Row],[HJ Dev]]</f>
        <v>0</v>
      </c>
      <c r="Q36" s="10"/>
      <c r="R36" s="10"/>
      <c r="S36" s="10"/>
      <c r="T36" s="10"/>
      <c r="U36" s="10"/>
      <c r="V36" s="10"/>
    </row>
    <row r="37" spans="2:22" ht="30">
      <c r="B37" s="10" t="s">
        <v>91</v>
      </c>
      <c r="C37" s="10" t="s">
        <v>92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>
        <f>Tableau3[[#This Row],[HJ Dev]]*(25%+25%)</f>
        <v>0</v>
      </c>
      <c r="P37" s="10">
        <f>Tableau3[[#This Row],[HJ Analyse et Test]]+Tableau3[[#This Row],[HJ Dev]]</f>
        <v>0</v>
      </c>
      <c r="Q37" s="10"/>
      <c r="R37" s="10"/>
      <c r="S37" s="10"/>
      <c r="T37" s="10"/>
      <c r="U37" s="10"/>
      <c r="V37" s="10"/>
    </row>
    <row r="38" spans="2:22" ht="14.25">
      <c r="B38" s="10" t="s">
        <v>93</v>
      </c>
      <c r="C38" s="10" t="s">
        <v>94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>
        <f>Tableau3[[#This Row],[HJ Dev]]*(25%+25%)</f>
        <v>0</v>
      </c>
      <c r="P38" s="10">
        <f>Tableau3[[#This Row],[HJ Analyse et Test]]+Tableau3[[#This Row],[HJ Dev]]</f>
        <v>0</v>
      </c>
      <c r="Q38" s="10"/>
      <c r="R38" s="10"/>
      <c r="S38" s="10"/>
      <c r="T38" s="10"/>
      <c r="U38" s="10"/>
      <c r="V38" s="10"/>
    </row>
    <row r="39" spans="2:22" ht="14.25">
      <c r="B39" s="10" t="s">
        <v>95</v>
      </c>
      <c r="C39" s="10" t="s">
        <v>96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>
        <f>Tableau3[[#This Row],[HJ Dev]]*(25%+25%)</f>
        <v>0</v>
      </c>
      <c r="P39" s="10">
        <f>Tableau3[[#This Row],[HJ Analyse et Test]]+Tableau3[[#This Row],[HJ Dev]]</f>
        <v>0</v>
      </c>
      <c r="Q39" s="10"/>
      <c r="R39" s="10"/>
      <c r="S39" s="10"/>
      <c r="T39" s="10"/>
      <c r="U39" s="10"/>
      <c r="V39" s="10"/>
    </row>
    <row r="40" spans="2:22">
      <c r="B40" s="10" t="s">
        <v>97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>
        <f>Tableau3[[#This Row],[HJ Dev]]*(25%+25%)</f>
        <v>0</v>
      </c>
      <c r="P40" s="10">
        <f>Tableau3[[#This Row],[HJ Analyse et Test]]+Tableau3[[#This Row],[HJ Dev]]</f>
        <v>0</v>
      </c>
      <c r="Q40" s="10"/>
      <c r="R40" s="10"/>
      <c r="S40" s="10"/>
      <c r="T40" s="10"/>
      <c r="U40" s="10"/>
      <c r="V40" s="10"/>
    </row>
    <row r="41" spans="2:22">
      <c r="B41" s="10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>
        <f>Tableau3[[#This Row],[HJ Dev]]*(25%+25%)</f>
        <v>0</v>
      </c>
      <c r="P41" s="10">
        <f>Tableau3[[#This Row],[HJ Analyse et Test]]+Tableau3[[#This Row],[HJ Dev]]</f>
        <v>0</v>
      </c>
      <c r="Q41" s="10"/>
      <c r="R41" s="10"/>
      <c r="S41" s="10"/>
      <c r="T41" s="10"/>
      <c r="U41" s="10"/>
      <c r="V41" s="10"/>
    </row>
    <row r="42" spans="2:22">
      <c r="B42" s="10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>
        <f>Tableau3[[#This Row],[HJ Dev]]*(25%+25%)</f>
        <v>0</v>
      </c>
      <c r="P42" s="10">
        <f>Tableau3[[#This Row],[HJ Analyse et Test]]+Tableau3[[#This Row],[HJ Dev]]</f>
        <v>0</v>
      </c>
      <c r="Q42" s="10"/>
      <c r="R42" s="10"/>
      <c r="S42" s="10"/>
      <c r="T42" s="10"/>
      <c r="U42" s="10"/>
      <c r="V42" s="10"/>
    </row>
    <row r="43" spans="2:22">
      <c r="B43" s="10" t="s">
        <v>100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>
        <f>Tableau3[[#This Row],[HJ Dev]]*(25%+25%)</f>
        <v>0</v>
      </c>
      <c r="P43" s="10">
        <f>Tableau3[[#This Row],[HJ Analyse et Test]]+Tableau3[[#This Row],[HJ Dev]]</f>
        <v>0</v>
      </c>
      <c r="Q43" s="10"/>
      <c r="R43" s="10"/>
      <c r="S43" s="10"/>
      <c r="T43" s="10"/>
      <c r="U43" s="10"/>
      <c r="V43" s="10"/>
    </row>
    <row r="44" spans="2:22">
      <c r="B44" s="10" t="s">
        <v>101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>
        <f>Tableau3[[#This Row],[HJ Dev]]*(25%+25%)</f>
        <v>0</v>
      </c>
      <c r="P44" s="10">
        <f>Tableau3[[#This Row],[HJ Analyse et Test]]+Tableau3[[#This Row],[HJ Dev]]</f>
        <v>0</v>
      </c>
      <c r="Q44" s="10"/>
      <c r="R44" s="10"/>
      <c r="S44" s="10"/>
      <c r="T44" s="10"/>
      <c r="U44" s="10"/>
      <c r="V44" s="10"/>
    </row>
    <row r="45" spans="2:22">
      <c r="B45" s="10" t="s">
        <v>102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>
        <f>Tableau3[[#This Row],[HJ Dev]]*(25%+25%)</f>
        <v>0</v>
      </c>
      <c r="P45" s="10">
        <f>Tableau3[[#This Row],[HJ Analyse et Test]]+Tableau3[[#This Row],[HJ Dev]]</f>
        <v>0</v>
      </c>
      <c r="Q45" s="10"/>
      <c r="R45" s="10"/>
      <c r="S45" s="10"/>
      <c r="T45" s="10"/>
      <c r="U45" s="10"/>
      <c r="V45" s="10"/>
    </row>
    <row r="46" spans="2:22">
      <c r="B46" s="10" t="s">
        <v>103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>
        <f>Tableau3[[#This Row],[HJ Dev]]*(25%+25%)</f>
        <v>0</v>
      </c>
      <c r="P46" s="10">
        <f>Tableau3[[#This Row],[HJ Analyse et Test]]+Tableau3[[#This Row],[HJ Dev]]</f>
        <v>0</v>
      </c>
      <c r="Q46" s="10"/>
      <c r="R46" s="10"/>
      <c r="S46" s="10"/>
      <c r="T46" s="10"/>
      <c r="U46" s="10"/>
      <c r="V46" s="10"/>
    </row>
    <row r="47" spans="2:22">
      <c r="B47" s="10" t="s">
        <v>104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>
        <f>Tableau3[[#This Row],[HJ Dev]]*(25%+25%)</f>
        <v>0</v>
      </c>
      <c r="P47" s="10">
        <f>Tableau3[[#This Row],[HJ Analyse et Test]]+Tableau3[[#This Row],[HJ Dev]]</f>
        <v>0</v>
      </c>
      <c r="Q47" s="10"/>
      <c r="R47" s="10"/>
      <c r="S47" s="10"/>
      <c r="T47" s="10"/>
      <c r="U47" s="10"/>
      <c r="V47" s="10"/>
    </row>
    <row r="48" spans="2:22">
      <c r="B48" s="10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>
        <f>Tableau3[[#This Row],[HJ Dev]]*(25%+25%)</f>
        <v>0</v>
      </c>
      <c r="P48" s="10">
        <f>Tableau3[[#This Row],[HJ Analyse et Test]]+Tableau3[[#This Row],[HJ Dev]]</f>
        <v>0</v>
      </c>
      <c r="Q48" s="10"/>
      <c r="R48" s="10"/>
      <c r="S48" s="10"/>
      <c r="T48" s="10"/>
      <c r="U48" s="10"/>
      <c r="V48" s="10"/>
    </row>
    <row r="49" spans="2:22">
      <c r="B49" s="10" t="s">
        <v>106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>
        <f>Tableau3[[#This Row],[HJ Dev]]*(25%+25%)</f>
        <v>0</v>
      </c>
      <c r="P49" s="10">
        <f>Tableau3[[#This Row],[HJ Analyse et Test]]+Tableau3[[#This Row],[HJ Dev]]</f>
        <v>0</v>
      </c>
      <c r="Q49" s="10"/>
      <c r="R49" s="10"/>
      <c r="S49" s="10"/>
      <c r="T49" s="10"/>
      <c r="U49" s="10"/>
      <c r="V49" s="10"/>
    </row>
    <row r="50" spans="2:22">
      <c r="B50" s="10" t="s">
        <v>107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>
        <f>Tableau3[[#This Row],[HJ Dev]]*(25%+25%)</f>
        <v>0</v>
      </c>
      <c r="P50" s="10">
        <f>Tableau3[[#This Row],[HJ Analyse et Test]]+Tableau3[[#This Row],[HJ Dev]]</f>
        <v>0</v>
      </c>
      <c r="Q50" s="10"/>
      <c r="R50" s="10"/>
      <c r="S50" s="10"/>
      <c r="T50" s="10"/>
      <c r="U50" s="10"/>
      <c r="V50" s="10"/>
    </row>
    <row r="51" spans="2:22">
      <c r="B51" s="10" t="s">
        <v>108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>
        <f>Tableau3[[#This Row],[HJ Dev]]*(25%+25%)</f>
        <v>0</v>
      </c>
      <c r="P51" s="10">
        <f>Tableau3[[#This Row],[HJ Analyse et Test]]+Tableau3[[#This Row],[HJ Dev]]</f>
        <v>0</v>
      </c>
      <c r="Q51" s="10"/>
      <c r="R51" s="10"/>
      <c r="S51" s="10"/>
      <c r="T51" s="10"/>
      <c r="U51" s="10"/>
      <c r="V51" s="10"/>
    </row>
    <row r="52" spans="2:22">
      <c r="B52" s="10" t="s">
        <v>109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>
        <f>Tableau3[[#This Row],[HJ Dev]]*(25%+25%)</f>
        <v>0</v>
      </c>
      <c r="P52" s="10">
        <f>Tableau3[[#This Row],[HJ Analyse et Test]]+Tableau3[[#This Row],[HJ Dev]]</f>
        <v>0</v>
      </c>
      <c r="Q52" s="10"/>
      <c r="R52" s="10"/>
      <c r="S52" s="10"/>
      <c r="T52" s="10"/>
      <c r="U52" s="10"/>
      <c r="V52" s="10"/>
    </row>
    <row r="53" spans="2:22">
      <c r="B53" s="10" t="s">
        <v>110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>
        <f>Tableau3[[#This Row],[HJ Dev]]*(25%+25%)</f>
        <v>0</v>
      </c>
      <c r="P53" s="10">
        <f>Tableau3[[#This Row],[HJ Analyse et Test]]+Tableau3[[#This Row],[HJ Dev]]</f>
        <v>0</v>
      </c>
      <c r="Q53" s="10"/>
      <c r="R53" s="10"/>
      <c r="S53" s="10"/>
      <c r="T53" s="10"/>
      <c r="U53" s="10"/>
      <c r="V53" s="10"/>
    </row>
    <row r="54" spans="2:22">
      <c r="B54" s="10" t="s">
        <v>111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>
        <f>Tableau3[[#This Row],[HJ Dev]]*(25%+25%)</f>
        <v>0</v>
      </c>
      <c r="P54" s="10">
        <f>Tableau3[[#This Row],[HJ Analyse et Test]]+Tableau3[[#This Row],[HJ Dev]]</f>
        <v>0</v>
      </c>
      <c r="Q54" s="10"/>
      <c r="R54" s="10"/>
      <c r="S54" s="10"/>
      <c r="T54" s="10"/>
      <c r="U54" s="10"/>
      <c r="V54" s="10"/>
    </row>
    <row r="55" spans="2:22">
      <c r="B55" s="10" t="s">
        <v>112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>
        <f>Tableau3[[#This Row],[HJ Dev]]*(25%+25%)</f>
        <v>0</v>
      </c>
      <c r="P55" s="10">
        <f>Tableau3[[#This Row],[HJ Analyse et Test]]+Tableau3[[#This Row],[HJ Dev]]</f>
        <v>0</v>
      </c>
      <c r="Q55" s="10"/>
      <c r="R55" s="10"/>
      <c r="S55" s="10"/>
      <c r="T55" s="10"/>
      <c r="U55" s="10"/>
      <c r="V55" s="10"/>
    </row>
    <row r="56" spans="2:22">
      <c r="B56" s="10" t="s">
        <v>113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>
        <f>Tableau3[[#This Row],[HJ Dev]]*(25%+25%)</f>
        <v>0</v>
      </c>
      <c r="P56" s="10">
        <f>Tableau3[[#This Row],[HJ Analyse et Test]]+Tableau3[[#This Row],[HJ Dev]]</f>
        <v>0</v>
      </c>
      <c r="Q56" s="10"/>
      <c r="R56" s="10"/>
      <c r="S56" s="10"/>
      <c r="T56" s="10"/>
      <c r="U56" s="10"/>
      <c r="V56" s="10"/>
    </row>
    <row r="57" spans="2:22">
      <c r="B57" s="10" t="s">
        <v>114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>
        <f>Tableau3[[#This Row],[HJ Dev]]*(25%+25%)</f>
        <v>0</v>
      </c>
      <c r="P57" s="10">
        <f>Tableau3[[#This Row],[HJ Analyse et Test]]+Tableau3[[#This Row],[HJ Dev]]</f>
        <v>0</v>
      </c>
      <c r="Q57" s="10"/>
      <c r="R57" s="10"/>
      <c r="S57" s="10"/>
      <c r="T57" s="10"/>
      <c r="U57" s="10"/>
      <c r="V57" s="10"/>
    </row>
    <row r="58" spans="2:22">
      <c r="B58" s="10" t="s">
        <v>115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>
        <v>0</v>
      </c>
      <c r="O58" s="10">
        <f>Tableau3[[#This Row],[HJ Dev]]*(25%+25%)</f>
        <v>0</v>
      </c>
      <c r="P58" s="10">
        <f>Tableau3[[#This Row],[HJ Analyse et Test]]+Tableau3[[#This Row],[HJ Dev]]</f>
        <v>0</v>
      </c>
      <c r="Q58" s="10"/>
      <c r="R58" s="10"/>
      <c r="S58" s="10"/>
      <c r="T58" s="10"/>
      <c r="U58" s="10"/>
      <c r="V58" s="10"/>
    </row>
    <row r="59" spans="2:22">
      <c r="B59" s="10" t="s">
        <v>116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>
        <f>Tableau3[[#This Row],[HJ Dev]]*(25%+25%)</f>
        <v>0</v>
      </c>
      <c r="P59" s="10">
        <f>Tableau3[[#This Row],[HJ Analyse et Test]]+Tableau3[[#This Row],[HJ Dev]]</f>
        <v>0</v>
      </c>
      <c r="Q59" s="10"/>
      <c r="R59" s="10"/>
      <c r="S59" s="10"/>
      <c r="T59" s="10"/>
      <c r="U59" s="10"/>
      <c r="V59" s="10"/>
    </row>
    <row r="60" spans="2:22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>
        <f>SUBTOTAL(109,Tableau3[Total HJ])</f>
        <v>4.5</v>
      </c>
      <c r="Q60" s="10"/>
      <c r="R60" s="10"/>
      <c r="S60" s="10"/>
      <c r="T60" s="10"/>
      <c r="U60" s="10"/>
      <c r="V60" s="10"/>
    </row>
  </sheetData>
  <mergeCells count="3">
    <mergeCell ref="Q2:V2"/>
    <mergeCell ref="B2:M2"/>
    <mergeCell ref="N2:P2"/>
  </mergeCells>
  <phoneticPr fontId="2" type="noConversion"/>
  <dataValidations count="1">
    <dataValidation type="whole" operator="greaterThanOrEqual" allowBlank="1" showInputMessage="1" showErrorMessage="1" sqref="N14:P59" xr:uid="{10E2E794-3894-4CC1-AB1A-9BB5BF41EABB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E253E9F-6967-4CE3-BEC2-E6EF086F8550}">
          <x14:formula1>
            <xm:f>Params!$B$3:$B$5</xm:f>
          </x14:formula1>
          <xm:sqref>D4</xm:sqref>
        </x14:dataValidation>
        <x14:dataValidation type="list" allowBlank="1" showInputMessage="1" showErrorMessage="1" xr:uid="{63E576AD-8CDE-4B1B-8DEC-1BE67CC8DE6D}">
          <x14:formula1>
            <xm:f>Params!$D$3:$D$10</xm:f>
          </x14:formula1>
          <xm:sqref>F14:F59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H14:H59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M14:M59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K14:K59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D14:D59</xm:sqref>
        </x14:dataValidation>
        <x14:dataValidation type="list" allowBlank="1" showInputMessage="1" showErrorMessage="1" xr:uid="{ACD971DD-EBC0-49A2-8B0F-955749BFC348}">
          <x14:formula1>
            <xm:f>Params!$I$3:$I$12</xm:f>
          </x14:formula1>
          <xm:sqref>E15:E59 E14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zoomScale="80" zoomScaleNormal="80" workbookViewId="0">
      <selection activeCell="J21" sqref="J21"/>
    </sheetView>
  </sheetViews>
  <sheetFormatPr defaultColWidth="11.42578125" defaultRowHeight="14.45"/>
  <cols>
    <col min="1" max="1" width="12" style="2" customWidth="1"/>
    <col min="2" max="2" width="10.140625" style="2" customWidth="1"/>
    <col min="3" max="3" width="11.42578125" style="2"/>
    <col min="4" max="4" width="58.28515625" style="2" customWidth="1"/>
    <col min="5" max="5" width="15.85546875" style="2" customWidth="1"/>
    <col min="6" max="6" width="22.28515625" style="2" customWidth="1"/>
    <col min="7" max="7" width="16.5703125" style="2" customWidth="1"/>
    <col min="8" max="16384" width="11.42578125" style="2"/>
  </cols>
  <sheetData>
    <row r="2" spans="1:7" ht="15" thickBot="1"/>
    <row r="3" spans="1:7" ht="24" customHeight="1" thickBot="1">
      <c r="A3" s="2" t="s">
        <v>117</v>
      </c>
      <c r="B3" s="43" t="s">
        <v>5</v>
      </c>
      <c r="C3" s="44"/>
      <c r="D3" s="44"/>
      <c r="E3" s="44"/>
      <c r="F3" s="44"/>
      <c r="G3" s="45"/>
    </row>
    <row r="4" spans="1:7">
      <c r="B4" s="4"/>
      <c r="C4" s="5"/>
      <c r="D4" s="5"/>
      <c r="E4" s="5"/>
      <c r="F4" s="5"/>
      <c r="G4" s="5"/>
    </row>
    <row r="5" spans="1:7">
      <c r="B5" s="12" t="str">
        <f>'Gestion Exigences'!B5</f>
        <v>Client</v>
      </c>
      <c r="D5" s="12" t="str">
        <f>'Gestion Exigences'!D5</f>
        <v>PEC AC</v>
      </c>
      <c r="E5" s="5"/>
      <c r="F5" s="5"/>
      <c r="G5" s="5"/>
    </row>
    <row r="6" spans="1:7">
      <c r="B6" s="12" t="str">
        <f>'Gestion Exigences'!B6</f>
        <v>Projet</v>
      </c>
      <c r="D6" s="12" t="str">
        <f>'Gestion Exigences'!D6</f>
        <v>Digitalisation PEC AC</v>
      </c>
      <c r="E6" s="5"/>
      <c r="F6" s="5"/>
      <c r="G6" s="5"/>
    </row>
    <row r="7" spans="1:7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>
      <c r="B9" s="4"/>
      <c r="C9" s="12"/>
      <c r="D9" s="5"/>
      <c r="E9" s="5"/>
      <c r="F9" s="5"/>
      <c r="G9" s="5"/>
    </row>
    <row r="10" spans="1:7">
      <c r="B10" s="25" t="str">
        <f>'Gestion Exigences'!B10</f>
        <v>Réf Modèle Document</v>
      </c>
      <c r="C10" s="26" t="str">
        <f>'Gestion Exigences'!D10</f>
        <v>MD203</v>
      </c>
      <c r="D10" s="5"/>
      <c r="E10" s="5"/>
      <c r="F10" s="5"/>
      <c r="G10" s="5"/>
    </row>
    <row r="11" spans="1:7">
      <c r="B11" s="25" t="str">
        <f>'Gestion Exigences'!B11</f>
        <v>Version Modèle Document</v>
      </c>
      <c r="C11" s="26" t="str">
        <f>'Gestion Exigences'!D11</f>
        <v>V1.5</v>
      </c>
      <c r="D11" s="5"/>
      <c r="E11" s="5"/>
      <c r="F11" s="5"/>
      <c r="G11" s="5"/>
    </row>
    <row r="12" spans="1:7">
      <c r="B12" s="4"/>
      <c r="C12" s="5"/>
      <c r="D12" s="5"/>
      <c r="E12" s="5"/>
      <c r="F12" s="5"/>
      <c r="G12" s="5"/>
    </row>
    <row r="13" spans="1:7">
      <c r="B13" s="13" t="s">
        <v>118</v>
      </c>
      <c r="C13" s="13" t="s">
        <v>119</v>
      </c>
      <c r="D13" s="13" t="s">
        <v>120</v>
      </c>
      <c r="E13" s="13" t="s">
        <v>121</v>
      </c>
      <c r="F13" s="13" t="s">
        <v>122</v>
      </c>
      <c r="G13" s="13" t="s">
        <v>123</v>
      </c>
    </row>
    <row r="14" spans="1:7" ht="29.45" customHeight="1">
      <c r="B14" s="6" t="s">
        <v>124</v>
      </c>
      <c r="C14" s="7">
        <v>45342</v>
      </c>
      <c r="D14" s="23" t="s">
        <v>125</v>
      </c>
      <c r="E14" s="6" t="s">
        <v>126</v>
      </c>
      <c r="F14" s="22" t="s">
        <v>127</v>
      </c>
      <c r="G14" s="6" t="s">
        <v>128</v>
      </c>
    </row>
    <row r="15" spans="1:7">
      <c r="B15" s="6" t="s">
        <v>129</v>
      </c>
      <c r="C15" s="33">
        <v>45701</v>
      </c>
      <c r="D15" s="2" t="s">
        <v>130</v>
      </c>
      <c r="E15" s="2" t="s">
        <v>131</v>
      </c>
      <c r="F15" s="22" t="s">
        <v>132</v>
      </c>
      <c r="G15" s="6" t="s">
        <v>128</v>
      </c>
    </row>
    <row r="16" spans="1:7">
      <c r="B16" s="6" t="s">
        <v>133</v>
      </c>
      <c r="C16" s="33">
        <v>45786</v>
      </c>
      <c r="D16" s="2" t="s">
        <v>134</v>
      </c>
      <c r="E16" s="2" t="s">
        <v>131</v>
      </c>
      <c r="F16" s="22" t="s">
        <v>132</v>
      </c>
      <c r="G16" s="6" t="s">
        <v>128</v>
      </c>
    </row>
  </sheetData>
  <mergeCells count="1">
    <mergeCell ref="B3:G3"/>
  </mergeCells>
  <phoneticPr fontId="18" type="noConversion"/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12"/>
  <sheetViews>
    <sheetView workbookViewId="0">
      <selection activeCell="I17" sqref="I17"/>
    </sheetView>
  </sheetViews>
  <sheetFormatPr defaultColWidth="11.42578125" defaultRowHeight="12.95"/>
  <cols>
    <col min="1" max="2" width="11.42578125" style="10"/>
    <col min="3" max="4" width="19.7109375" style="10" customWidth="1"/>
    <col min="5" max="5" width="23.85546875" style="10" customWidth="1"/>
    <col min="6" max="6" width="14.42578125" style="10" customWidth="1"/>
    <col min="7" max="7" width="23.85546875" style="10" customWidth="1"/>
    <col min="8" max="8" width="25.140625" style="10" customWidth="1"/>
    <col min="9" max="9" width="20.42578125" style="10" customWidth="1"/>
    <col min="10" max="16384" width="11.42578125" style="10"/>
  </cols>
  <sheetData>
    <row r="2" spans="2:9" ht="26.1">
      <c r="B2" s="11" t="s">
        <v>8</v>
      </c>
      <c r="C2" s="11" t="s">
        <v>25</v>
      </c>
      <c r="D2" s="11" t="s">
        <v>135</v>
      </c>
      <c r="E2" s="11" t="s">
        <v>29</v>
      </c>
      <c r="F2" s="11" t="s">
        <v>136</v>
      </c>
      <c r="G2" s="11" t="s">
        <v>34</v>
      </c>
      <c r="H2" s="11" t="s">
        <v>137</v>
      </c>
      <c r="I2" s="11" t="s">
        <v>26</v>
      </c>
    </row>
    <row r="3" spans="2:9">
      <c r="B3" s="10" t="s">
        <v>9</v>
      </c>
      <c r="C3" s="10" t="s">
        <v>138</v>
      </c>
      <c r="D3" s="10" t="s">
        <v>139</v>
      </c>
      <c r="E3" s="10" t="s">
        <v>140</v>
      </c>
      <c r="F3" s="10" t="s">
        <v>141</v>
      </c>
      <c r="G3" s="10" t="s">
        <v>142</v>
      </c>
      <c r="H3" s="10" t="s">
        <v>143</v>
      </c>
      <c r="I3" s="10" t="s">
        <v>144</v>
      </c>
    </row>
    <row r="4" spans="2:9">
      <c r="B4" s="10" t="s">
        <v>145</v>
      </c>
      <c r="C4" s="10" t="s">
        <v>146</v>
      </c>
      <c r="D4" s="10" t="s">
        <v>147</v>
      </c>
      <c r="E4" s="10" t="s">
        <v>148</v>
      </c>
      <c r="F4" s="10" t="s">
        <v>149</v>
      </c>
      <c r="G4" s="10" t="s">
        <v>150</v>
      </c>
      <c r="H4" s="10" t="s">
        <v>151</v>
      </c>
      <c r="I4" s="10" t="s">
        <v>152</v>
      </c>
    </row>
    <row r="5" spans="2:9">
      <c r="B5" s="10" t="s">
        <v>153</v>
      </c>
      <c r="C5" s="10" t="s">
        <v>154</v>
      </c>
      <c r="D5" s="10" t="s">
        <v>155</v>
      </c>
      <c r="E5" s="10" t="s">
        <v>156</v>
      </c>
      <c r="F5" s="10" t="s">
        <v>46</v>
      </c>
      <c r="G5" s="10" t="s">
        <v>46</v>
      </c>
      <c r="H5" s="10" t="s">
        <v>46</v>
      </c>
      <c r="I5" s="10" t="s">
        <v>157</v>
      </c>
    </row>
    <row r="6" spans="2:9">
      <c r="B6" s="10" t="s">
        <v>153</v>
      </c>
      <c r="C6" s="10" t="s">
        <v>158</v>
      </c>
      <c r="D6" s="10" t="s">
        <v>159</v>
      </c>
      <c r="E6" s="10" t="s">
        <v>160</v>
      </c>
      <c r="I6" s="10" t="s">
        <v>161</v>
      </c>
    </row>
    <row r="7" spans="2:9">
      <c r="C7" s="10" t="s">
        <v>162</v>
      </c>
      <c r="D7" s="10" t="s">
        <v>163</v>
      </c>
      <c r="E7" s="10" t="s">
        <v>164</v>
      </c>
      <c r="I7" s="10" t="s">
        <v>165</v>
      </c>
    </row>
    <row r="8" spans="2:9">
      <c r="C8" s="10" t="s">
        <v>166</v>
      </c>
      <c r="E8" s="10" t="s">
        <v>167</v>
      </c>
      <c r="I8" s="10" t="s">
        <v>168</v>
      </c>
    </row>
    <row r="9" spans="2:9">
      <c r="E9" s="10" t="s">
        <v>169</v>
      </c>
      <c r="I9" s="10" t="s">
        <v>170</v>
      </c>
    </row>
    <row r="11" spans="2:9">
      <c r="I11" s="10" t="s">
        <v>171</v>
      </c>
    </row>
    <row r="12" spans="2:9" ht="26.1">
      <c r="I12" s="10" t="s">
        <v>172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908ec-9e92-424c-a4ad-3174bac6e888" xsi:nil="true"/>
    <lcf76f155ced4ddcb4097134ff3c332f xmlns="5f2f9e80-f74a-40c7-b145-b94d8e4966f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C97AD2-A999-4ED5-A7CC-2657222D8C48}"/>
</file>

<file path=customXml/itemProps2.xml><?xml version="1.0" encoding="utf-8"?>
<ds:datastoreItem xmlns:ds="http://schemas.openxmlformats.org/officeDocument/2006/customXml" ds:itemID="{85503822-DF13-4051-A489-72B75648E37A}"/>
</file>

<file path=customXml/itemProps3.xml><?xml version="1.0" encoding="utf-8"?>
<ds:datastoreItem xmlns:ds="http://schemas.openxmlformats.org/officeDocument/2006/customXml" ds:itemID="{431C8B5B-7A06-4686-9F8A-E8F24EECD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DACTEM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Siwar Abbes</cp:lastModifiedBy>
  <cp:revision/>
  <dcterms:created xsi:type="dcterms:W3CDTF">2000-07-05T17:03:55Z</dcterms:created>
  <dcterms:modified xsi:type="dcterms:W3CDTF">2025-12-24T17:00:24Z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