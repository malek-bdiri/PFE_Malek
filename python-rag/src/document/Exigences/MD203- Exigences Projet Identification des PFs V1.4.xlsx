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ddixo.sharepoint.com/COM/Documents partages/01 Clients/Cotherm/8 SF/07 Projet Identification des PFs/2 Préparation Offre/"/>
    </mc:Choice>
  </mc:AlternateContent>
  <xr:revisionPtr revIDLastSave="389" documentId="8_{5D6C2885-D684-4667-AE17-5254F08661EA}" xr6:coauthVersionLast="47" xr6:coauthVersionMax="47" xr10:uidLastSave="{A96D7E33-09EF-455B-A503-619DE8D98D3A}"/>
  <bookViews>
    <workbookView xWindow="-120" yWindow="-120" windowWidth="20730" windowHeight="1104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Exigences'!$C$2:$I$19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27" l="1"/>
  <c r="P18" i="27" s="1"/>
  <c r="O14" i="27"/>
  <c r="P14" i="27" s="1"/>
  <c r="O16" i="27"/>
  <c r="P16" i="27" s="1"/>
  <c r="O15" i="27"/>
  <c r="P15" i="27" s="1"/>
  <c r="O17" i="27"/>
  <c r="P17" i="27" s="1"/>
  <c r="O19" i="27"/>
  <c r="P19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20" i="27" l="1"/>
  <c r="P22" i="27" l="1"/>
</calcChain>
</file>

<file path=xl/sharedStrings.xml><?xml version="1.0" encoding="utf-8"?>
<sst xmlns="http://schemas.openxmlformats.org/spreadsheetml/2006/main" count="210" uniqueCount="138">
  <si>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</si>
  <si>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</si>
  <si>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</si>
  <si>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</si>
  <si>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</si>
  <si>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</si>
  <si>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Cotherm</t>
  </si>
  <si>
    <t>Projet</t>
  </si>
  <si>
    <t xml:space="preserve">Projet Imprimante 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</si>
  <si>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</si>
  <si>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</si>
  <si>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</si>
  <si>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</si>
  <si>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</si>
  <si>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</si>
  <si>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</si>
  <si>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</si>
  <si>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</si>
  <si>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</si>
  <si>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</si>
  <si>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</si>
  <si>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</si>
  <si>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</si>
  <si>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Description de l'exigence</t>
  </si>
  <si>
    <t>Source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</si>
  <si>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</si>
  <si>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</si>
  <si>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</si>
  <si>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</si>
  <si>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</si>
  <si>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</si>
  <si>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</si>
  <si>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</si>
  <si>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</si>
  <si>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</si>
  <si>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</si>
  <si>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</si>
  <si>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</si>
  <si>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</si>
  <si>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 xml:space="preserve">Configuration des imprimantes </t>
  </si>
  <si>
    <t>Fonctionnelle</t>
  </si>
  <si>
    <t>SF-Fonctionnelle</t>
  </si>
  <si>
    <t>Commerciale</t>
  </si>
  <si>
    <t>Intégrer la gestion des imprimantes</t>
  </si>
  <si>
    <t>Workshop/réunion client</t>
  </si>
  <si>
    <t xml:space="preserve">La solution proposée permet d'intégrer la gestion des imprimantes en tant que sous-module au sein du module de configuration de la solution "Smart Factory". 
Pour répondre à cela, nous développons une interface utilisateur dédiée qui permettra aux utilisateurs de configurer facilement les imprimantes. </t>
  </si>
  <si>
    <t>Validée</t>
  </si>
  <si>
    <t>Mahdi B</t>
  </si>
  <si>
    <t>N/A</t>
  </si>
  <si>
    <t>E002</t>
  </si>
  <si>
    <t xml:space="preserve">Configuration des produits </t>
  </si>
  <si>
    <t>Intégrer la gestion des étiquettes dans le produit</t>
  </si>
  <si>
    <t>E003</t>
  </si>
  <si>
    <t>E004</t>
  </si>
  <si>
    <t>Récupération des signaux de diélectrique</t>
  </si>
  <si>
    <t>E005</t>
  </si>
  <si>
    <t>Impression des étiquettes</t>
  </si>
  <si>
    <t>Imprimer les étiquettes via la solution.</t>
  </si>
  <si>
    <t>Mode dégradé Proposé :
En cas de problème d'impression, il faut retester la pièce pour imprimer son étiquette.</t>
  </si>
  <si>
    <t>E006</t>
  </si>
  <si>
    <t>La solution proposée implique l'installation des EdgeBox à chaque ligne pour récupérer les signaux à partir du diélectrique.
Une adaptation sera nécessaire pour que l'Edge Box puisse lire les deux signaux requis. Cette intégration garantira une récupération efficace et fiable de ces signaux à partir de chaque poste fin de ligne.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</si>
  <si>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</si>
  <si>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</si>
  <si>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</si>
  <si>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</si>
  <si>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</si>
  <si>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</si>
  <si>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</si>
  <si>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</si>
  <si>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</si>
  <si>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</si>
  <si>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>Mahdi B.</t>
  </si>
  <si>
    <t>Imed A.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</si>
  <si>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</si>
  <si>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</si>
  <si>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</si>
  <si>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</si>
  <si>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</si>
  <si>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</si>
  <si>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</si>
  <si>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</si>
  <si>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</si>
  <si>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</si>
  <si>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</si>
  <si>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</si>
  <si>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</si>
  <si>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</si>
  <si>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</si>
  <si>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</si>
  <si>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</si>
  <si>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</si>
  <si>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</si>
  <si>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</si>
  <si>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</si>
  <si>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</si>
  <si>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</si>
  <si>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</si>
  <si>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</si>
  <si>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</si>
  <si>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</si>
  <si>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</si>
  <si>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</si>
  <si>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</si>
  <si>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</si>
  <si>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</si>
  <si>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</si>
  <si>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</si>
  <si>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</si>
  <si>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</si>
  <si>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</si>
  <si>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</si>
  <si>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</si>
  <si>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</si>
  <si>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</si>
  <si>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</si>
  <si>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</si>
  <si>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</si>
  <si>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</si>
  <si>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</si>
  <si>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V1.1</t>
  </si>
  <si>
    <t>V1.2</t>
  </si>
  <si>
    <t xml:space="preserve">Collecte les données à partir du serveur client </t>
  </si>
  <si>
    <t>RAS</t>
  </si>
  <si>
    <t>À la réception d'un signal à partir du diélectrique, la solution proposée permet de générer et d'imprimer les étiquettes conformément aux exigences spécifiées dans le cahier des charges (QR Code criteria.pdf).</t>
  </si>
  <si>
    <t>Chargement les informations des produit dans la solution Smart Factory</t>
  </si>
  <si>
    <t>V1.3</t>
  </si>
  <si>
    <t xml:space="preserve">Vérification de la configuration par l'opératrice 
Validation de chargement des étiquettes </t>
  </si>
  <si>
    <t>Exigence indéfiée pendant la phase</t>
  </si>
  <si>
    <t>Description de la solution ADDIXO</t>
  </si>
  <si>
    <t>La solution proposée permet d'intégrer la gestion des étiquettes directement dans le produit en adaptant l'interface de configuration du produit. 
Nous ajouterons des champs à cette interface, pour définir si le produit nécessite l'impression d'une étiquette.
Cette adaptation comporte aussi l'ajout des informations nécessaires pour la génération de l'étiquette : Supplier identification, Component Numbers.</t>
  </si>
  <si>
    <t>Récupérer les signaux du diélectrique pour déclencher l'impression d'étiquettes</t>
  </si>
  <si>
    <t>Installation des Edge Box</t>
  </si>
  <si>
    <t xml:space="preserve"> Installer des Edge Box sur chaque ligne</t>
  </si>
  <si>
    <t xml:space="preserve">La solution proposée permet le chargement des informations des produits dans Smart Factory y compris les informations des étiquettes par des fichiers CSV. Ceci facilite la création et la modification en lot des Produits. </t>
  </si>
  <si>
    <t>La solution proposée implique l'installation d'un "Edge Box" qui sera chargée de collecter les signaux à partir du diélectriques. Ces signaux serviront de déclencheurs pour l'impression d'étiquettes via la solution.</t>
  </si>
  <si>
    <t>V1.4</t>
  </si>
  <si>
    <t xml:space="preserve">Révision en équipe : Imed + Mahdi + Ferjania + Nihel 
Pour envoyer une offre similaire à un concurrent
 </t>
  </si>
  <si>
    <t>Identification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</si>
</sst>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201706</xdr:colOff>
      <xdr:row>2</xdr:row>
      <xdr:rowOff>112059</xdr:rowOff>
    </xdr:from>
    <xdr:to>
      <xdr:col>2</xdr:col>
      <xdr:colOff>1291766</xdr:colOff>
      <xdr:row>2</xdr:row>
      <xdr:rowOff>567443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8FDDBE-FF59-4CE8-923A-2184089495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06" y="560294"/>
          <a:ext cx="1495153" cy="4490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0" totalsRowCount="1" headerRowDxfId="51" dataDxfId="50">
  <autoFilter ref="B13:V19" xr:uid="{DDEA2C8B-EE0D-4C55-9256-CCC64E002CE6}"/>
  <tableColumns count="21">
    <tableColumn id="1" xr3:uid="{E467E0EE-CDAA-4FF5-85A8-CDC0B23A5AD9}" name="ID" dataDxfId="49" totalsRowDxfId="20"/>
    <tableColumn id="2" xr3:uid="{E53952AC-4972-47BD-8B1D-C7EF23088D0D}" name="Intitulé Exigence" dataDxfId="48" totalsRowDxfId="19"/>
    <tableColumn id="8" xr3:uid="{B2D0BC2C-C803-4015-8FA6-70F84517BDB2}" name="Nature" dataDxfId="47" totalsRowDxfId="18"/>
    <tableColumn id="7" xr3:uid="{24F2F0ED-022E-4EC1-91D8-BFE0E4F2FD36}" name="Catégorie" dataDxfId="46" totalsRowDxfId="17"/>
    <tableColumn id="10" xr3:uid="{1FF81CF1-6D35-421C-8767-9E7FA06FEE6A}" name="Exigence indéfiée pendant la phase" dataDxfId="45" totalsRowDxfId="16"/>
    <tableColumn id="3" xr3:uid="{E7621A68-9552-4853-96A5-92A226EA42DD}" name="Description de l'exigence" dataDxfId="44" totalsRowDxfId="15"/>
    <tableColumn id="9" xr3:uid="{E6EEEC82-3576-4980-94B3-1423906CE531}" name="Source" dataDxfId="43" totalsRowDxfId="14"/>
    <tableColumn id="16" xr3:uid="{1441554A-79F9-4040-9CF5-AEBFF7ADF7D1}" name="Description de la solution ADDIXO" dataDxfId="42" totalsRowDxfId="13"/>
    <tableColumn id="17" xr3:uid="{D1BC9C86-C3CE-417F-AC83-FC4786A7656D}" name="Ecart entre exigence client et la solution proposée - préciser aussi les limites et hypothèses si applicable" dataDxfId="41" totalsRowDxfId="12"/>
    <tableColumn id="5" xr3:uid="{2649C3B7-E8B9-44F9-8883-E5BB6F91B4B1}" name="Validation Interne" dataDxfId="40" totalsRowDxfId="11"/>
    <tableColumn id="6" xr3:uid="{8CC493F8-0886-498D-AB98-B77300CC6510}" name="Validation Interne par:" dataDxfId="39" totalsRowDxfId="10"/>
    <tableColumn id="15" xr3:uid="{78231C60-0932-4386-925D-4C689A91C0E3}" name="Statut Client" dataDxfId="38" totalsRowDxfId="9"/>
    <tableColumn id="22" xr3:uid="{D944A0FD-E468-407F-91A6-BD8A29086A7B}" name="HJ Dev" dataDxfId="37" totalsRowDxfId="8"/>
    <tableColumn id="21" xr3:uid="{818C68C5-1CC3-4DC9-9BB8-2CB7816ABE9F}" name="HJ Analyse et Test" dataDxfId="36" totalsRowDxfId="7">
      <calculatedColumnFormula>Tableau3[[#This Row],[HJ Dev]]*(25%+25%)</calculatedColumnFormula>
    </tableColumn>
    <tableColumn id="20" xr3:uid="{81CB5860-4285-4425-ABF9-C91F3323BF25}" name="Total HJ" totalsRowFunction="sum" dataDxfId="35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34" totalsRowDxfId="5"/>
    <tableColumn id="12" xr3:uid="{36B390F4-625A-46E1-864B-7108903FFD96}" name="Conception réalisée par:" dataDxfId="33" totalsRowDxfId="4"/>
    <tableColumn id="13" xr3:uid="{9016419E-83A5-4950-AB28-EA27A0D72FAD}" name="Revue conception réalisée par" dataDxfId="32" totalsRowDxfId="3"/>
    <tableColumn id="14" xr3:uid="{B5F29B7E-09EB-43EF-BD3D-9ADF38F7CC12}" name="Vérification de la conception réalisée par" dataDxfId="31" totalsRowDxfId="2"/>
    <tableColumn id="18" xr3:uid="{0CA25C90-64D6-43D5-90C8-CE6D70CCA638}" name="Preuve de vérification " dataDxfId="30" totalsRowDxfId="1"/>
    <tableColumn id="4" xr3:uid="{B7406A3A-A365-4F76-9A20-372573D19BC9}" name="Notes" dataDxfId="2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8" dataDxfId="27">
  <autoFilter ref="B13:G18" xr:uid="{96AD1385-A1F5-4391-ABC2-C9F250557626}"/>
  <tableColumns count="6">
    <tableColumn id="1" xr3:uid="{56DA355E-F205-482A-9CF1-CA3361A1D801}" name="Version" dataDxfId="26"/>
    <tableColumn id="2" xr3:uid="{C9D8A0D7-1D6E-479B-AF74-6D39D19E4653}" name="Date" dataDxfId="25"/>
    <tableColumn id="3" xr3:uid="{79109713-8A38-4162-A269-136157905B75}" name="Modifications" dataDxfId="24"/>
    <tableColumn id="4" xr3:uid="{AC928B3E-399C-4A3D-9FB5-9CD96F5D4745}" name="Auteur(s)" dataDxfId="23"/>
    <tableColumn id="5" xr3:uid="{0D0A428D-4F18-4D4E-A0CB-4D1A5057B6E9}" name="Vérificateur(s)" dataDxfId="22"/>
    <tableColumn id="6" xr3:uid="{D81EAB57-FBCA-44D9-8F45-58AF13AA08B6}" name="Approbateur" dataDxfId="2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2"/>
  <sheetViews>
    <sheetView tabSelected="1" topLeftCell="A13" zoomScale="90" zoomScaleNormal="90" workbookViewId="0">
      <selection activeCell="I15" sqref="I15"/>
    </sheetView>
  </sheetViews>
  <sheetFormatPr baseColWidth="10" defaultColWidth="11.42578125" defaultRowHeight="12.75" x14ac:dyDescent="0.2"/>
  <cols>
    <col min="1" max="1" width="11.42578125" style="1"/>
    <col min="2" max="2" width="6.140625" style="1" customWidth="1"/>
    <col min="3" max="3" width="27.42578125" style="1" customWidth="1"/>
    <col min="4" max="4" width="12.85546875" style="1" hidden="1" customWidth="1"/>
    <col min="5" max="5" width="18.28515625" style="1" hidden="1" customWidth="1"/>
    <col min="6" max="6" width="19.42578125" style="1" hidden="1" customWidth="1"/>
    <col min="7" max="7" width="45.85546875" style="1" bestFit="1" customWidth="1"/>
    <col min="8" max="8" width="18.42578125" style="1" hidden="1" customWidth="1"/>
    <col min="9" max="9" width="57" style="1" bestFit="1" customWidth="1"/>
    <col min="10" max="10" width="36.7109375" style="1" bestFit="1" customWidth="1"/>
    <col min="11" max="12" width="13.5703125" style="1" hidden="1" customWidth="1"/>
    <col min="13" max="13" width="15.28515625" style="1" hidden="1" customWidth="1"/>
    <col min="14" max="14" width="9.42578125" style="1" bestFit="1" customWidth="1"/>
    <col min="15" max="15" width="15" style="1" bestFit="1" customWidth="1"/>
    <col min="16" max="16" width="10.42578125" style="1" bestFit="1" customWidth="1"/>
    <col min="17" max="17" width="41.7109375" style="1" bestFit="1" customWidth="1"/>
    <col min="18" max="18" width="14.28515625" style="1" bestFit="1" customWidth="1"/>
    <col min="19" max="19" width="19.28515625" style="1" bestFit="1" customWidth="1"/>
    <col min="20" max="20" width="20.7109375" style="1" bestFit="1" customWidth="1"/>
    <col min="21" max="21" width="13.42578125" style="1" bestFit="1" customWidth="1"/>
    <col min="22" max="22" width="8.5703125" style="1" bestFit="1" customWidth="1"/>
    <col min="23" max="16384" width="11.42578125" style="1"/>
  </cols>
  <sheetData>
    <row r="1" spans="2:22" ht="13.5" thickBot="1" x14ac:dyDescent="0.25"/>
    <row r="2" spans="2:22" ht="19.5" thickBot="1" x14ac:dyDescent="0.3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  <c r="N2" s="41" t="s">
        <v>1</v>
      </c>
      <c r="O2" s="42"/>
      <c r="P2" s="43"/>
      <c r="Q2" s="35" t="s">
        <v>2</v>
      </c>
      <c r="R2" s="36"/>
      <c r="S2" s="36"/>
      <c r="T2" s="36"/>
      <c r="U2" s="36"/>
      <c r="V2" s="37"/>
    </row>
    <row r="3" spans="2:22" ht="53.25" customHeight="1" x14ac:dyDescent="0.2">
      <c r="C3" s="8"/>
      <c r="D3" s="8"/>
      <c r="E3" s="8"/>
      <c r="F3" s="8"/>
      <c r="G3" s="8"/>
      <c r="H3" s="8"/>
      <c r="I3" s="8"/>
    </row>
    <row r="4" spans="2:22" ht="21" customHeight="1" x14ac:dyDescent="0.2">
      <c r="B4" s="30" t="s">
        <v>3</v>
      </c>
      <c r="C4" s="8"/>
      <c r="D4" s="32" t="s">
        <v>4</v>
      </c>
      <c r="E4" s="8"/>
      <c r="F4" s="8"/>
      <c r="G4" s="8" t="s">
        <v>4</v>
      </c>
      <c r="H4" s="8"/>
      <c r="I4" s="8"/>
    </row>
    <row r="5" spans="2:22" ht="21.75" customHeight="1" x14ac:dyDescent="0.25">
      <c r="B5" s="27" t="s">
        <v>5</v>
      </c>
      <c r="D5" s="3" t="s">
        <v>6</v>
      </c>
      <c r="E5" s="3"/>
      <c r="F5" s="3"/>
      <c r="G5" s="3" t="s">
        <v>6</v>
      </c>
      <c r="H5" s="3"/>
      <c r="I5" s="3"/>
    </row>
    <row r="6" spans="2:22" ht="30" x14ac:dyDescent="0.25">
      <c r="B6" s="27" t="s">
        <v>7</v>
      </c>
      <c r="D6" s="3" t="s">
        <v>8</v>
      </c>
      <c r="E6" s="3"/>
      <c r="F6" s="3"/>
      <c r="G6" s="3" t="s">
        <v>137</v>
      </c>
      <c r="H6" s="3"/>
      <c r="I6" s="3"/>
    </row>
    <row r="7" spans="2:22" ht="20.45" customHeight="1" thickBot="1" x14ac:dyDescent="0.3">
      <c r="B7" s="27" t="s">
        <v>9</v>
      </c>
      <c r="D7" s="3" t="s">
        <v>10</v>
      </c>
      <c r="E7" s="3"/>
      <c r="F7" s="3"/>
      <c r="G7" s="31" t="s">
        <v>11</v>
      </c>
      <c r="H7" s="3"/>
      <c r="I7" s="3"/>
    </row>
    <row r="8" spans="2:22" ht="21.6" customHeight="1" x14ac:dyDescent="0.25">
      <c r="B8" s="27" t="s">
        <v>12</v>
      </c>
      <c r="D8" s="3" t="s">
        <v>13</v>
      </c>
      <c r="E8" s="3"/>
      <c r="F8" s="3"/>
      <c r="G8" s="3"/>
      <c r="H8" s="3"/>
      <c r="I8" s="3"/>
    </row>
    <row r="9" spans="2:22" ht="15" x14ac:dyDescent="0.25">
      <c r="C9" s="3"/>
      <c r="D9" s="24"/>
      <c r="E9" s="24"/>
      <c r="F9" s="24"/>
      <c r="G9" s="24"/>
      <c r="H9" s="24"/>
      <c r="I9" s="24"/>
    </row>
    <row r="10" spans="2:22" x14ac:dyDescent="0.2">
      <c r="B10" s="28" t="s">
        <v>14</v>
      </c>
      <c r="C10" s="29"/>
      <c r="D10" s="28" t="s">
        <v>15</v>
      </c>
      <c r="E10" s="9"/>
      <c r="F10" s="9"/>
      <c r="I10" s="21" t="s">
        <v>16</v>
      </c>
    </row>
    <row r="11" spans="2:22" x14ac:dyDescent="0.2">
      <c r="B11" s="28" t="s">
        <v>17</v>
      </c>
      <c r="C11" s="29"/>
      <c r="D11" s="28" t="s">
        <v>18</v>
      </c>
      <c r="E11" s="9"/>
      <c r="F11" s="9"/>
    </row>
    <row r="12" spans="2:22" ht="13.5" thickBot="1" x14ac:dyDescent="0.25"/>
    <row r="13" spans="2:22" s="10" customFormat="1" ht="39" thickBot="1" x14ac:dyDescent="0.25">
      <c r="B13" s="18" t="s">
        <v>19</v>
      </c>
      <c r="C13" s="19" t="s">
        <v>20</v>
      </c>
      <c r="D13" s="19" t="s">
        <v>21</v>
      </c>
      <c r="E13" s="19" t="s">
        <v>22</v>
      </c>
      <c r="F13" s="19" t="s">
        <v>127</v>
      </c>
      <c r="G13" s="19" t="s">
        <v>23</v>
      </c>
      <c r="H13" s="19" t="s">
        <v>24</v>
      </c>
      <c r="I13" s="19" t="s">
        <v>128</v>
      </c>
      <c r="J13" s="19" t="s">
        <v>25</v>
      </c>
      <c r="K13" s="19" t="s">
        <v>26</v>
      </c>
      <c r="L13" s="19" t="s">
        <v>27</v>
      </c>
      <c r="M13" s="20" t="s">
        <v>28</v>
      </c>
      <c r="N13" s="14" t="s">
        <v>29</v>
      </c>
      <c r="O13" s="14" t="s">
        <v>30</v>
      </c>
      <c r="P13" s="14" t="s">
        <v>31</v>
      </c>
      <c r="Q13" s="15" t="s">
        <v>32</v>
      </c>
      <c r="R13" s="16" t="s">
        <v>33</v>
      </c>
      <c r="S13" s="16" t="s">
        <v>34</v>
      </c>
      <c r="T13" s="16" t="s">
        <v>35</v>
      </c>
      <c r="U13" s="16" t="s">
        <v>36</v>
      </c>
      <c r="V13" s="17" t="s">
        <v>37</v>
      </c>
    </row>
    <row r="14" spans="2:22" s="10" customFormat="1" ht="76.5" customHeight="1" x14ac:dyDescent="0.2">
      <c r="B14" s="10" t="s">
        <v>38</v>
      </c>
      <c r="C14" s="10" t="s">
        <v>39</v>
      </c>
      <c r="D14" s="10" t="s">
        <v>40</v>
      </c>
      <c r="E14" s="10" t="s">
        <v>41</v>
      </c>
      <c r="F14" s="10" t="s">
        <v>42</v>
      </c>
      <c r="G14" s="10" t="s">
        <v>43</v>
      </c>
      <c r="H14" s="10" t="s">
        <v>44</v>
      </c>
      <c r="I14" s="10" t="s">
        <v>45</v>
      </c>
      <c r="J14" s="10" t="s">
        <v>122</v>
      </c>
      <c r="K14" s="10" t="s">
        <v>46</v>
      </c>
      <c r="L14" s="10" t="s">
        <v>47</v>
      </c>
      <c r="M14" s="10" t="s">
        <v>48</v>
      </c>
      <c r="N14" s="10">
        <v>2</v>
      </c>
      <c r="O14" s="10">
        <f>Tableau3[[#This Row],[HJ Dev]]*(25%+25%)</f>
        <v>1</v>
      </c>
      <c r="P14" s="10">
        <f>Tableau3[[#This Row],[HJ Analyse et Test]]+Tableau3[[#This Row],[HJ Dev]]</f>
        <v>3</v>
      </c>
      <c r="Q14" s="10" t="s">
        <v>48</v>
      </c>
      <c r="R14" s="10" t="s">
        <v>48</v>
      </c>
      <c r="S14" s="10" t="s">
        <v>48</v>
      </c>
      <c r="T14" s="10" t="s">
        <v>48</v>
      </c>
      <c r="U14" s="10" t="s">
        <v>48</v>
      </c>
    </row>
    <row r="15" spans="2:22" s="10" customFormat="1" ht="114" customHeight="1" x14ac:dyDescent="0.2">
      <c r="B15" s="10" t="s">
        <v>49</v>
      </c>
      <c r="C15" s="10" t="s">
        <v>50</v>
      </c>
      <c r="D15" s="10" t="s">
        <v>40</v>
      </c>
      <c r="E15" s="10" t="s">
        <v>41</v>
      </c>
      <c r="F15" s="10" t="s">
        <v>42</v>
      </c>
      <c r="G15" s="10" t="s">
        <v>51</v>
      </c>
      <c r="H15" s="10" t="s">
        <v>44</v>
      </c>
      <c r="I15" s="10" t="s">
        <v>129</v>
      </c>
      <c r="J15" s="10" t="s">
        <v>122</v>
      </c>
      <c r="K15" s="10" t="s">
        <v>46</v>
      </c>
      <c r="L15" s="10" t="s">
        <v>47</v>
      </c>
      <c r="M15" s="10" t="s">
        <v>48</v>
      </c>
      <c r="N15" s="10">
        <v>1</v>
      </c>
      <c r="O15" s="10">
        <f>Tableau3[[#This Row],[HJ Dev]]*(25%+25%)</f>
        <v>0.5</v>
      </c>
      <c r="P15" s="10">
        <f>Tableau3[[#This Row],[HJ Analyse et Test]]+Tableau3[[#This Row],[HJ Dev]]</f>
        <v>1.5</v>
      </c>
    </row>
    <row r="16" spans="2:22" s="10" customFormat="1" ht="60.75" customHeight="1" x14ac:dyDescent="0.2">
      <c r="B16" s="10" t="s">
        <v>52</v>
      </c>
      <c r="C16" s="10" t="s">
        <v>124</v>
      </c>
      <c r="D16" s="10" t="s">
        <v>40</v>
      </c>
      <c r="E16" s="10" t="s">
        <v>41</v>
      </c>
      <c r="F16" s="10" t="s">
        <v>42</v>
      </c>
      <c r="G16" s="10" t="s">
        <v>124</v>
      </c>
      <c r="H16" s="10" t="s">
        <v>44</v>
      </c>
      <c r="I16" s="10" t="s">
        <v>133</v>
      </c>
      <c r="J16" s="10" t="s">
        <v>122</v>
      </c>
      <c r="N16" s="10">
        <v>1</v>
      </c>
      <c r="O16" s="10">
        <f>Tableau3[[#This Row],[HJ Dev]]*(25%+25%)</f>
        <v>0.5</v>
      </c>
      <c r="P16" s="10">
        <f>Tableau3[[#This Row],[HJ Analyse et Test]]+Tableau3[[#This Row],[HJ Dev]]</f>
        <v>1.5</v>
      </c>
    </row>
    <row r="17" spans="2:22" s="10" customFormat="1" ht="48" customHeight="1" x14ac:dyDescent="0.2">
      <c r="B17" s="10" t="s">
        <v>53</v>
      </c>
      <c r="C17" s="10" t="s">
        <v>54</v>
      </c>
      <c r="D17" s="10" t="s">
        <v>40</v>
      </c>
      <c r="E17" s="10" t="s">
        <v>41</v>
      </c>
      <c r="F17" s="10" t="s">
        <v>42</v>
      </c>
      <c r="G17" s="10" t="s">
        <v>130</v>
      </c>
      <c r="H17" s="10" t="s">
        <v>44</v>
      </c>
      <c r="I17" s="10" t="s">
        <v>134</v>
      </c>
      <c r="J17" s="10" t="s">
        <v>122</v>
      </c>
      <c r="K17" s="10" t="s">
        <v>46</v>
      </c>
      <c r="L17" s="10" t="s">
        <v>47</v>
      </c>
      <c r="M17" s="10" t="s">
        <v>48</v>
      </c>
      <c r="N17" s="10">
        <v>2</v>
      </c>
      <c r="O17" s="10">
        <f>Tableau3[[#This Row],[HJ Dev]]*(25%+25%)</f>
        <v>1</v>
      </c>
      <c r="P17" s="10">
        <f>Tableau3[[#This Row],[HJ Analyse et Test]]+Tableau3[[#This Row],[HJ Dev]]</f>
        <v>3</v>
      </c>
    </row>
    <row r="18" spans="2:22" s="10" customFormat="1" ht="62.25" customHeight="1" x14ac:dyDescent="0.2">
      <c r="B18" s="10" t="s">
        <v>55</v>
      </c>
      <c r="C18" s="10" t="s">
        <v>56</v>
      </c>
      <c r="D18" s="10" t="s">
        <v>40</v>
      </c>
      <c r="E18" s="10" t="s">
        <v>41</v>
      </c>
      <c r="F18" s="10" t="s">
        <v>42</v>
      </c>
      <c r="G18" s="10" t="s">
        <v>57</v>
      </c>
      <c r="H18" s="10" t="s">
        <v>44</v>
      </c>
      <c r="I18" s="10" t="s">
        <v>123</v>
      </c>
      <c r="J18" s="10" t="s">
        <v>58</v>
      </c>
      <c r="K18" s="10" t="s">
        <v>46</v>
      </c>
      <c r="L18" s="10" t="s">
        <v>47</v>
      </c>
      <c r="M18" s="10" t="s">
        <v>48</v>
      </c>
      <c r="N18" s="10">
        <v>3</v>
      </c>
      <c r="O18" s="10">
        <f>Tableau3[[#This Row],[HJ Dev]]*(25%+25%)</f>
        <v>1.5</v>
      </c>
      <c r="P18" s="10">
        <f>Tableau3[[#This Row],[HJ Analyse et Test]]+Tableau3[[#This Row],[HJ Dev]]</f>
        <v>4.5</v>
      </c>
    </row>
    <row r="19" spans="2:22" s="10" customFormat="1" ht="75.75" customHeight="1" x14ac:dyDescent="0.2">
      <c r="B19" s="10" t="s">
        <v>59</v>
      </c>
      <c r="C19" s="10" t="s">
        <v>131</v>
      </c>
      <c r="D19" s="10" t="s">
        <v>40</v>
      </c>
      <c r="E19" s="10" t="s">
        <v>41</v>
      </c>
      <c r="F19" s="10" t="s">
        <v>42</v>
      </c>
      <c r="G19" s="10" t="s">
        <v>132</v>
      </c>
      <c r="H19" s="10" t="s">
        <v>44</v>
      </c>
      <c r="I19" s="10" t="s">
        <v>60</v>
      </c>
      <c r="J19" s="10" t="s">
        <v>122</v>
      </c>
      <c r="K19" s="10" t="s">
        <v>46</v>
      </c>
      <c r="L19" s="10" t="s">
        <v>47</v>
      </c>
      <c r="M19" s="10" t="s">
        <v>48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f>SUBTOTAL(109,Tableau3[Total HJ])</f>
        <v>13.5</v>
      </c>
      <c r="Q20" s="10"/>
      <c r="R20" s="10"/>
      <c r="S20" s="10"/>
      <c r="T20" s="10"/>
      <c r="U20" s="10"/>
      <c r="V20" s="10"/>
    </row>
    <row r="21" spans="2:22" ht="36" customHeight="1" x14ac:dyDescent="0.2"/>
    <row r="22" spans="2:22" x14ac:dyDescent="0.2">
      <c r="P22" s="1">
        <f>Tableau3[[#Totals],[Total HJ]]*245</f>
        <v>3307.5</v>
      </c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19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6B2A4DB-2A94-4B0B-971B-CDFF438E23BA}">
          <x14:formula1>
            <xm:f>Params!$G$3:$G$9</xm:f>
          </x14:formula1>
          <xm:sqref>M14:M19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K14:K19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F14:F19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H14:H19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D14:D19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8"/>
  <sheetViews>
    <sheetView zoomScale="80" zoomScaleNormal="80" workbookViewId="0">
      <selection activeCell="H13" sqref="H13"/>
    </sheetView>
  </sheetViews>
  <sheetFormatPr baseColWidth="10" defaultColWidth="11.42578125" defaultRowHeight="15" x14ac:dyDescent="0.2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.75" thickBot="1" x14ac:dyDescent="0.3"/>
    <row r="3" spans="1:7" ht="24" customHeight="1" thickBot="1" x14ac:dyDescent="0.3">
      <c r="A3" s="2" t="s">
        <v>61</v>
      </c>
      <c r="B3" s="44" t="s">
        <v>0</v>
      </c>
      <c r="C3" s="45"/>
      <c r="D3" s="45"/>
      <c r="E3" s="45"/>
      <c r="F3" s="45"/>
      <c r="G3" s="46"/>
    </row>
    <row r="4" spans="1:7" x14ac:dyDescent="0.25">
      <c r="B4" s="4"/>
      <c r="C4" s="5"/>
      <c r="D4" s="5"/>
      <c r="E4" s="5"/>
      <c r="F4" s="5"/>
      <c r="G4" s="5"/>
    </row>
    <row r="5" spans="1:7" x14ac:dyDescent="0.25">
      <c r="B5" s="12" t="str">
        <f>'Gestion Exigences'!B5</f>
        <v>Client</v>
      </c>
      <c r="D5" s="12" t="str">
        <f>'Gestion Exigences'!D5</f>
        <v>Cotherm</v>
      </c>
      <c r="E5" s="5"/>
      <c r="F5" s="5"/>
      <c r="G5" s="5"/>
    </row>
    <row r="6" spans="1:7" x14ac:dyDescent="0.25">
      <c r="B6" s="12" t="str">
        <f>'Gestion Exigences'!B6</f>
        <v>Projet</v>
      </c>
      <c r="D6" s="12" t="str">
        <f>'Gestion Exigences'!D6</f>
        <v xml:space="preserve">Projet Imprimante </v>
      </c>
      <c r="E6" s="5"/>
      <c r="F6" s="5"/>
      <c r="G6" s="5"/>
    </row>
    <row r="7" spans="1:7" x14ac:dyDescent="0.2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2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25">
      <c r="B9" s="4"/>
      <c r="C9" s="12"/>
      <c r="D9" s="5"/>
      <c r="E9" s="5"/>
      <c r="F9" s="5"/>
      <c r="G9" s="5"/>
    </row>
    <row r="10" spans="1:7" x14ac:dyDescent="0.25">
      <c r="B10" s="25" t="str">
        <f>'Gestion Exigences'!B10</f>
        <v>Réf Modèle Document</v>
      </c>
      <c r="C10" s="26" t="str">
        <f>'Gestion Exigences'!D10</f>
        <v>MD203</v>
      </c>
      <c r="D10" s="5"/>
      <c r="E10" s="5"/>
      <c r="F10" s="5"/>
      <c r="G10" s="5"/>
    </row>
    <row r="11" spans="1:7" x14ac:dyDescent="0.25">
      <c r="B11" s="25" t="str">
        <f>'Gestion Exigences'!B11</f>
        <v>Version Modèle Document</v>
      </c>
      <c r="C11" s="26" t="str">
        <f>'Gestion Exigences'!D11</f>
        <v>V1.5</v>
      </c>
      <c r="D11" s="5"/>
      <c r="E11" s="5"/>
      <c r="F11" s="5"/>
      <c r="G11" s="5"/>
    </row>
    <row r="12" spans="1:7" x14ac:dyDescent="0.25">
      <c r="B12" s="4"/>
      <c r="C12" s="5"/>
      <c r="D12" s="5"/>
      <c r="E12" s="5"/>
      <c r="F12" s="5"/>
      <c r="G12" s="5"/>
    </row>
    <row r="13" spans="1:7" x14ac:dyDescent="0.25">
      <c r="B13" s="13" t="s">
        <v>62</v>
      </c>
      <c r="C13" s="13" t="s">
        <v>63</v>
      </c>
      <c r="D13" s="13" t="s">
        <v>64</v>
      </c>
      <c r="E13" s="13" t="s">
        <v>65</v>
      </c>
      <c r="F13" s="13" t="s">
        <v>66</v>
      </c>
      <c r="G13" s="13" t="s">
        <v>67</v>
      </c>
    </row>
    <row r="14" spans="1:7" ht="29.45" customHeight="1" x14ac:dyDescent="0.25">
      <c r="B14" s="6" t="s">
        <v>68</v>
      </c>
      <c r="C14" s="7">
        <v>45190</v>
      </c>
      <c r="D14" s="23" t="s">
        <v>69</v>
      </c>
      <c r="E14" s="6" t="s">
        <v>70</v>
      </c>
      <c r="F14" s="22" t="s">
        <v>71</v>
      </c>
      <c r="G14" s="6" t="s">
        <v>72</v>
      </c>
    </row>
    <row r="15" spans="1:7" x14ac:dyDescent="0.25">
      <c r="B15" s="2" t="s">
        <v>119</v>
      </c>
      <c r="C15" s="33">
        <v>45211</v>
      </c>
      <c r="D15" s="2" t="s">
        <v>54</v>
      </c>
      <c r="E15" s="6" t="s">
        <v>70</v>
      </c>
      <c r="F15" s="22" t="s">
        <v>71</v>
      </c>
      <c r="G15" s="6" t="s">
        <v>72</v>
      </c>
    </row>
    <row r="16" spans="1:7" x14ac:dyDescent="0.25">
      <c r="B16" s="2" t="s">
        <v>120</v>
      </c>
      <c r="C16" s="33">
        <v>45226</v>
      </c>
      <c r="D16" s="2" t="s">
        <v>121</v>
      </c>
      <c r="E16" s="6" t="s">
        <v>70</v>
      </c>
      <c r="F16" s="22" t="s">
        <v>71</v>
      </c>
      <c r="G16" s="6" t="s">
        <v>72</v>
      </c>
    </row>
    <row r="17" spans="2:7" ht="30" x14ac:dyDescent="0.25">
      <c r="B17" s="2" t="s">
        <v>125</v>
      </c>
      <c r="C17" s="33">
        <v>45240</v>
      </c>
      <c r="D17" s="2" t="s">
        <v>126</v>
      </c>
      <c r="E17" s="34" t="s">
        <v>70</v>
      </c>
      <c r="F17" s="22" t="s">
        <v>71</v>
      </c>
      <c r="G17" s="34" t="s">
        <v>72</v>
      </c>
    </row>
    <row r="18" spans="2:7" ht="45" x14ac:dyDescent="0.25">
      <c r="B18" s="2" t="s">
        <v>135</v>
      </c>
      <c r="C18" s="33">
        <v>45387</v>
      </c>
      <c r="D18" s="2" t="s">
        <v>136</v>
      </c>
      <c r="E18" s="34" t="s">
        <v>70</v>
      </c>
      <c r="F18" s="22" t="s">
        <v>71</v>
      </c>
      <c r="G18" s="34" t="s">
        <v>72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C17" sqref="C17"/>
    </sheetView>
  </sheetViews>
  <sheetFormatPr baseColWidth="10" defaultColWidth="11.42578125" defaultRowHeight="12.75" x14ac:dyDescent="0.2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5.5" x14ac:dyDescent="0.2">
      <c r="B2" s="11" t="s">
        <v>3</v>
      </c>
      <c r="C2" s="11" t="s">
        <v>21</v>
      </c>
      <c r="D2" s="11" t="s">
        <v>73</v>
      </c>
      <c r="E2" s="11" t="s">
        <v>24</v>
      </c>
      <c r="F2" s="11" t="s">
        <v>74</v>
      </c>
      <c r="G2" s="11" t="s">
        <v>28</v>
      </c>
      <c r="H2" s="11" t="s">
        <v>75</v>
      </c>
      <c r="I2" s="11" t="s">
        <v>22</v>
      </c>
    </row>
    <row r="3" spans="2:9" x14ac:dyDescent="0.2">
      <c r="B3" s="10" t="s">
        <v>76</v>
      </c>
      <c r="C3" s="10" t="s">
        <v>40</v>
      </c>
      <c r="D3" s="10" t="s">
        <v>42</v>
      </c>
      <c r="E3" s="10" t="s">
        <v>77</v>
      </c>
      <c r="F3" s="10" t="s">
        <v>78</v>
      </c>
      <c r="G3" s="10" t="s">
        <v>79</v>
      </c>
      <c r="H3" s="10" t="s">
        <v>46</v>
      </c>
      <c r="I3" s="10" t="s">
        <v>80</v>
      </c>
    </row>
    <row r="4" spans="2:9" x14ac:dyDescent="0.2">
      <c r="B4" s="10" t="s">
        <v>81</v>
      </c>
      <c r="C4" s="10" t="s">
        <v>82</v>
      </c>
      <c r="D4" s="10" t="s">
        <v>83</v>
      </c>
      <c r="E4" s="10" t="s">
        <v>44</v>
      </c>
      <c r="F4" s="10" t="s">
        <v>84</v>
      </c>
      <c r="G4" s="10" t="s">
        <v>85</v>
      </c>
      <c r="H4" s="10" t="s">
        <v>86</v>
      </c>
      <c r="I4" s="10" t="s">
        <v>87</v>
      </c>
    </row>
    <row r="5" spans="2:9" x14ac:dyDescent="0.2">
      <c r="B5" s="10" t="s">
        <v>88</v>
      </c>
      <c r="C5" s="10" t="s">
        <v>89</v>
      </c>
      <c r="D5" s="10" t="s">
        <v>90</v>
      </c>
      <c r="E5" s="10" t="s">
        <v>91</v>
      </c>
      <c r="F5" s="10" t="s">
        <v>48</v>
      </c>
      <c r="G5" s="10" t="s">
        <v>48</v>
      </c>
      <c r="H5" s="10" t="s">
        <v>48</v>
      </c>
      <c r="I5" s="10" t="s">
        <v>92</v>
      </c>
    </row>
    <row r="6" spans="2:9" x14ac:dyDescent="0.2">
      <c r="B6" s="10" t="s">
        <v>4</v>
      </c>
      <c r="C6" s="10" t="s">
        <v>93</v>
      </c>
      <c r="D6" s="10" t="s">
        <v>94</v>
      </c>
      <c r="E6" s="10" t="s">
        <v>95</v>
      </c>
      <c r="I6" s="10" t="s">
        <v>96</v>
      </c>
    </row>
    <row r="7" spans="2:9" x14ac:dyDescent="0.2">
      <c r="B7" s="10" t="s">
        <v>97</v>
      </c>
      <c r="C7" s="10" t="s">
        <v>98</v>
      </c>
      <c r="D7" s="10" t="s">
        <v>99</v>
      </c>
      <c r="E7" s="10" t="s">
        <v>100</v>
      </c>
      <c r="I7" s="10" t="s">
        <v>101</v>
      </c>
    </row>
    <row r="8" spans="2:9" x14ac:dyDescent="0.2">
      <c r="B8" s="10" t="s">
        <v>102</v>
      </c>
      <c r="C8" s="10" t="s">
        <v>103</v>
      </c>
      <c r="E8" s="10" t="s">
        <v>104</v>
      </c>
      <c r="I8" s="10" t="s">
        <v>105</v>
      </c>
    </row>
    <row r="9" spans="2:9" x14ac:dyDescent="0.2">
      <c r="B9" s="10" t="s">
        <v>106</v>
      </c>
      <c r="E9" s="10" t="s">
        <v>107</v>
      </c>
      <c r="I9" s="10" t="s">
        <v>108</v>
      </c>
    </row>
    <row r="10" spans="2:9" x14ac:dyDescent="0.2">
      <c r="I10" s="10" t="s">
        <v>109</v>
      </c>
    </row>
    <row r="11" spans="2:9" x14ac:dyDescent="0.2">
      <c r="I11" s="10" t="s">
        <v>110</v>
      </c>
    </row>
    <row r="13" spans="2:9" x14ac:dyDescent="0.2">
      <c r="I13" s="10" t="s">
        <v>111</v>
      </c>
    </row>
    <row r="14" spans="2:9" x14ac:dyDescent="0.2">
      <c r="I14" s="10" t="s">
        <v>112</v>
      </c>
    </row>
    <row r="15" spans="2:9" x14ac:dyDescent="0.2">
      <c r="I15" s="10" t="s">
        <v>41</v>
      </c>
    </row>
    <row r="16" spans="2:9" x14ac:dyDescent="0.2">
      <c r="I16" s="10" t="s">
        <v>113</v>
      </c>
    </row>
    <row r="17" spans="9:9" x14ac:dyDescent="0.2">
      <c r="I17" s="10" t="s">
        <v>114</v>
      </c>
    </row>
    <row r="18" spans="9:9" x14ac:dyDescent="0.2">
      <c r="I18" s="10" t="s">
        <v>115</v>
      </c>
    </row>
    <row r="19" spans="9:9" x14ac:dyDescent="0.2">
      <c r="I19" s="10" t="s">
        <v>116</v>
      </c>
    </row>
    <row r="21" spans="9:9" x14ac:dyDescent="0.2">
      <c r="I21" s="10" t="s">
        <v>117</v>
      </c>
    </row>
    <row r="22" spans="9:9" ht="25.5" x14ac:dyDescent="0.2">
      <c r="I22" s="10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SharedWithUsers xmlns="43b908ec-9e92-424c-a4ad-3174bac6e888">
      <UserInfo>
        <DisplayName/>
        <AccountId xsi:nil="true"/>
        <AccountType/>
      </UserInfo>
    </SharedWithUsers>
    <lcf76f155ced4ddcb4097134ff3c332f xmlns="5f2f9e80-f74a-40c7-b145-b94d8e4966f0">
      <Terms xmlns="http://schemas.microsoft.com/office/infopath/2007/PartnerControls"/>
    </lcf76f155ced4ddcb4097134ff3c332f>
    <MediaLengthInSeconds xmlns="5f2f9e80-f74a-40c7-b145-b94d8e4966f0" xsi:nil="true"/>
  </documentManagement>
</p:properties>
</file>

<file path=customXml/itemProps1.xml><?xml version="1.0" encoding="utf-8"?>
<ds:datastoreItem xmlns:ds="http://schemas.openxmlformats.org/officeDocument/2006/customXml" ds:itemID="{45A2709F-00B2-4B93-9169-E2542ED99B62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8d07ac0-315d-4ba4-a3f8-0e1dfb824eb0"/>
    <ds:schemaRef ds:uri="f681d081-fe2e-4389-8dd1-c7421b0f7b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 Besbes</cp:lastModifiedBy>
  <cp:revision/>
  <dcterms:created xsi:type="dcterms:W3CDTF">2000-07-05T17:03:55Z</dcterms:created>
  <dcterms:modified xsi:type="dcterms:W3CDTF">2024-05-24T10:08:26Z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