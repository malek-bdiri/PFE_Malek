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omsoftware.sharepoint.com/sites/Commercial/Documents partages/06 Prospects/039 Pâtisserie MASMOUDI/20 Projet Digitalisation Usine/2 Préparation Offre/"/>
    </mc:Choice>
  </mc:AlternateContent>
  <xr:revisionPtr revIDLastSave="26" documentId="8_{E91A9D94-9FAD-4B45-8F88-16DA6064F354}" xr6:coauthVersionLast="47" xr6:coauthVersionMax="47" xr10:uidLastSave="{F6456A90-8FF6-4B3E-BBE4-BD7DA72D8444}"/>
  <bookViews>
    <workbookView xWindow="-120" yWindow="-120" windowWidth="29040" windowHeight="15720" tabRatio="620" xr2:uid="{00000000-000D-0000-FFFF-FFFF00000000}"/>
  </bookViews>
  <sheets>
    <sheet name="Gestion Exigences" sheetId="27" r:id="rId1"/>
    <sheet name="Modifs Doc" sheetId="29" r:id="rId2"/>
    <sheet name="Params" sheetId="30" r:id="rId3"/>
  </sheets>
  <definedNames>
    <definedName name="_xlnm.Print_Area" localSheetId="0">'Gestion Exigences'!$D$2:$J$44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5" i="27" l="1"/>
  <c r="Q25" i="27" s="1"/>
  <c r="P22" i="27"/>
  <c r="Q22" i="27" s="1"/>
  <c r="P31" i="27"/>
  <c r="Q31" i="27" s="1"/>
  <c r="P18" i="27"/>
  <c r="Q18" i="27" s="1"/>
  <c r="P24" i="27"/>
  <c r="Q24" i="27" s="1"/>
  <c r="P23" i="27"/>
  <c r="Q23" i="27" s="1"/>
  <c r="P34" i="27"/>
  <c r="Q34" i="27" s="1"/>
  <c r="P30" i="27"/>
  <c r="Q30" i="27" s="1"/>
  <c r="P26" i="27"/>
  <c r="Q26" i="27" s="1"/>
  <c r="P28" i="27"/>
  <c r="Q28" i="27" s="1"/>
  <c r="P29" i="27"/>
  <c r="Q29" i="27" s="1"/>
  <c r="P41" i="27"/>
  <c r="Q41" i="27" s="1"/>
  <c r="P42" i="27"/>
  <c r="Q42" i="27" s="1"/>
  <c r="P43" i="27"/>
  <c r="Q43" i="27" s="1"/>
  <c r="P44" i="27"/>
  <c r="Q44" i="27" s="1"/>
  <c r="P37" i="27"/>
  <c r="Q37" i="27" s="1"/>
  <c r="P38" i="27"/>
  <c r="Q38" i="27" s="1"/>
  <c r="P39" i="27"/>
  <c r="Q39" i="27" s="1"/>
  <c r="P40" i="27"/>
  <c r="Q40" i="27" s="1"/>
  <c r="P36" i="27"/>
  <c r="Q36" i="27" s="1"/>
  <c r="P35" i="27"/>
  <c r="Q35" i="27" s="1"/>
  <c r="P33" i="27"/>
  <c r="Q33" i="27" s="1"/>
  <c r="P27" i="27"/>
  <c r="Q27" i="27" s="1"/>
  <c r="P32" i="27" l="1"/>
  <c r="Q32" i="27" s="1"/>
  <c r="P21" i="27"/>
  <c r="Q21" i="27" s="1"/>
  <c r="P20" i="27"/>
  <c r="Q20" i="27" s="1"/>
  <c r="P19" i="27"/>
  <c r="Q19" i="27" s="1"/>
  <c r="P17" i="27"/>
  <c r="Q17" i="27" s="1"/>
  <c r="O45" i="27"/>
  <c r="P16" i="27" l="1"/>
  <c r="Q16" i="27" s="1"/>
  <c r="P15" i="27"/>
  <c r="Q15" i="27" s="1"/>
  <c r="D8" i="29" l="1"/>
  <c r="D9" i="29"/>
  <c r="B6" i="29"/>
  <c r="D6" i="29"/>
  <c r="B7" i="29"/>
  <c r="D7" i="29"/>
  <c r="B8" i="29"/>
  <c r="B9" i="29"/>
  <c r="B11" i="29"/>
  <c r="D5" i="29"/>
  <c r="B5" i="29"/>
  <c r="P45" i="27" l="1"/>
  <c r="Q45" i="27" l="1"/>
</calcChain>
</file>

<file path=xl/sharedStrings.xml><?xml version="1.0" encoding="utf-8"?>
<sst xmlns="http://schemas.openxmlformats.org/spreadsheetml/2006/main" count="488" uniqueCount="218">
  <si>
    <t>Gestion Exigences Projet</t>
  </si>
  <si>
    <t>Chiffrage Réalisation/Analyse/Test</t>
  </si>
  <si>
    <t>Revue et Vérification Pendant la Conception</t>
  </si>
  <si>
    <t>BU</t>
  </si>
  <si>
    <t xml:space="preserve">SF </t>
  </si>
  <si>
    <t>Client</t>
  </si>
  <si>
    <t>Pâtisserie Masmoudi</t>
  </si>
  <si>
    <t>Projet</t>
  </si>
  <si>
    <t>Digitalisation Usine</t>
  </si>
  <si>
    <t>Confidentiel | Usage Client Limité</t>
  </si>
  <si>
    <t>Réf BPA du Devis</t>
  </si>
  <si>
    <t>TBC</t>
  </si>
  <si>
    <t>Réf BPA du Projet</t>
  </si>
  <si>
    <t>MD203:V1.1</t>
  </si>
  <si>
    <t>Id exigence</t>
  </si>
  <si>
    <t>Objectif client</t>
  </si>
  <si>
    <t>Intitulé Exigence</t>
  </si>
  <si>
    <t>Nature</t>
  </si>
  <si>
    <t>Catégorie</t>
  </si>
  <si>
    <t>Exigence idenfiée pendant la phase</t>
  </si>
  <si>
    <t>Description de l'exigence</t>
  </si>
  <si>
    <t>Source</t>
  </si>
  <si>
    <t>Desciption de la solution MOMSOFT</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</si>
  <si>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</si>
  <si>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</si>
  <si>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</si>
  <si>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</si>
  <si>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</si>
  <si>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</si>
  <si>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</si>
  <si>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</si>
  <si>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</si>
  <si>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</si>
  <si>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</si>
  <si>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</si>
  <si>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</si>
  <si>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</si>
  <si>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Configuration des données</t>
  </si>
  <si>
    <t>SF-Fonctionnelle</t>
  </si>
  <si>
    <t>Commerciale</t>
  </si>
  <si>
    <t>Workshop/réunion client</t>
  </si>
  <si>
    <t>Configuration complète et gestion d'usine</t>
  </si>
  <si>
    <t>Standard</t>
  </si>
  <si>
    <t>La solution propose un module "Configuration" permettant la modélisation, la gestion et la planification d'une usine connectée :
*Modélisation hiérarchique de l'usine : sites, ateliers, lignes, postes, machines
*Gestion des produits
*Gestion des incidents et des défauts
*Gestion des utilisateurs et des autorisations : rôles et accès contrôlés
*Gestion des équipes
*Planification des lignes et des équipes</t>
  </si>
  <si>
    <t>RAS</t>
  </si>
  <si>
    <t>Validée</t>
  </si>
  <si>
    <t>Mahdi B.</t>
  </si>
  <si>
    <t>Validée par le client</t>
  </si>
  <si>
    <t>E002</t>
  </si>
  <si>
    <t>Chargement des données à partir des fichiers CSV</t>
  </si>
  <si>
    <t>Chargement automatisé des données dans la solution</t>
  </si>
  <si>
    <t>La solution comprend un module « Intégration » pour l'intégration automatisée des données : importation automatique des données à partir de fichiers CSV . Elle prend en charge les entités utilisateur, produit, gammes de contrôle, gammes opératoire, nomrnclature et outillage, avec une gestion détaillée des erreurs pour l'intégration.</t>
  </si>
  <si>
    <t>E003</t>
  </si>
  <si>
    <t>Intégration des OF depuis SAGE X3</t>
  </si>
  <si>
    <t>SF-Intégration SI</t>
  </si>
  <si>
    <t>Ajouter une API permettant d’intégrer automatiquement les OF depuis SAGE X3 vers Smart Factory, incluant la matière, la gamme opératoire et la nomenclature.</t>
  </si>
  <si>
    <t>Adaptation</t>
  </si>
  <si>
    <t>E004</t>
  </si>
  <si>
    <t>Intégration des bons de sortie magasin</t>
  </si>
  <si>
    <t>Ajouter une API permettant d’intégrer automatiquement les bons de sortie magasin depuis SAGE X3 vers Smart Factory.</t>
  </si>
  <si>
    <t>Ajouter une API permettant d’intégrer automatiquement les bons de sortie magasin depuis Sage X3 vers Smart Factory, incluant :
- L'OF associé
- Les articles et lots concernés
- La quantité à transférer
- La zone WIP de destination</t>
  </si>
  <si>
    <t>E005</t>
  </si>
  <si>
    <t>Gestion des nomenclatures</t>
  </si>
  <si>
    <t xml:space="preserve">Permettre la gestion de la nomenclature </t>
  </si>
  <si>
    <t xml:space="preserve">Adaptation : 
- Ajout d'une interface qui permet la création, la modification et la suppression  de la nomenclature.
</t>
  </si>
  <si>
    <t>E006</t>
  </si>
  <si>
    <t>Gestion des gammes opératoires</t>
  </si>
  <si>
    <t>Permettre la gestion de la gamme opératoire</t>
  </si>
  <si>
    <t xml:space="preserve">Adaptation : 
- Ajout d'une interface qui permet la création, la modification et la suppression de la gamme opératoire
- La gamme opératoire est sous forme d'un tableau permettant de définir l'ordre des opérations et de modifier leurs paramétres si besoin </t>
  </si>
  <si>
    <t>E007</t>
  </si>
  <si>
    <t>Gestion et suivi  des ordres de fabrications</t>
  </si>
  <si>
    <t xml:space="preserve">Gérer et suivre les ordres de fabrications </t>
  </si>
  <si>
    <t>La solution offre une interface "Gestion des OF" sous le module "Production" permettant :
- Ajout manuel des Ordres de fabrication en spécifiant les informations associées nécessaires : Atelier , ligne , commande ,  produit , temps de cycle , quantité objectif , temps de changement de série , matière, gamme opératoire, nomenclature.
- Gestion centralisée des OF:
Gestion et suivi des différents statuts des OF (planifié, lancé, suspendu, changement de série, etc.)
Mise à jour en temps réel des statuts
Workflow de validation des changements de statut paramétrables
- Gestion des opérations associées à un OF:
Calcul des dates de début et fin prévues pour chaque opération
Suivi d'avancement des opérations
- Planification et ajustement :
Planification initiale des OF en fonction des données saisies 
Ajustement de la planification en cas d'aléas
Consultation en temps réel de l'impact des ajustements sur la planification globale.</t>
  </si>
  <si>
    <t>E008</t>
  </si>
  <si>
    <t>Gestion des emplacements et zones de stockage</t>
  </si>
  <si>
    <t>Ajouter une interface assurant la gestion des zones de stockage WIP, incluant :
- Création, modification et suppression des zones
- Affectation des zones par ligne et par atelier</t>
  </si>
  <si>
    <t>E009</t>
  </si>
  <si>
    <t>Gestion et suivi Mouvement matiére par emplacement</t>
  </si>
  <si>
    <t>Ajouter une interface offrant les fonctionnalités suivantes :
- Déclaration des mouvements d’entrée des matières et des PSF dans la zone WIP
- Déclaration des mouvements de sortie des matières et des PSF de la zone WIP
- Création des bons de retour magasin pour les matières et les PSF
- Historisation des mouvements des matières et des PSF par zone WIP, par OF et par opérateur</t>
  </si>
  <si>
    <t>E010</t>
  </si>
  <si>
    <t>Gestion des ordres de fabrications multi-article</t>
  </si>
  <si>
    <t>Adaptation :
Ajouter une fonctionnalité permettant de gérer plusieurs articles par OF.</t>
  </si>
  <si>
    <t>E011</t>
  </si>
  <si>
    <t>Gestion et suivi de la prodution par OF</t>
  </si>
  <si>
    <t>Déclaration manuelle et automatique de la production et des non-conformité et des arrêts en assurant un suivi en temps réel et un historique détaillé.</t>
  </si>
  <si>
    <t>La solution comprend un module de "Gestion de Production" offrant les fonctionnalités suivantes :
-Déclaration manuelle et automatiques de la production : Enregistrement des quantités produites et des non-conformités pour chaque Ordre de Fabrication (OF), ligne, et produit. avec la possibilité de la déclaration par lot.
-Validation des déclarations :Workflow de validation des déclarations de production avec des niveaux de validation paramétrables 
-Rapports détaillés : Accès à des rapports détaillés sur l'historique de production, incluant les quantités produites, les non-conformités, ainsi que les performances des lignes et des opérateurs.
-Filtrage avancé : Possibilité de filtrer les données par OF, équipe, ligne, produit, et période de production.</t>
  </si>
  <si>
    <t>E012</t>
  </si>
  <si>
    <t xml:space="preserve">Déclaration de production par lot
</t>
  </si>
  <si>
    <t>Déclaration de production par lot</t>
  </si>
  <si>
    <t>Adaptatioin :
Adapter le flux de déclaration par lot en ajoutant la possibilité de déclarer, sur un même OF, la quantité produite, la quantité NOK et la quantité rebutée pour chaque article (un OF peut être multi-articles).</t>
  </si>
  <si>
    <t>E013</t>
  </si>
  <si>
    <t>Gestion de la consommation matiére par OF</t>
  </si>
  <si>
    <t>LOT-OF  : Préparation ( lot par date : jour )</t>
  </si>
  <si>
    <t>Adaptation : 
Ajouter la possibilité de consommer les matières et les PSF depuis différents lots, avec la possibilité de définir la quantité consommée pour chaque lot.</t>
  </si>
  <si>
    <t>E014</t>
  </si>
  <si>
    <t>Retour des données de productions vers SAGE X3</t>
  </si>
  <si>
    <t>Mise en place d’un webservice pour assurer le retour des déclarations de production validées (lots), ainsi que des quantités consommées en matières premières et en PSF.</t>
  </si>
  <si>
    <t>E015</t>
  </si>
  <si>
    <t>Retour des matières vers SAGE X3</t>
  </si>
  <si>
    <t>Mise en place d’un webservice pour assurer le retour des matières ou PSF dans le WIP  vers SAGE X3.</t>
  </si>
  <si>
    <t>E016</t>
  </si>
  <si>
    <t>Suivi en temps réel</t>
  </si>
  <si>
    <t>La solution offre une supervision de production en temps réel avec le module "Vue 360°" permettant de  : 
-Visualiser l'état des lignes en temps réel avec codification couleur paramétrable.-Suivire des indicateurs clés de performance (KPI): TRS équipe et OF ,Taux de performance, disponibilité et qualité , PPM (pièces par million)
-Suivre de la progression des OF.
-Analyser des arrêts: Durées, causes et nombre d'occurrences.
-Visualiser la production et non-conformité en temps réel: Production totale et horaire par équipe , Non-conformité totale et horaire par équipe avec catégorisation par défaut qualité.</t>
  </si>
  <si>
    <t>E017</t>
  </si>
  <si>
    <t>Tableau de bord production</t>
  </si>
  <si>
    <t>OF - plusieurs lot : conditionnement : lot = coffret</t>
  </si>
  <si>
    <t xml:space="preserve">la solution offre un tableau de bord fournissant une vue multi-niveaux de la production en utilisant des indicateurs comme TRS, Quantité produite vs Quantité planifiée, Temps d'arrêt vs temps de production, etc.
</t>
  </si>
  <si>
    <t>E018</t>
  </si>
  <si>
    <t>Suivi de performance</t>
  </si>
  <si>
    <t>Ajout des indicateurs pour évaluer la performance.</t>
  </si>
  <si>
    <t>Adaptation : 
Ajouter le suivi des indicateurs suivants en temps réel et en historique :
-Taux de déclassement
-Taux de consommation matière
-Taux de respect de la charge
-Taux de rebuts
Avec gestion des objectifs et des alertes.</t>
  </si>
  <si>
    <t>E019</t>
  </si>
  <si>
    <t>Fiche non conformité</t>
  </si>
  <si>
    <t>La solution propose une interface "Fiche Non-Conformité" pour identifier, documenter, analyser et résoudre les incidents de qualité en production, avec les fonctionnalités suivantes :
-Identification du problème : Tracer la pièce concernée, ajouter une photo et l’associer à la fiche.
Définir le lieu de détection, le type de défaut, et la quantité affectée,Analyser les causes racines (QQCQ), Indiquer le statut du produit (isolé, livré, bloqué).
-Actions immédiates :Définir les actions correctives, Décider si le produit sera livré après correction ou nécessite un traitement supplémentaire, Fournir une description complète de la non-conformité.
-Analyse des causes :Utiliser les méthodologies 5M (Ishikawa) et 5 Pourquoi.
-Actions définitives :Élaborer un plan pour traiter les causes profondes et prévenir la récurrence.
Attribuer les responsabilités, informer les parties concernées, et planifier les dates d'exécution.
-Historique et consultation :Maintenir un référentiel centralisé des fiches de non-conformité</t>
  </si>
  <si>
    <t>E020</t>
  </si>
  <si>
    <t>Analyse des causes des non-conformités avec l'outil QRQC</t>
  </si>
  <si>
    <t xml:space="preserve">la solution offre un QRQC qui permet de rédoudre les non conformité en déclenchant la création des fiches  en s'appuyant sur des seuils de qualité paramètrable , permettant ainsi: 
-D'idententifier le problème et le contexte de l'incident
-De mettre en place un tri pour catégoriser les incidents en fonction de leur gravité
-De définir les actions immédiates et bloquer la production si nécéssaire
-De définir les causes racines avec les méthodes 5M et 5 pourquoi 
-Définition et suivi des actions définitives en élaborant un plan d'action correctif détaillé, en assignant des responsabilités aux personnes concernées et en définissant des échéances . Le système assure un suivi de l'avancement des actions et permet une validation une fois les actions terminées. </t>
  </si>
  <si>
    <t>E021</t>
  </si>
  <si>
    <t xml:space="preserve">Gestion des outils de mesures </t>
  </si>
  <si>
    <t>Gérer les outils de mesures de qualité des produits</t>
  </si>
  <si>
    <r>
      <rPr>
        <sz val="12"/>
        <color rgb="FF000000"/>
        <rFont val="Calibri Light"/>
        <family val="2"/>
        <scheme val="major"/>
      </rPr>
      <t>la solution offre un module de gestion des outils de mesure de qualité permet de suivre et gérer les outils de mesures de la qualité des prodduits en  mettant en place des études R&amp;R pour évaluer la fiabilité des outils avec un suivi de statut de échantillonnage</t>
    </r>
    <r>
      <rPr>
        <sz val="12"/>
        <color rgb="FFFF0000"/>
        <rFont val="Calibri Light"/>
        <family val="2"/>
        <scheme val="major"/>
      </rPr>
      <t xml:space="preserve"> </t>
    </r>
    <r>
      <rPr>
        <sz val="12"/>
        <color rgb="FF000000"/>
        <rFont val="Calibri Light"/>
        <family val="2"/>
        <scheme val="major"/>
      </rPr>
      <t>.</t>
    </r>
  </si>
  <si>
    <t>E022</t>
  </si>
  <si>
    <t>Fiches Qualité</t>
  </si>
  <si>
    <t>Gérer les gammes de contrôles et générer des fiches de qualité selon des fréquences paramétrables et des événements</t>
  </si>
  <si>
    <t>La solution propose un module de gestion des gammes de contrôle offrant les fonctionnalités suivantes :
-Définition de gammes de contrôle: Configuration détaillée des critères de contrôle (visuels, dimensionnels), des paramètres de réglage du processus, des tolérances et des fréquences de génération des fiches.
-Génération automatisée de fiches de contrôle: Création automatique de fiches de démarrage, de fin de série et de suivi en fonction des événements de production (lancement, suspension, clôture d'OF) et des fréquences définies , ainsi que des fiches de suivi périodiques en fonction des fréquences définies.
Workflow de validation et suivi: Implémentation d'un workflow de validation multi-niveaux (opérateur, contrôleur qualité, etc.) et stockage d'un historique complet des fiches pour une traçabilité optimale.
Adaptation :
-Ajouter l’option de création des fiches de contrôle par événement (par exemple, un arrêt de type X).
-Ajouter la possibilité de joindre un rapport de contrôle laboratoire aux fiches de contrôle (fiche de suivi, fiche de démarrage et fiche de fin de série).
-Ajouter un accées rapide au instruction de travail a partir des fiches de contrôle (fiche de suivi, fiche de démarrage et fiche de fin de série).</t>
  </si>
  <si>
    <t>E023</t>
  </si>
  <si>
    <t>Suivi MSP</t>
  </si>
  <si>
    <t xml:space="preserve">
Analyse de la capabilité et anticipation des écarts des processus de production avec des cartes de contrôle MSP.</t>
  </si>
  <si>
    <t>La solution offre un module "MSP" permettant de : -
-Spécifier les caractéristiques spéciaux à surveiller, les tolérances associées et la fréquence de collecte des données.
-Évaluer la stabilité du processus de production en calculant des indices de capabilité (Cp, Cpk) 
-Mettre en œuvre des contrôles statistiques en temps réel (moyenne, écart-type) et mettre à jour les limites de contrôle 
-Suivre et anticiper les variations de qualité:  des processus avec des cartes de contrôle et identifier les tendances et les déviations significatives.
-Configurer des alertes automatiques pour signaler les dépassements des limites de contrôle ou les variations inattendues</t>
  </si>
  <si>
    <t>E024</t>
  </si>
  <si>
    <t>Suivi 6S</t>
  </si>
  <si>
    <t xml:space="preserve">
Gérer les actions 6s et génération et suivi  et historisation des audits 6s .</t>
  </si>
  <si>
    <t>La solution offre un module "6S" permettant de:
-Gérer les actions 6s et les assigner aux lignes et ateliers, en définissant les responsables.
-Générer des formulaires d'audit à remplir et à valider par les personnes concernées et visualiser l'évolution des résultats d'audit grâce et des graphiques
-Historiser les audits et les résultats pour faciliter le suivi dans le temps et les analyses comparatives.</t>
  </si>
  <si>
    <t>E025</t>
  </si>
  <si>
    <t>Tableau de bord qualité</t>
  </si>
  <si>
    <t>Historisation et visualisation des indicateurs de performance qualité</t>
  </si>
  <si>
    <t>La solution offre Un tableau de bord qualité fournissant une visualisation flexible des performances qualité selon des intervalles flexibles (années, mois, semaines, jours, shifts), permettant de :
-Suivre les taux de qualité et les taux de rebut par atelier et par ligne
-Suivre les quantités et les coûts des non-conformités
-Analyser les quantités de non-conformités par type de défaut
-Présenter des diagrammes de Pareto des défauts</t>
  </si>
  <si>
    <t>E026</t>
  </si>
  <si>
    <t>Extraction de données</t>
  </si>
  <si>
    <t>Extraction des données de l’ensemble des données des différents modules</t>
  </si>
  <si>
    <t xml:space="preserve">La solution offre la possibilité de l'extraction flexible des données de production, qualité et maintenance dans des fichiers CSV/Excel à partir des interfaces suivantes : 
-Historique des Arrêts :Durées et causes des arrêts.
-Détail Production et Historique par Shift :Quantités conformes, rebuts, total produit, temps de cycle net et effectif, durées de changement de série, durée de production, TRS.
-Détail Qualité :Défauts et quantités non conformes.
-Résumé OF :Synthèse complète des données de production, qualité, et maintenance par ordre de fabrication (OF).
</t>
  </si>
  <si>
    <t>E027</t>
  </si>
  <si>
    <t>Instruction de travail</t>
  </si>
  <si>
    <t>Mise à disposition de documents électroniques et d'instructions de travail pour guider les opérateurs tout au long du processus de production. Sur les postes critiques de l’unité.</t>
  </si>
  <si>
    <t>La solution offre un module "Instruction de travail" qui permet :
-Chargement : Importation des fichiers d'instructions.
-Catégorisation : Classification par qualité, maintenance, et production.
-Affectation : Attribution des instructions par ligne et produit.
-Gestion des Versions : Centralisation et gestion du versionnage des documents.
Accessibilité : Accès en temps réel aux instructions pour les opérateurs et l'équipe qualité.</t>
  </si>
  <si>
    <t>E028</t>
  </si>
  <si>
    <t>Compte rendu OF</t>
  </si>
  <si>
    <t>La solution  offre une interface « Compte Rendu OF » permet de visualiser de manière claire et synthétique la performance d’un Ordre de Fabrication, à travers quatre volets principaux : Production, Qualité, Maintenance et Matière.</t>
  </si>
  <si>
    <t xml:space="preserve"> </t>
  </si>
  <si>
    <t>Version</t>
  </si>
  <si>
    <t>Date</t>
  </si>
  <si>
    <t>Modifications</t>
  </si>
  <si>
    <t>Auteur(s)</t>
  </si>
  <si>
    <t>Vérificateur(s)</t>
  </si>
  <si>
    <t>Approbateur</t>
  </si>
  <si>
    <t>V1.0</t>
  </si>
  <si>
    <t>Version initiale</t>
  </si>
  <si>
    <t>Moatez D.</t>
  </si>
  <si>
    <t>N/A</t>
  </si>
  <si>
    <t>V1.1</t>
  </si>
  <si>
    <t>Ajouter une API d’intégration automatique des produits depuis SAGE X3 vers Smart Factory, ainsi qu’un mécanisme de filtrage des données dans le tableau de bord Qualité par opérateur, par produit et par client.</t>
  </si>
  <si>
    <t>Overhead Analyse</t>
  </si>
  <si>
    <t>Overhead Test</t>
  </si>
  <si>
    <t>Objectifs client</t>
  </si>
  <si>
    <t>Exigence identifiée pendant la phase</t>
  </si>
  <si>
    <t>Oui/Non</t>
  </si>
  <si>
    <t>Statut Interne</t>
  </si>
  <si>
    <t>A liste dans params</t>
  </si>
  <si>
    <t>Fonctionnelle</t>
  </si>
  <si>
    <t>CdC client</t>
  </si>
  <si>
    <t>Oui</t>
  </si>
  <si>
    <t>*** SF</t>
  </si>
  <si>
    <t>gestion des opérateurs et de plannification</t>
  </si>
  <si>
    <t>Services</t>
  </si>
  <si>
    <t>Performance</t>
  </si>
  <si>
    <t>Conception</t>
  </si>
  <si>
    <t>Non</t>
  </si>
  <si>
    <t>Non validée par client</t>
  </si>
  <si>
    <t>Non validée</t>
  </si>
  <si>
    <t>SF-Processus</t>
  </si>
  <si>
    <t>Détection automatique de la production</t>
  </si>
  <si>
    <t>A définir</t>
  </si>
  <si>
    <t>Reglementaire</t>
  </si>
  <si>
    <t>Réalisation</t>
  </si>
  <si>
    <t>Workshop/réunion Interne</t>
  </si>
  <si>
    <t>Exportation des données de production</t>
  </si>
  <si>
    <t>Sécurité</t>
  </si>
  <si>
    <t>Mise en œuvre</t>
  </si>
  <si>
    <t>Standards client</t>
  </si>
  <si>
    <t>SF-Connectivité Machine</t>
  </si>
  <si>
    <t>Suivi de rendement en temps réel</t>
  </si>
  <si>
    <t>Standard Client</t>
  </si>
  <si>
    <t>Support et maintenance</t>
  </si>
  <si>
    <t>Standards MOMSOFT</t>
  </si>
  <si>
    <t xml:space="preserve">Chargement des OF planifiés à partir de l'ERP </t>
  </si>
  <si>
    <t>Standard MOMSOFT</t>
  </si>
  <si>
    <t>Reglementation</t>
  </si>
  <si>
    <t>SF-Software</t>
  </si>
  <si>
    <t>Demande modification</t>
  </si>
  <si>
    <t>SF-Infra IT</t>
  </si>
  <si>
    <t>Gestion et suivi de la production</t>
  </si>
  <si>
    <t>Gestion de la consommation des ordres de fabrications</t>
  </si>
  <si>
    <t>*** Services</t>
  </si>
  <si>
    <t>Suivi  de la consommation des ordres de fabrications</t>
  </si>
  <si>
    <t>Prestations sur site client</t>
  </si>
  <si>
    <t xml:space="preserve">Gestion de la gamme opératoire par OF </t>
  </si>
  <si>
    <t xml:space="preserve">Gestion matière première </t>
  </si>
  <si>
    <t>Ajouter l’option de gestion de la gamme opératoire pour chaque OF, lors de sa création ou de sa modification.</t>
  </si>
  <si>
    <t>Permettre la gestion de la gamme opératoire pour chaque OF.</t>
  </si>
  <si>
    <t>KK1</t>
  </si>
  <si>
    <t>KK2</t>
  </si>
  <si>
    <t>KK3</t>
  </si>
  <si>
    <t>KK4</t>
  </si>
  <si>
    <t>KK5</t>
  </si>
  <si>
    <t>E029</t>
  </si>
  <si>
    <t>E030</t>
  </si>
  <si>
    <t>Ajouter une interface permettant de gérer, ajouter, modifier et supprimer les références des matières premières.</t>
  </si>
  <si>
    <t>Gestion des matières premières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</si>
</sst>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0"/>
      <color rgb="FFFF0000"/>
      <name val="Calibri Light"/>
      <family val="2"/>
      <scheme val="major"/>
    </font>
    <font>
      <sz val="4"/>
      <name val="Calibri Light"/>
      <family val="2"/>
      <scheme val="major"/>
    </font>
    <font>
      <sz val="10"/>
      <color theme="0"/>
      <name val="Calibri Light"/>
      <family val="2"/>
      <scheme val="major"/>
    </font>
    <font>
      <b/>
      <sz val="12"/>
      <color theme="0"/>
      <name val="Calibri Light"/>
      <family val="2"/>
    </font>
    <font>
      <b/>
      <sz val="11"/>
      <color theme="0"/>
      <name val="Calibri Light"/>
      <family val="2"/>
    </font>
    <font>
      <b/>
      <sz val="10"/>
      <color theme="0"/>
      <name val="Calibri Light"/>
      <family val="2"/>
      <scheme val="major"/>
    </font>
    <font>
      <sz val="10"/>
      <name val="Calibri Light"/>
      <family val="2"/>
    </font>
    <font>
      <sz val="3"/>
      <name val="Calibri Light"/>
      <family val="2"/>
    </font>
    <font>
      <sz val="8"/>
      <name val="Arial"/>
    </font>
    <font>
      <sz val="12"/>
      <name val="Calibri Light"/>
      <family val="2"/>
      <scheme val="major"/>
    </font>
    <font>
      <sz val="12"/>
      <color rgb="FF000000"/>
      <name val="Calibri Light"/>
      <family val="2"/>
      <scheme val="major"/>
    </font>
    <font>
      <sz val="12"/>
      <color rgb="FFFF0000"/>
      <name val="Calibri Light"/>
      <family val="2"/>
      <scheme val="major"/>
    </font>
    <font>
      <sz val="10"/>
      <color rgb="FF000000"/>
      <name val="Calibri Light"/>
      <family val="2"/>
    </font>
  </fonts>
  <fills count="6">
    <fill>
      <patternFill patternType="none"/>
    </fill>
    <fill>
      <patternFill patternType="gray125"/>
    </fill>
    <fill>
      <patternFill patternType="solid">
        <fgColor rgb="FF00E0B1"/>
        <bgColor indexed="64"/>
      </patternFill>
    </fill>
    <fill>
      <patternFill patternType="solid">
        <fgColor rgb="FF00425A"/>
        <bgColor indexed="64"/>
      </patternFill>
    </fill>
    <fill>
      <patternFill patternType="solid">
        <fgColor rgb="FF00B8FF"/>
        <bgColor indexed="64"/>
      </patternFill>
    </fill>
    <fill>
      <patternFill patternType="solid">
        <fgColor rgb="FFFF7F0B"/>
        <bgColor indexed="64"/>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rgb="FF00425A"/>
      </left>
      <right/>
      <top style="medium">
        <color rgb="FF00425A"/>
      </top>
      <bottom style="medium">
        <color indexed="64"/>
      </bottom>
      <diagonal/>
    </border>
    <border>
      <left/>
      <right/>
      <top style="medium">
        <color rgb="FF00425A"/>
      </top>
      <bottom style="medium">
        <color indexed="64"/>
      </bottom>
      <diagonal/>
    </border>
    <border>
      <left/>
      <right style="medium">
        <color rgb="FF00425A"/>
      </right>
      <top style="medium">
        <color rgb="FF00425A"/>
      </top>
      <bottom style="medium">
        <color indexed="64"/>
      </bottom>
      <diagonal/>
    </border>
    <border>
      <left style="medium">
        <color rgb="FF00425A"/>
      </left>
      <right/>
      <top/>
      <bottom/>
      <diagonal/>
    </border>
    <border>
      <left/>
      <right style="medium">
        <color rgb="FF00425A"/>
      </right>
      <top/>
      <bottom/>
      <diagonal/>
    </border>
    <border>
      <left/>
      <right/>
      <top style="thin">
        <color rgb="FF000000"/>
      </top>
      <bottom/>
      <diagonal/>
    </border>
  </borders>
  <cellStyleXfs count="1">
    <xf numFmtId="0" fontId="0" fillId="0" borderId="0"/>
  </cellStyleXfs>
  <cellXfs count="51">
    <xf numFmtId="0" fontId="0" fillId="0" borderId="0" xfId="0"/>
    <xf numFmtId="0" fontId="1" fillId="0" borderId="0" xfId="0" applyFont="1" applyAlignment="1">
      <alignment wrapText="1"/>
    </xf>
    <xf numFmtId="0" fontId="3"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1"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horizontal="left" vertical="center"/>
    </xf>
    <xf numFmtId="0" fontId="8" fillId="0" borderId="0" xfId="0" applyFont="1" applyAlignment="1">
      <alignment wrapText="1"/>
    </xf>
    <xf numFmtId="0" fontId="8" fillId="0" borderId="0" xfId="0" applyFont="1" applyAlignment="1">
      <alignment vertical="center" wrapText="1"/>
    </xf>
    <xf numFmtId="0" fontId="14" fillId="2" borderId="2" xfId="0" applyFont="1" applyFill="1" applyBorder="1" applyAlignment="1">
      <alignment vertical="center" wrapText="1"/>
    </xf>
    <xf numFmtId="0" fontId="14" fillId="2" borderId="3" xfId="0" applyFont="1" applyFill="1" applyBorder="1" applyAlignment="1">
      <alignment vertical="center" wrapText="1"/>
    </xf>
    <xf numFmtId="0" fontId="16" fillId="2" borderId="0" xfId="0" applyFont="1" applyFill="1" applyAlignment="1">
      <alignment horizontal="center" vertical="center" wrapText="1"/>
    </xf>
    <xf numFmtId="0" fontId="18" fillId="0" borderId="0" xfId="0" applyFont="1" applyAlignment="1">
      <alignment vertical="center" wrapText="1"/>
    </xf>
    <xf numFmtId="14" fontId="18" fillId="0" borderId="0" xfId="0" applyNumberFormat="1" applyFont="1" applyAlignment="1">
      <alignment vertical="center" wrapText="1"/>
    </xf>
    <xf numFmtId="14" fontId="1" fillId="0" borderId="0" xfId="0" applyNumberFormat="1" applyFont="1" applyAlignment="1">
      <alignment wrapText="1"/>
    </xf>
    <xf numFmtId="0" fontId="17" fillId="2" borderId="0" xfId="0" applyFont="1" applyFill="1" applyAlignment="1">
      <alignment vertical="center" wrapText="1"/>
    </xf>
    <xf numFmtId="0" fontId="14" fillId="2" borderId="1" xfId="0" applyFont="1" applyFill="1" applyBorder="1" applyAlignment="1">
      <alignment vertical="center"/>
    </xf>
    <xf numFmtId="0" fontId="14" fillId="2" borderId="2" xfId="0" applyFont="1" applyFill="1" applyBorder="1" applyAlignment="1">
      <alignment vertical="center"/>
    </xf>
    <xf numFmtId="9" fontId="1" fillId="0" borderId="0" xfId="0" applyNumberFormat="1" applyFont="1" applyAlignment="1">
      <alignment vertical="center" wrapText="1"/>
    </xf>
    <xf numFmtId="0" fontId="1" fillId="0" borderId="0" xfId="0" applyFont="1" applyAlignment="1">
      <alignment vertical="center"/>
    </xf>
    <xf numFmtId="0" fontId="19" fillId="0" borderId="0" xfId="0" applyFont="1" applyAlignment="1">
      <alignment horizontal="left" vertical="center"/>
    </xf>
    <xf numFmtId="0" fontId="14" fillId="4" borderId="4" xfId="0" applyFont="1" applyFill="1" applyBorder="1" applyAlignment="1">
      <alignment vertical="center" wrapText="1"/>
    </xf>
    <xf numFmtId="0" fontId="14" fillId="5" borderId="5" xfId="0" applyFont="1" applyFill="1" applyBorder="1" applyAlignment="1">
      <alignment vertical="center" wrapText="1"/>
    </xf>
    <xf numFmtId="0" fontId="14" fillId="5" borderId="6" xfId="0" applyFont="1" applyFill="1" applyBorder="1" applyAlignment="1">
      <alignment vertical="center" wrapText="1"/>
    </xf>
    <xf numFmtId="0" fontId="14" fillId="5" borderId="7" xfId="0" applyFont="1" applyFill="1" applyBorder="1" applyAlignment="1">
      <alignmen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vertical="center" wrapText="1"/>
    </xf>
    <xf numFmtId="0" fontId="12" fillId="0" borderId="0" xfId="0" applyFont="1" applyAlignment="1">
      <alignment vertical="center" wrapText="1"/>
    </xf>
    <xf numFmtId="0" fontId="5" fillId="0" borderId="0" xfId="0" applyFont="1" applyAlignment="1">
      <alignment horizontal="left" vertical="center" wrapText="1"/>
    </xf>
    <xf numFmtId="0" fontId="13" fillId="0" borderId="0" xfId="0" applyFont="1" applyAlignment="1">
      <alignment vertical="center"/>
    </xf>
    <xf numFmtId="0" fontId="11" fillId="0" borderId="0" xfId="0" applyFont="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4" fillId="0" borderId="10" xfId="0" applyFont="1" applyBorder="1" applyAlignment="1">
      <alignment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cellXfs>
  <cellStyles count="1">
    <cellStyle name="Normal" xfId="0" builtinId="0"/>
  </cellStyles>
  <dxfs count="55">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0"/>
        <name val="Calibri Light"/>
        <family val="2"/>
        <scheme val="none"/>
      </font>
      <fill>
        <patternFill patternType="solid">
          <fgColor indexed="64"/>
          <bgColor rgb="FF00E0B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right style="medium">
          <color rgb="FF00425A"/>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border diagonalUp="0" diagonalDown="0" outline="0">
        <left/>
        <right style="medium">
          <color rgb="FF00425A"/>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theme="0"/>
        <name val="Calibri Light"/>
        <family val="2"/>
        <scheme val="major"/>
      </font>
      <fill>
        <patternFill>
          <fgColor indexed="64"/>
          <bgColor rgb="FF00E0B1"/>
        </patternFill>
      </fill>
      <alignment horizontal="general" vertical="center" textRotation="0" wrapText="1" indent="0" justifyLastLine="0" shrinkToFit="0" readingOrder="0"/>
    </dxf>
  </dxfs>
  <tableStyles count="0" defaultTableStyle="TableStyleMedium2" defaultPivotStyle="PivotStyleLight16"/>
  <colors>
    <mruColors>
      <color rgb="FF00425A"/>
      <color rgb="FF00E0B1"/>
      <color rgb="FFFF7F0B"/>
      <color rgb="FF00B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62754</xdr:colOff>
      <xdr:row>2</xdr:row>
      <xdr:rowOff>188259</xdr:rowOff>
    </xdr:from>
    <xdr:to>
      <xdr:col>3</xdr:col>
      <xdr:colOff>236251</xdr:colOff>
      <xdr:row>2</xdr:row>
      <xdr:rowOff>810503</xdr:rowOff>
    </xdr:to>
    <xdr:pic>
      <xdr:nvPicPr>
        <xdr:cNvPr id="3" name="Image 2">
          <a:extLst>
            <a:ext uri="{FF2B5EF4-FFF2-40B4-BE49-F238E27FC236}">
              <a16:creationId xmlns:a16="http://schemas.microsoft.com/office/drawing/2014/main" id="{B796DF62-C2DE-4317-5F4D-42BBC1577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648" y="645459"/>
          <a:ext cx="1712258" cy="622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4:W45" totalsRowCount="1" headerRowDxfId="54" dataDxfId="53" totalsRowDxfId="52">
  <tableColumns count="22">
    <tableColumn id="1" xr3:uid="{E467E0EE-CDAA-4FF5-85A8-CDC0B23A5AD9}" name="Id exigence" dataDxfId="51" totalsRowDxfId="50"/>
    <tableColumn id="23" xr3:uid="{DB65C818-8EF5-4DCC-9DA7-4CD05A291796}" name="Objectif client" dataDxfId="49" totalsRowDxfId="48"/>
    <tableColumn id="2" xr3:uid="{E53952AC-4972-47BD-8B1D-C7EF23088D0D}" name="Intitulé Exigence" dataDxfId="47" totalsRowDxfId="46"/>
    <tableColumn id="8" xr3:uid="{B2D0BC2C-C803-4015-8FA6-70F84517BDB2}" name="Nature" dataDxfId="45" totalsRowDxfId="44"/>
    <tableColumn id="7" xr3:uid="{24F2F0ED-022E-4EC1-91D8-BFE0E4F2FD36}" name="Catégorie" dataDxfId="43" totalsRowDxfId="42"/>
    <tableColumn id="10" xr3:uid="{1FF81CF1-6D35-421C-8767-9E7FA06FEE6A}" name="Exigence idenfiée pendant la phase" dataDxfId="41" totalsRowDxfId="40"/>
    <tableColumn id="3" xr3:uid="{E7621A68-9552-4853-96A5-92A226EA42DD}" name="Description de l'exigence" dataDxfId="39" totalsRowDxfId="38"/>
    <tableColumn id="9" xr3:uid="{E6EEEC82-3576-4980-94B3-1423906CE531}" name="Source" dataDxfId="37" totalsRowDxfId="36"/>
    <tableColumn id="16" xr3:uid="{1441554A-79F9-4040-9CF5-AEBFF7ADF7D1}" name="Desciption de la solution MOMSOFT" dataDxfId="35" totalsRowDxfId="34"/>
    <tableColumn id="17" xr3:uid="{D1BC9C86-C3CE-417F-AC83-FC4786A7656D}" name="Ecart entre exigence client et la solution proposée - préciser aussi les limites et hypothèses si applicable" dataDxfId="33" totalsRowDxfId="32"/>
    <tableColumn id="5" xr3:uid="{2649C3B7-E8B9-44F9-8883-E5BB6F91B4B1}" name="Validation Interne" dataDxfId="31" totalsRowDxfId="30"/>
    <tableColumn id="6" xr3:uid="{8CC493F8-0886-498D-AB98-B77300CC6510}" name="Validation Interne par:" dataDxfId="29" totalsRowDxfId="28"/>
    <tableColumn id="15" xr3:uid="{78231C60-0932-4386-925D-4C689A91C0E3}" name="Statut Client" dataDxfId="27" totalsRowDxfId="26"/>
    <tableColumn id="22" xr3:uid="{D944A0FD-E468-407F-91A6-BD8A29086A7B}" name="HJ Dev" totalsRowFunction="sum" dataDxfId="25" totalsRowDxfId="24"/>
    <tableColumn id="21" xr3:uid="{818C68C5-1CC3-4DC9-9BB8-2CB7816ABE9F}" name="HJ Analyse et Test" totalsRowFunction="sum" dataDxfId="23" totalsRowDxfId="22">
      <calculatedColumnFormula>Tableau3[[#This Row],[HJ Dev]]*(25%+25%)</calculatedColumnFormula>
    </tableColumn>
    <tableColumn id="20" xr3:uid="{81CB5860-4285-4425-ABF9-C91F3323BF25}" name="Total HJ" totalsRowFunction="sum" dataDxfId="21" totalsRowDxfId="20">
      <calculatedColumnFormula>Tableau3[[#This Row],[HJ Analyse et Test]]+Tableau3[[#This Row],[HJ Dev]]</calculatedColumnFormula>
    </tableColumn>
    <tableColumn id="11" xr3:uid="{20685332-73A9-4B9D-874E-F1C9F770405F}" name="Description comment la conception de la solution prend en compte l'exigence client" dataDxfId="19" totalsRowDxfId="18"/>
    <tableColumn id="12" xr3:uid="{36B390F4-625A-46E1-864B-7108903FFD96}" name="Conception réalisée par:" dataDxfId="17" totalsRowDxfId="16"/>
    <tableColumn id="13" xr3:uid="{9016419E-83A5-4950-AB28-EA27A0D72FAD}" name="Revue conception réalisée par" dataDxfId="15" totalsRowDxfId="14"/>
    <tableColumn id="14" xr3:uid="{B5F29B7E-09EB-43EF-BD3D-9ADF38F7CC12}" name="Vérification de la conception réalisée par" dataDxfId="13" totalsRowDxfId="12"/>
    <tableColumn id="18" xr3:uid="{0CA25C90-64D6-43D5-90C8-CE6D70CCA638}" name="Preuve de vérification " dataDxfId="11" totalsRowDxfId="10"/>
    <tableColumn id="4" xr3:uid="{B7406A3A-A365-4F76-9A20-372573D19BC9}" name="Notes" dataDxfId="9" totalsRow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W87"/>
  <sheetViews>
    <sheetView tabSelected="1" topLeftCell="A5" zoomScale="77" zoomScaleNormal="77" workbookViewId="0">
      <pane xSplit="8" ySplit="10" topLeftCell="K26" activePane="bottomRight" state="frozen"/>
      <selection activeCell="A5" sqref="A5"/>
      <selection pane="topRight" activeCell="I5" sqref="I5"/>
      <selection pane="bottomLeft" activeCell="A15" sqref="A15"/>
      <selection pane="bottomRight" activeCell="P26" sqref="P26"/>
    </sheetView>
  </sheetViews>
  <sheetFormatPr defaultColWidth="11.42578125" defaultRowHeight="12.75" customHeight="1" x14ac:dyDescent="0.2"/>
  <cols>
    <col min="1" max="1" width="11.42578125" style="5" customWidth="1"/>
    <col min="2" max="2" width="22.42578125" style="5" customWidth="1"/>
    <col min="3" max="3" width="37.28515625" style="5" hidden="1" customWidth="1"/>
    <col min="4" max="4" width="39.28515625" style="5" customWidth="1"/>
    <col min="5" max="6" width="18.28515625" style="5" customWidth="1"/>
    <col min="7" max="7" width="22.42578125" style="5" customWidth="1"/>
    <col min="8" max="8" width="56.5703125" style="5" customWidth="1"/>
    <col min="9" max="9" width="18.42578125" style="5" customWidth="1"/>
    <col min="10" max="10" width="56.5703125" style="5" customWidth="1"/>
    <col min="11" max="11" width="33.28515625" style="5" customWidth="1"/>
    <col min="12" max="13" width="13.5703125" style="5" customWidth="1"/>
    <col min="14" max="14" width="15.28515625" style="5" customWidth="1"/>
    <col min="15" max="15" width="11.7109375" style="5" customWidth="1"/>
    <col min="16" max="16" width="15.42578125" style="5" customWidth="1"/>
    <col min="17" max="17" width="13.7109375" style="5" customWidth="1"/>
    <col min="18" max="18" width="39.7109375" style="5" customWidth="1"/>
    <col min="19" max="19" width="15.7109375" style="5" customWidth="1"/>
    <col min="20" max="20" width="20.5703125" style="5" customWidth="1"/>
    <col min="21" max="21" width="20.28515625" style="5" customWidth="1"/>
    <col min="22" max="22" width="15.28515625" style="5" customWidth="1"/>
    <col min="23" max="23" width="30.7109375" style="5" customWidth="1"/>
    <col min="24" max="16384" width="11.42578125" style="5"/>
  </cols>
  <sheetData>
    <row r="1" spans="2:23" x14ac:dyDescent="0.2"/>
    <row r="2" spans="2:23" ht="33" customHeight="1" x14ac:dyDescent="0.2">
      <c r="B2" s="42" t="s">
        <v>0</v>
      </c>
      <c r="C2" s="43"/>
      <c r="D2" s="43"/>
      <c r="E2" s="43"/>
      <c r="F2" s="43"/>
      <c r="G2" s="43"/>
      <c r="H2" s="43"/>
      <c r="I2" s="43"/>
      <c r="J2" s="43"/>
      <c r="K2" s="43"/>
      <c r="L2" s="43"/>
      <c r="M2" s="43"/>
      <c r="N2" s="44"/>
      <c r="O2" s="45" t="s">
        <v>1</v>
      </c>
      <c r="P2" s="46"/>
      <c r="Q2" s="47"/>
      <c r="R2" s="39" t="s">
        <v>2</v>
      </c>
      <c r="S2" s="40"/>
      <c r="T2" s="40"/>
      <c r="U2" s="40"/>
      <c r="V2" s="40"/>
      <c r="W2" s="41"/>
    </row>
    <row r="3" spans="2:23" ht="66" customHeight="1" x14ac:dyDescent="0.2">
      <c r="D3" s="26"/>
      <c r="E3" s="26"/>
      <c r="F3" s="26"/>
      <c r="G3" s="26"/>
      <c r="H3" s="26"/>
      <c r="I3" s="26"/>
      <c r="J3" s="26"/>
    </row>
    <row r="4" spans="2:23" ht="24.75" customHeight="1" x14ac:dyDescent="0.2">
      <c r="D4" s="26"/>
      <c r="E4" s="26"/>
      <c r="F4" s="26"/>
      <c r="G4" s="26"/>
      <c r="H4" s="26"/>
      <c r="I4" s="26"/>
      <c r="J4" s="26"/>
    </row>
    <row r="5" spans="2:23" ht="21" customHeight="1" x14ac:dyDescent="0.2">
      <c r="B5" s="6" t="s">
        <v>3</v>
      </c>
      <c r="C5" s="6"/>
      <c r="D5" s="27" t="s">
        <v>4</v>
      </c>
      <c r="F5" s="26"/>
      <c r="G5" s="26"/>
      <c r="H5" s="26"/>
      <c r="I5" s="26"/>
      <c r="J5" s="26"/>
    </row>
    <row r="6" spans="2:23" ht="21.75" customHeight="1" x14ac:dyDescent="0.2">
      <c r="B6" s="28" t="s">
        <v>5</v>
      </c>
      <c r="C6" s="28"/>
      <c r="D6" s="29" t="s">
        <v>6</v>
      </c>
      <c r="F6" s="29"/>
      <c r="H6" s="29"/>
      <c r="I6" s="29"/>
      <c r="J6" s="29"/>
    </row>
    <row r="7" spans="2:23" ht="21" customHeight="1" x14ac:dyDescent="0.2">
      <c r="B7" s="28" t="s">
        <v>7</v>
      </c>
      <c r="C7" s="28"/>
      <c r="D7" s="29" t="s">
        <v>8</v>
      </c>
      <c r="F7" s="29"/>
      <c r="H7" s="30" t="s">
        <v>9</v>
      </c>
      <c r="I7" s="29"/>
      <c r="J7" s="29"/>
    </row>
    <row r="8" spans="2:23" ht="20.65" customHeight="1" x14ac:dyDescent="0.2">
      <c r="B8" s="28" t="s">
        <v>10</v>
      </c>
      <c r="C8" s="28"/>
      <c r="D8" s="29" t="s">
        <v>11</v>
      </c>
      <c r="F8" s="29"/>
      <c r="G8" s="29"/>
      <c r="H8" s="29"/>
      <c r="I8" s="29"/>
      <c r="J8" s="29"/>
    </row>
    <row r="9" spans="2:23" ht="21.6" customHeight="1" x14ac:dyDescent="0.2">
      <c r="B9" s="28" t="s">
        <v>12</v>
      </c>
      <c r="C9" s="28"/>
      <c r="D9" s="29" t="s">
        <v>11</v>
      </c>
      <c r="F9" s="29"/>
      <c r="G9" s="29"/>
      <c r="H9" s="29"/>
      <c r="I9" s="29"/>
      <c r="J9" s="29"/>
    </row>
    <row r="10" spans="2:23" ht="15" x14ac:dyDescent="0.2">
      <c r="D10" s="29"/>
      <c r="E10" s="31"/>
      <c r="F10" s="31"/>
      <c r="G10" s="31"/>
      <c r="H10" s="31"/>
      <c r="I10" s="31"/>
      <c r="J10" s="31"/>
    </row>
    <row r="11" spans="2:23" x14ac:dyDescent="0.2">
      <c r="B11" s="32" t="s">
        <v>13</v>
      </c>
      <c r="C11" s="32"/>
      <c r="D11" s="20"/>
      <c r="E11" s="32"/>
      <c r="F11" s="33"/>
      <c r="G11" s="33"/>
    </row>
    <row r="12" spans="2:23" x14ac:dyDescent="0.2">
      <c r="B12" s="32"/>
      <c r="C12" s="32"/>
      <c r="D12" s="20"/>
      <c r="E12" s="32"/>
      <c r="F12" s="33"/>
      <c r="G12" s="33"/>
    </row>
    <row r="13" spans="2:23" ht="13.5" thickBot="1" x14ac:dyDescent="0.25"/>
    <row r="14" spans="2:23" ht="42" customHeight="1" thickBot="1" x14ac:dyDescent="0.25">
      <c r="B14" s="17" t="s">
        <v>14</v>
      </c>
      <c r="C14" s="18" t="s">
        <v>15</v>
      </c>
      <c r="D14" s="10" t="s">
        <v>16</v>
      </c>
      <c r="E14" s="10" t="s">
        <v>17</v>
      </c>
      <c r="F14" s="10" t="s">
        <v>18</v>
      </c>
      <c r="G14" s="10" t="s">
        <v>19</v>
      </c>
      <c r="H14" s="10" t="s">
        <v>20</v>
      </c>
      <c r="I14" s="10" t="s">
        <v>21</v>
      </c>
      <c r="J14" s="10" t="s">
        <v>22</v>
      </c>
      <c r="K14" s="10" t="s">
        <v>23</v>
      </c>
      <c r="L14" s="10" t="s">
        <v>24</v>
      </c>
      <c r="M14" s="10" t="s">
        <v>25</v>
      </c>
      <c r="N14" s="11" t="s">
        <v>26</v>
      </c>
      <c r="O14" s="22" t="s">
        <v>27</v>
      </c>
      <c r="P14" s="22" t="s">
        <v>28</v>
      </c>
      <c r="Q14" s="22" t="s">
        <v>29</v>
      </c>
      <c r="R14" s="23" t="s">
        <v>30</v>
      </c>
      <c r="S14" s="24" t="s">
        <v>31</v>
      </c>
      <c r="T14" s="24" t="s">
        <v>32</v>
      </c>
      <c r="U14" s="24" t="s">
        <v>33</v>
      </c>
      <c r="V14" s="24" t="s">
        <v>34</v>
      </c>
      <c r="W14" s="25" t="s">
        <v>35</v>
      </c>
    </row>
    <row r="15" spans="2:23" ht="181.5" customHeight="1" x14ac:dyDescent="0.2">
      <c r="B15" s="5" t="s">
        <v>36</v>
      </c>
      <c r="C15" s="5" t="s">
        <v>37</v>
      </c>
      <c r="D15" s="5" t="s">
        <v>37</v>
      </c>
      <c r="E15" s="5" t="s">
        <v>38</v>
      </c>
      <c r="F15" s="5" t="s">
        <v>39</v>
      </c>
      <c r="G15" s="5" t="s">
        <v>40</v>
      </c>
      <c r="H15" s="5" t="s">
        <v>41</v>
      </c>
      <c r="I15" s="5" t="s">
        <v>42</v>
      </c>
      <c r="J15" s="5" t="s">
        <v>43</v>
      </c>
      <c r="K15" s="5" t="s">
        <v>44</v>
      </c>
      <c r="L15" s="5" t="s">
        <v>45</v>
      </c>
      <c r="M15" s="5" t="s">
        <v>46</v>
      </c>
      <c r="N15" s="5" t="s">
        <v>47</v>
      </c>
      <c r="O15" s="5">
        <v>0</v>
      </c>
      <c r="P15" s="5">
        <f>Tableau3[[#This Row],[HJ Dev]]*(25%+25%)</f>
        <v>0</v>
      </c>
      <c r="Q15" s="5">
        <f>Tableau3[[#This Row],[HJ Analyse et Test]]+Tableau3[[#This Row],[HJ Dev]]</f>
        <v>0</v>
      </c>
    </row>
    <row r="16" spans="2:23" ht="108" customHeight="1" x14ac:dyDescent="0.2">
      <c r="B16" s="5" t="s">
        <v>48</v>
      </c>
      <c r="C16" s="5" t="s">
        <v>49</v>
      </c>
      <c r="D16" s="5" t="s">
        <v>49</v>
      </c>
      <c r="E16" s="5" t="s">
        <v>38</v>
      </c>
      <c r="F16" s="5" t="s">
        <v>39</v>
      </c>
      <c r="G16" s="5" t="s">
        <v>40</v>
      </c>
      <c r="H16" s="5" t="s">
        <v>50</v>
      </c>
      <c r="I16" s="5" t="s">
        <v>42</v>
      </c>
      <c r="J16" s="5" t="s">
        <v>51</v>
      </c>
      <c r="K16" s="5" t="s">
        <v>44</v>
      </c>
      <c r="L16" s="5" t="s">
        <v>45</v>
      </c>
      <c r="M16" s="5" t="s">
        <v>46</v>
      </c>
      <c r="N16" s="5" t="s">
        <v>47</v>
      </c>
      <c r="O16" s="5">
        <v>0</v>
      </c>
      <c r="P16" s="5">
        <f>Tableau3[[#This Row],[HJ Dev]]*(25%+25%)</f>
        <v>0</v>
      </c>
      <c r="Q16" s="5">
        <f>Tableau3[[#This Row],[HJ Analyse et Test]]+Tableau3[[#This Row],[HJ Dev]]</f>
        <v>0</v>
      </c>
    </row>
    <row r="17" spans="2:23" ht="263.25" customHeight="1" x14ac:dyDescent="0.2">
      <c r="B17" s="5" t="s">
        <v>52</v>
      </c>
      <c r="C17" s="5" t="s">
        <v>53</v>
      </c>
      <c r="D17" s="5" t="s">
        <v>53</v>
      </c>
      <c r="E17" s="5" t="s">
        <v>54</v>
      </c>
      <c r="F17" s="5" t="s">
        <v>39</v>
      </c>
      <c r="G17" s="5" t="s">
        <v>40</v>
      </c>
      <c r="H17" s="5" t="s">
        <v>55</v>
      </c>
      <c r="I17" s="5" t="s">
        <v>56</v>
      </c>
      <c r="J17" s="5" t="s">
        <v>55</v>
      </c>
      <c r="K17" s="5" t="s">
        <v>44</v>
      </c>
      <c r="L17" s="5" t="s">
        <v>45</v>
      </c>
      <c r="M17" s="5" t="s">
        <v>46</v>
      </c>
      <c r="N17" s="5" t="s">
        <v>47</v>
      </c>
      <c r="O17" s="34">
        <v>2</v>
      </c>
      <c r="P17" s="5">
        <f>Tableau3[[#This Row],[HJ Dev]]*(25%+25%)</f>
        <v>1</v>
      </c>
      <c r="Q17" s="35">
        <f>Tableau3[[#This Row],[HJ Analyse et Test]]+Tableau3[[#This Row],[HJ Dev]]</f>
        <v>3</v>
      </c>
      <c r="R17" s="34"/>
      <c r="W17" s="35"/>
    </row>
    <row r="18" spans="2:23" ht="200.45" customHeight="1" x14ac:dyDescent="0.2">
      <c r="B18" s="5" t="s">
        <v>57</v>
      </c>
      <c r="D18" s="5" t="s">
        <v>58</v>
      </c>
      <c r="E18" s="5" t="s">
        <v>54</v>
      </c>
      <c r="F18" s="5" t="s">
        <v>39</v>
      </c>
      <c r="G18" s="5" t="s">
        <v>40</v>
      </c>
      <c r="H18" s="5" t="s">
        <v>59</v>
      </c>
      <c r="I18" s="5" t="s">
        <v>56</v>
      </c>
      <c r="J18" s="5" t="s">
        <v>60</v>
      </c>
      <c r="K18" s="5" t="s">
        <v>44</v>
      </c>
      <c r="L18" s="5" t="s">
        <v>45</v>
      </c>
      <c r="M18" s="5" t="s">
        <v>46</v>
      </c>
      <c r="N18" s="5" t="s">
        <v>47</v>
      </c>
      <c r="O18" s="34">
        <v>1</v>
      </c>
      <c r="P18" s="5">
        <f>Tableau3[[#This Row],[HJ Dev]]*(25%+25%)</f>
        <v>0.5</v>
      </c>
      <c r="Q18" s="35">
        <f>Tableau3[[#This Row],[HJ Analyse et Test]]+Tableau3[[#This Row],[HJ Dev]]</f>
        <v>1.5</v>
      </c>
      <c r="R18" s="34"/>
      <c r="W18" s="35"/>
    </row>
    <row r="19" spans="2:23" ht="58.5" customHeight="1" x14ac:dyDescent="0.2">
      <c r="B19" s="5" t="s">
        <v>61</v>
      </c>
      <c r="C19" s="5" t="s">
        <v>62</v>
      </c>
      <c r="D19" s="5" t="s">
        <v>62</v>
      </c>
      <c r="E19" s="5" t="s">
        <v>38</v>
      </c>
      <c r="F19" s="5" t="s">
        <v>39</v>
      </c>
      <c r="G19" s="5" t="s">
        <v>40</v>
      </c>
      <c r="H19" s="36" t="s">
        <v>63</v>
      </c>
      <c r="I19" s="5" t="s">
        <v>56</v>
      </c>
      <c r="J19" s="36" t="s">
        <v>64</v>
      </c>
      <c r="K19" s="5" t="s">
        <v>44</v>
      </c>
      <c r="L19" s="5" t="s">
        <v>45</v>
      </c>
      <c r="M19" s="5" t="s">
        <v>46</v>
      </c>
      <c r="N19" s="5" t="s">
        <v>47</v>
      </c>
      <c r="O19" s="34">
        <v>1.5</v>
      </c>
      <c r="P19" s="5">
        <f>Tableau3[[#This Row],[HJ Dev]]*(25%+25%)</f>
        <v>0.75</v>
      </c>
      <c r="Q19" s="35">
        <f>Tableau3[[#This Row],[HJ Analyse et Test]]+Tableau3[[#This Row],[HJ Dev]]</f>
        <v>2.25</v>
      </c>
      <c r="R19" s="34"/>
      <c r="W19" s="35"/>
    </row>
    <row r="20" spans="2:23" ht="363.95" customHeight="1" x14ac:dyDescent="0.2">
      <c r="B20" s="5" t="s">
        <v>65</v>
      </c>
      <c r="C20" s="5" t="s">
        <v>66</v>
      </c>
      <c r="D20" s="5" t="s">
        <v>66</v>
      </c>
      <c r="E20" s="5" t="s">
        <v>38</v>
      </c>
      <c r="F20" s="5" t="s">
        <v>39</v>
      </c>
      <c r="G20" s="5" t="s">
        <v>40</v>
      </c>
      <c r="H20" s="36" t="s">
        <v>67</v>
      </c>
      <c r="I20" s="5" t="s">
        <v>56</v>
      </c>
      <c r="J20" s="36" t="s">
        <v>68</v>
      </c>
      <c r="K20" s="5" t="s">
        <v>44</v>
      </c>
      <c r="L20" s="5" t="s">
        <v>45</v>
      </c>
      <c r="M20" s="5" t="s">
        <v>46</v>
      </c>
      <c r="N20" s="5" t="s">
        <v>47</v>
      </c>
      <c r="O20" s="34">
        <v>2</v>
      </c>
      <c r="P20" s="5">
        <f>Tableau3[[#This Row],[HJ Dev]]*(25%+25%)</f>
        <v>1</v>
      </c>
      <c r="Q20" s="35">
        <f>Tableau3[[#This Row],[HJ Analyse et Test]]+Tableau3[[#This Row],[HJ Dev]]</f>
        <v>3</v>
      </c>
      <c r="R20" s="34"/>
      <c r="W20" s="35"/>
    </row>
    <row r="21" spans="2:23" ht="375" customHeight="1" x14ac:dyDescent="0.2">
      <c r="B21" s="5" t="s">
        <v>69</v>
      </c>
      <c r="C21" s="36" t="s">
        <v>70</v>
      </c>
      <c r="D21" s="36" t="s">
        <v>70</v>
      </c>
      <c r="E21" s="5" t="s">
        <v>38</v>
      </c>
      <c r="F21" s="5" t="s">
        <v>39</v>
      </c>
      <c r="G21" s="5" t="s">
        <v>40</v>
      </c>
      <c r="H21" s="36" t="s">
        <v>71</v>
      </c>
      <c r="I21" s="5" t="s">
        <v>42</v>
      </c>
      <c r="J21" s="36" t="s">
        <v>72</v>
      </c>
      <c r="K21" s="5" t="s">
        <v>44</v>
      </c>
      <c r="L21" s="5" t="s">
        <v>45</v>
      </c>
      <c r="M21" s="5" t="s">
        <v>46</v>
      </c>
      <c r="N21" s="5" t="s">
        <v>47</v>
      </c>
      <c r="O21" s="34"/>
      <c r="P21" s="5">
        <f>Tableau3[[#This Row],[HJ Dev]]*(25%+25%)</f>
        <v>0</v>
      </c>
      <c r="Q21" s="35">
        <f>Tableau3[[#This Row],[HJ Analyse et Test]]+Tableau3[[#This Row],[HJ Dev]]</f>
        <v>0</v>
      </c>
      <c r="R21" s="34"/>
      <c r="W21" s="35"/>
    </row>
    <row r="22" spans="2:23" ht="375" customHeight="1" x14ac:dyDescent="0.2">
      <c r="B22" s="5" t="s">
        <v>73</v>
      </c>
      <c r="C22" s="36"/>
      <c r="D22" s="36" t="s">
        <v>205</v>
      </c>
      <c r="E22" s="5" t="s">
        <v>38</v>
      </c>
      <c r="F22" s="5" t="s">
        <v>39</v>
      </c>
      <c r="G22" s="5" t="s">
        <v>40</v>
      </c>
      <c r="H22" s="36" t="s">
        <v>208</v>
      </c>
      <c r="I22" s="5" t="s">
        <v>56</v>
      </c>
      <c r="J22" s="5" t="s">
        <v>207</v>
      </c>
      <c r="K22" s="5" t="s">
        <v>44</v>
      </c>
      <c r="O22" s="34">
        <v>2</v>
      </c>
      <c r="P22" s="5">
        <f>Tableau3[[#This Row],[HJ Dev]]*(25%+25%)</f>
        <v>1</v>
      </c>
      <c r="Q22" s="35">
        <f>Tableau3[[#This Row],[HJ Analyse et Test]]+Tableau3[[#This Row],[HJ Dev]]</f>
        <v>3</v>
      </c>
      <c r="R22" s="34"/>
      <c r="W22" s="35"/>
    </row>
    <row r="23" spans="2:23" ht="124.5" customHeight="1" x14ac:dyDescent="0.2">
      <c r="B23" s="5" t="s">
        <v>76</v>
      </c>
      <c r="D23" s="5" t="s">
        <v>74</v>
      </c>
      <c r="E23" s="5" t="s">
        <v>38</v>
      </c>
      <c r="F23" s="5" t="s">
        <v>39</v>
      </c>
      <c r="G23" s="5" t="s">
        <v>40</v>
      </c>
      <c r="H23" s="5" t="s">
        <v>74</v>
      </c>
      <c r="I23" s="5" t="s">
        <v>56</v>
      </c>
      <c r="J23" s="5" t="s">
        <v>75</v>
      </c>
      <c r="K23" s="5" t="s">
        <v>44</v>
      </c>
      <c r="O23" s="34">
        <v>1</v>
      </c>
      <c r="P23" s="5">
        <f>Tableau3[[#This Row],[HJ Dev]]*(25%+25%)</f>
        <v>0.5</v>
      </c>
      <c r="Q23" s="35">
        <f>Tableau3[[#This Row],[HJ Analyse et Test]]+Tableau3[[#This Row],[HJ Dev]]</f>
        <v>1.5</v>
      </c>
      <c r="R23" s="34"/>
      <c r="W23" s="35"/>
    </row>
    <row r="24" spans="2:23" ht="342.75" customHeight="1" x14ac:dyDescent="0.2">
      <c r="B24" s="5" t="s">
        <v>79</v>
      </c>
      <c r="D24" s="5" t="s">
        <v>77</v>
      </c>
      <c r="E24" s="5" t="s">
        <v>38</v>
      </c>
      <c r="F24" s="5" t="s">
        <v>39</v>
      </c>
      <c r="G24" s="5" t="s">
        <v>40</v>
      </c>
      <c r="H24" s="5" t="s">
        <v>77</v>
      </c>
      <c r="I24" s="5" t="s">
        <v>56</v>
      </c>
      <c r="J24" s="5" t="s">
        <v>78</v>
      </c>
      <c r="K24" s="5" t="s">
        <v>44</v>
      </c>
      <c r="O24" s="34">
        <v>2</v>
      </c>
      <c r="P24" s="5">
        <f>Tableau3[[#This Row],[HJ Dev]]*(25%+25%)</f>
        <v>1</v>
      </c>
      <c r="Q24" s="35">
        <f>Tableau3[[#This Row],[HJ Analyse et Test]]+Tableau3[[#This Row],[HJ Dev]]</f>
        <v>3</v>
      </c>
      <c r="R24" s="34"/>
      <c r="W24" s="35"/>
    </row>
    <row r="25" spans="2:23" ht="342.75" customHeight="1" x14ac:dyDescent="0.2">
      <c r="B25" s="5" t="s">
        <v>82</v>
      </c>
      <c r="D25" s="5" t="s">
        <v>206</v>
      </c>
      <c r="E25" s="5" t="s">
        <v>38</v>
      </c>
      <c r="F25" s="5" t="s">
        <v>39</v>
      </c>
      <c r="G25" s="5" t="s">
        <v>40</v>
      </c>
      <c r="H25" s="5" t="s">
        <v>217</v>
      </c>
      <c r="I25" s="5" t="s">
        <v>56</v>
      </c>
      <c r="J25" s="5" t="s">
        <v>216</v>
      </c>
      <c r="K25" s="5" t="s">
        <v>44</v>
      </c>
      <c r="O25" s="34">
        <v>2</v>
      </c>
      <c r="P25" s="5">
        <f>Tableau3[[#This Row],[HJ Dev]]*(25%+25%)</f>
        <v>1</v>
      </c>
      <c r="Q25" s="35">
        <f>Tableau3[[#This Row],[HJ Analyse et Test]]+Tableau3[[#This Row],[HJ Dev]]</f>
        <v>3</v>
      </c>
      <c r="R25" s="34"/>
      <c r="W25" s="35"/>
    </row>
    <row r="26" spans="2:23" ht="318.60000000000002" customHeight="1" x14ac:dyDescent="0.2">
      <c r="B26" s="5" t="s">
        <v>86</v>
      </c>
      <c r="D26" s="36" t="s">
        <v>80</v>
      </c>
      <c r="E26" s="5" t="s">
        <v>38</v>
      </c>
      <c r="F26" s="5" t="s">
        <v>39</v>
      </c>
      <c r="G26" s="5" t="s">
        <v>40</v>
      </c>
      <c r="H26" s="36" t="s">
        <v>80</v>
      </c>
      <c r="I26" s="5" t="s">
        <v>56</v>
      </c>
      <c r="J26" s="5" t="s">
        <v>81</v>
      </c>
      <c r="K26" s="5" t="s">
        <v>44</v>
      </c>
      <c r="L26" s="5" t="s">
        <v>45</v>
      </c>
      <c r="M26" s="5" t="s">
        <v>46</v>
      </c>
      <c r="N26" s="5" t="s">
        <v>47</v>
      </c>
      <c r="O26" s="34">
        <v>7</v>
      </c>
      <c r="P26" s="5">
        <f>Tableau3[[#This Row],[HJ Dev]]*(25%+25%)</f>
        <v>3.5</v>
      </c>
      <c r="Q26" s="35">
        <f>Tableau3[[#This Row],[HJ Analyse et Test]]+Tableau3[[#This Row],[HJ Dev]]</f>
        <v>10.5</v>
      </c>
      <c r="R26" s="34"/>
      <c r="W26" s="35"/>
    </row>
    <row r="27" spans="2:23" ht="219.95" customHeight="1" x14ac:dyDescent="0.2">
      <c r="B27" s="5" t="s">
        <v>90</v>
      </c>
      <c r="C27" s="36" t="s">
        <v>83</v>
      </c>
      <c r="D27" s="36" t="s">
        <v>83</v>
      </c>
      <c r="E27" s="5" t="s">
        <v>38</v>
      </c>
      <c r="F27" s="5" t="s">
        <v>39</v>
      </c>
      <c r="G27" s="5" t="s">
        <v>40</v>
      </c>
      <c r="H27" s="36" t="s">
        <v>84</v>
      </c>
      <c r="J27" s="36" t="s">
        <v>85</v>
      </c>
      <c r="K27" s="5" t="s">
        <v>44</v>
      </c>
      <c r="L27" s="5" t="s">
        <v>45</v>
      </c>
      <c r="M27" s="5" t="s">
        <v>46</v>
      </c>
      <c r="N27" s="5" t="s">
        <v>47</v>
      </c>
      <c r="O27" s="34"/>
      <c r="P27" s="5">
        <f>Tableau3[[#This Row],[HJ Dev]]*(25%+25%)</f>
        <v>0</v>
      </c>
      <c r="Q27" s="35">
        <f>Tableau3[[#This Row],[HJ Analyse et Test]]+Tableau3[[#This Row],[HJ Dev]]</f>
        <v>0</v>
      </c>
      <c r="R27" s="34"/>
      <c r="W27" s="35"/>
    </row>
    <row r="28" spans="2:23" ht="285" customHeight="1" x14ac:dyDescent="0.2">
      <c r="B28" s="5" t="s">
        <v>94</v>
      </c>
      <c r="C28" s="5" t="s">
        <v>87</v>
      </c>
      <c r="D28" s="5" t="s">
        <v>88</v>
      </c>
      <c r="E28" s="5" t="s">
        <v>38</v>
      </c>
      <c r="F28" s="5" t="s">
        <v>39</v>
      </c>
      <c r="G28" s="5" t="s">
        <v>40</v>
      </c>
      <c r="H28" s="5" t="s">
        <v>88</v>
      </c>
      <c r="I28" s="5" t="s">
        <v>56</v>
      </c>
      <c r="J28" s="5" t="s">
        <v>89</v>
      </c>
      <c r="K28" s="5" t="s">
        <v>44</v>
      </c>
      <c r="L28" s="5" t="s">
        <v>45</v>
      </c>
      <c r="M28" s="5" t="s">
        <v>46</v>
      </c>
      <c r="N28" s="5" t="s">
        <v>47</v>
      </c>
      <c r="O28" s="34">
        <v>2</v>
      </c>
      <c r="P28" s="5">
        <f>Tableau3[[#This Row],[HJ Dev]]*(25%+25%)</f>
        <v>1</v>
      </c>
      <c r="Q28" s="35">
        <f>Tableau3[[#This Row],[HJ Analyse et Test]]+Tableau3[[#This Row],[HJ Dev]]</f>
        <v>3</v>
      </c>
      <c r="R28" s="34"/>
      <c r="W28" s="35"/>
    </row>
    <row r="29" spans="2:23" ht="273.60000000000002" customHeight="1" x14ac:dyDescent="0.2">
      <c r="B29" s="5" t="s">
        <v>97</v>
      </c>
      <c r="C29" s="5" t="s">
        <v>91</v>
      </c>
      <c r="D29" s="5" t="s">
        <v>91</v>
      </c>
      <c r="E29" s="5" t="s">
        <v>38</v>
      </c>
      <c r="F29" s="5" t="s">
        <v>39</v>
      </c>
      <c r="G29" s="5" t="s">
        <v>40</v>
      </c>
      <c r="H29" s="5" t="s">
        <v>92</v>
      </c>
      <c r="I29" s="5" t="s">
        <v>56</v>
      </c>
      <c r="J29" s="5" t="s">
        <v>93</v>
      </c>
      <c r="K29" s="5" t="s">
        <v>44</v>
      </c>
      <c r="L29" s="5" t="s">
        <v>45</v>
      </c>
      <c r="M29" s="5" t="s">
        <v>46</v>
      </c>
      <c r="N29" s="5" t="s">
        <v>47</v>
      </c>
      <c r="O29" s="34">
        <v>2</v>
      </c>
      <c r="P29" s="5">
        <f>Tableau3[[#This Row],[HJ Dev]]*(25%+25%)</f>
        <v>1</v>
      </c>
      <c r="Q29" s="35">
        <f>Tableau3[[#This Row],[HJ Analyse et Test]]+Tableau3[[#This Row],[HJ Dev]]</f>
        <v>3</v>
      </c>
      <c r="R29" s="34"/>
      <c r="W29" s="35"/>
    </row>
    <row r="30" spans="2:23" ht="102.95" customHeight="1" x14ac:dyDescent="0.2">
      <c r="B30" s="5" t="s">
        <v>100</v>
      </c>
      <c r="D30" s="5" t="s">
        <v>95</v>
      </c>
      <c r="E30" s="5" t="s">
        <v>38</v>
      </c>
      <c r="F30" s="5" t="s">
        <v>39</v>
      </c>
      <c r="G30" s="5" t="s">
        <v>40</v>
      </c>
      <c r="H30" s="5" t="s">
        <v>95</v>
      </c>
      <c r="I30" s="5" t="s">
        <v>56</v>
      </c>
      <c r="J30" s="5" t="s">
        <v>96</v>
      </c>
      <c r="K30" s="5" t="s">
        <v>44</v>
      </c>
      <c r="L30" s="5" t="s">
        <v>45</v>
      </c>
      <c r="M30" s="5" t="s">
        <v>46</v>
      </c>
      <c r="N30" s="5" t="s">
        <v>47</v>
      </c>
      <c r="O30" s="34">
        <v>2</v>
      </c>
      <c r="P30" s="5">
        <f>Tableau3[[#This Row],[HJ Dev]]*(25%+25%)</f>
        <v>1</v>
      </c>
      <c r="Q30" s="35">
        <f>Tableau3[[#This Row],[HJ Analyse et Test]]+Tableau3[[#This Row],[HJ Dev]]</f>
        <v>3</v>
      </c>
      <c r="R30" s="34"/>
      <c r="W30" s="35"/>
    </row>
    <row r="31" spans="2:23" ht="198.6" customHeight="1" x14ac:dyDescent="0.2">
      <c r="B31" s="5" t="s">
        <v>103</v>
      </c>
      <c r="D31" s="38" t="s">
        <v>98</v>
      </c>
      <c r="E31" s="5" t="s">
        <v>54</v>
      </c>
      <c r="F31" s="5" t="s">
        <v>39</v>
      </c>
      <c r="G31" s="5" t="s">
        <v>40</v>
      </c>
      <c r="H31" s="38" t="s">
        <v>98</v>
      </c>
      <c r="I31" s="5" t="s">
        <v>56</v>
      </c>
      <c r="J31" s="5" t="s">
        <v>99</v>
      </c>
      <c r="K31" s="5" t="s">
        <v>44</v>
      </c>
      <c r="L31" s="5" t="s">
        <v>45</v>
      </c>
      <c r="M31" s="5" t="s">
        <v>46</v>
      </c>
      <c r="N31" s="5" t="s">
        <v>47</v>
      </c>
      <c r="O31" s="34">
        <v>2</v>
      </c>
      <c r="P31" s="5">
        <f>Tableau3[[#This Row],[HJ Dev]]*(25%+25%)</f>
        <v>1</v>
      </c>
      <c r="Q31" s="35">
        <f>Tableau3[[#This Row],[HJ Analyse et Test]]+Tableau3[[#This Row],[HJ Dev]]</f>
        <v>3</v>
      </c>
      <c r="R31" s="34"/>
      <c r="W31" s="35"/>
    </row>
    <row r="32" spans="2:23" ht="362.45" customHeight="1" x14ac:dyDescent="0.2">
      <c r="B32" s="5" t="s">
        <v>107</v>
      </c>
      <c r="C32" s="36" t="s">
        <v>101</v>
      </c>
      <c r="D32" s="36" t="s">
        <v>101</v>
      </c>
      <c r="E32" s="5" t="s">
        <v>38</v>
      </c>
      <c r="F32" s="5" t="s">
        <v>39</v>
      </c>
      <c r="G32" s="5" t="s">
        <v>40</v>
      </c>
      <c r="H32" s="36" t="s">
        <v>101</v>
      </c>
      <c r="I32" s="5" t="s">
        <v>42</v>
      </c>
      <c r="J32" s="36" t="s">
        <v>102</v>
      </c>
      <c r="K32" s="5" t="s">
        <v>44</v>
      </c>
      <c r="L32" s="5" t="s">
        <v>45</v>
      </c>
      <c r="M32" s="5" t="s">
        <v>46</v>
      </c>
      <c r="N32" s="5" t="s">
        <v>47</v>
      </c>
      <c r="O32" s="34"/>
      <c r="P32" s="5">
        <f>Tableau3[[#This Row],[HJ Dev]]*(25%+25%)</f>
        <v>0</v>
      </c>
      <c r="Q32" s="35">
        <f>Tableau3[[#This Row],[HJ Analyse et Test]]+Tableau3[[#This Row],[HJ Dev]]</f>
        <v>0</v>
      </c>
      <c r="R32" s="34"/>
      <c r="W32" s="35"/>
    </row>
    <row r="33" spans="2:23" ht="273.60000000000002" customHeight="1" x14ac:dyDescent="0.2">
      <c r="B33" s="5" t="s">
        <v>111</v>
      </c>
      <c r="C33" s="36" t="s">
        <v>104</v>
      </c>
      <c r="D33" s="36" t="s">
        <v>104</v>
      </c>
      <c r="E33" s="5" t="s">
        <v>38</v>
      </c>
      <c r="F33" s="5" t="s">
        <v>39</v>
      </c>
      <c r="G33" s="5" t="s">
        <v>40</v>
      </c>
      <c r="H33" s="36" t="s">
        <v>105</v>
      </c>
      <c r="I33" s="5" t="s">
        <v>42</v>
      </c>
      <c r="J33" s="36" t="s">
        <v>106</v>
      </c>
      <c r="K33" s="5" t="s">
        <v>44</v>
      </c>
      <c r="L33" s="5" t="s">
        <v>45</v>
      </c>
      <c r="M33" s="5" t="s">
        <v>46</v>
      </c>
      <c r="N33" s="5" t="s">
        <v>47</v>
      </c>
      <c r="O33" s="34"/>
      <c r="P33" s="5">
        <f>Tableau3[[#This Row],[HJ Dev]]*(25%+25%)</f>
        <v>0</v>
      </c>
      <c r="Q33" s="35">
        <f>Tableau3[[#This Row],[HJ Analyse et Test]]+Tableau3[[#This Row],[HJ Dev]]</f>
        <v>0</v>
      </c>
      <c r="R33" s="34"/>
      <c r="W33" s="35"/>
    </row>
    <row r="34" spans="2:23" ht="189.6" customHeight="1" x14ac:dyDescent="0.2">
      <c r="B34" s="5" t="s">
        <v>114</v>
      </c>
      <c r="D34" s="5" t="s">
        <v>108</v>
      </c>
      <c r="E34" s="5" t="s">
        <v>38</v>
      </c>
      <c r="F34" s="5" t="s">
        <v>39</v>
      </c>
      <c r="G34" s="5" t="s">
        <v>40</v>
      </c>
      <c r="H34" s="5" t="s">
        <v>109</v>
      </c>
      <c r="I34" s="5" t="s">
        <v>56</v>
      </c>
      <c r="J34" s="5" t="s">
        <v>110</v>
      </c>
      <c r="K34" s="5" t="s">
        <v>44</v>
      </c>
      <c r="L34" s="5" t="s">
        <v>45</v>
      </c>
      <c r="M34" s="5" t="s">
        <v>46</v>
      </c>
      <c r="N34" s="5" t="s">
        <v>47</v>
      </c>
      <c r="O34" s="34">
        <v>2.5</v>
      </c>
      <c r="P34" s="5">
        <f>Tableau3[[#This Row],[HJ Dev]]*(25%+25%)</f>
        <v>1.25</v>
      </c>
      <c r="Q34" s="35">
        <f>Tableau3[[#This Row],[HJ Analyse et Test]]+Tableau3[[#This Row],[HJ Dev]]</f>
        <v>3.75</v>
      </c>
      <c r="R34" s="34"/>
      <c r="W34" s="35"/>
    </row>
    <row r="35" spans="2:23" ht="222.95" customHeight="1" x14ac:dyDescent="0.2">
      <c r="B35" s="5" t="s">
        <v>117</v>
      </c>
      <c r="C35" s="36" t="s">
        <v>112</v>
      </c>
      <c r="D35" s="36" t="s">
        <v>112</v>
      </c>
      <c r="E35" s="5" t="s">
        <v>38</v>
      </c>
      <c r="F35" s="5" t="s">
        <v>39</v>
      </c>
      <c r="G35" s="5" t="s">
        <v>40</v>
      </c>
      <c r="H35" s="36" t="s">
        <v>112</v>
      </c>
      <c r="I35" s="5" t="s">
        <v>42</v>
      </c>
      <c r="J35" s="36" t="s">
        <v>113</v>
      </c>
      <c r="K35" s="5" t="s">
        <v>44</v>
      </c>
      <c r="L35" s="5" t="s">
        <v>45</v>
      </c>
      <c r="M35" s="5" t="s">
        <v>46</v>
      </c>
      <c r="N35" s="5" t="s">
        <v>47</v>
      </c>
      <c r="O35" s="34"/>
      <c r="P35" s="5">
        <f>Tableau3[[#This Row],[HJ Dev]]*(25%+25%)</f>
        <v>0</v>
      </c>
      <c r="Q35" s="35">
        <f>Tableau3[[#This Row],[HJ Analyse et Test]]+Tableau3[[#This Row],[HJ Dev]]</f>
        <v>0</v>
      </c>
      <c r="R35" s="34"/>
      <c r="W35" s="35"/>
    </row>
    <row r="36" spans="2:23" ht="183.6" customHeight="1" x14ac:dyDescent="0.2">
      <c r="B36" s="5" t="s">
        <v>121</v>
      </c>
      <c r="C36" s="36" t="s">
        <v>115</v>
      </c>
      <c r="D36" s="36" t="s">
        <v>115</v>
      </c>
      <c r="E36" s="5" t="s">
        <v>38</v>
      </c>
      <c r="F36" s="5" t="s">
        <v>39</v>
      </c>
      <c r="G36" s="5" t="s">
        <v>40</v>
      </c>
      <c r="H36" s="36" t="s">
        <v>115</v>
      </c>
      <c r="I36" s="5" t="s">
        <v>42</v>
      </c>
      <c r="J36" s="36" t="s">
        <v>116</v>
      </c>
      <c r="K36" s="5" t="s">
        <v>44</v>
      </c>
      <c r="L36" s="5" t="s">
        <v>45</v>
      </c>
      <c r="M36" s="5" t="s">
        <v>46</v>
      </c>
      <c r="N36" s="5" t="s">
        <v>47</v>
      </c>
      <c r="O36" s="34"/>
      <c r="P36" s="5">
        <f>Tableau3[[#This Row],[HJ Dev]]*(25%+25%)</f>
        <v>0</v>
      </c>
      <c r="Q36" s="35">
        <f>Tableau3[[#This Row],[HJ Analyse et Test]]+Tableau3[[#This Row],[HJ Dev]]</f>
        <v>0</v>
      </c>
      <c r="R36" s="34"/>
      <c r="W36" s="35"/>
    </row>
    <row r="37" spans="2:23" ht="150" customHeight="1" x14ac:dyDescent="0.2">
      <c r="B37" s="5" t="s">
        <v>125</v>
      </c>
      <c r="C37" s="36" t="s">
        <v>118</v>
      </c>
      <c r="D37" s="36" t="s">
        <v>118</v>
      </c>
      <c r="E37" s="5" t="s">
        <v>38</v>
      </c>
      <c r="F37" s="5" t="s">
        <v>39</v>
      </c>
      <c r="G37" s="5" t="s">
        <v>40</v>
      </c>
      <c r="H37" s="36" t="s">
        <v>119</v>
      </c>
      <c r="I37" s="5" t="s">
        <v>42</v>
      </c>
      <c r="J37" s="36" t="s">
        <v>120</v>
      </c>
      <c r="K37" s="5" t="s">
        <v>44</v>
      </c>
      <c r="L37" s="5" t="s">
        <v>45</v>
      </c>
      <c r="M37" s="5" t="s">
        <v>46</v>
      </c>
      <c r="N37" s="5" t="s">
        <v>47</v>
      </c>
      <c r="O37" s="34"/>
      <c r="P37" s="5">
        <f>Tableau3[[#This Row],[HJ Dev]]*(25%+25%)</f>
        <v>0</v>
      </c>
      <c r="Q37" s="35">
        <f>Tableau3[[#This Row],[HJ Analyse et Test]]+Tableau3[[#This Row],[HJ Dev]]</f>
        <v>0</v>
      </c>
      <c r="R37" s="34"/>
      <c r="W37" s="35"/>
    </row>
    <row r="38" spans="2:23" ht="231" customHeight="1" x14ac:dyDescent="0.2">
      <c r="B38" s="5" t="s">
        <v>129</v>
      </c>
      <c r="C38" s="36" t="s">
        <v>122</v>
      </c>
      <c r="D38" s="36" t="s">
        <v>122</v>
      </c>
      <c r="E38" s="5" t="s">
        <v>38</v>
      </c>
      <c r="F38" s="5" t="s">
        <v>39</v>
      </c>
      <c r="G38" s="5" t="s">
        <v>40</v>
      </c>
      <c r="H38" s="36" t="s">
        <v>123</v>
      </c>
      <c r="I38" s="5" t="s">
        <v>42</v>
      </c>
      <c r="J38" s="37" t="s">
        <v>124</v>
      </c>
      <c r="K38" s="5" t="s">
        <v>44</v>
      </c>
      <c r="L38" s="5" t="s">
        <v>45</v>
      </c>
      <c r="M38" s="5" t="s">
        <v>46</v>
      </c>
      <c r="N38" s="5" t="s">
        <v>47</v>
      </c>
      <c r="O38" s="34"/>
      <c r="P38" s="5">
        <f>Tableau3[[#This Row],[HJ Dev]]*(25%+25%)</f>
        <v>0</v>
      </c>
      <c r="Q38" s="35">
        <f>Tableau3[[#This Row],[HJ Analyse et Test]]+Tableau3[[#This Row],[HJ Dev]]</f>
        <v>0</v>
      </c>
      <c r="R38" s="34"/>
      <c r="W38" s="35"/>
    </row>
    <row r="39" spans="2:23" ht="275.10000000000002" customHeight="1" x14ac:dyDescent="0.2">
      <c r="B39" s="5" t="s">
        <v>133</v>
      </c>
      <c r="C39" s="36" t="s">
        <v>126</v>
      </c>
      <c r="D39" s="36" t="s">
        <v>126</v>
      </c>
      <c r="E39" s="5" t="s">
        <v>38</v>
      </c>
      <c r="F39" s="5" t="s">
        <v>39</v>
      </c>
      <c r="G39" s="5" t="s">
        <v>40</v>
      </c>
      <c r="H39" s="36" t="s">
        <v>127</v>
      </c>
      <c r="I39" s="5" t="s">
        <v>42</v>
      </c>
      <c r="J39" s="36" t="s">
        <v>128</v>
      </c>
      <c r="K39" s="5" t="s">
        <v>44</v>
      </c>
      <c r="L39" s="5" t="s">
        <v>45</v>
      </c>
      <c r="M39" s="5" t="s">
        <v>46</v>
      </c>
      <c r="N39" s="5" t="s">
        <v>47</v>
      </c>
      <c r="O39" s="34"/>
      <c r="P39" s="5">
        <f>Tableau3[[#This Row],[HJ Dev]]*(25%+25%)</f>
        <v>0</v>
      </c>
      <c r="Q39" s="35">
        <f>Tableau3[[#This Row],[HJ Analyse et Test]]+Tableau3[[#This Row],[HJ Dev]]</f>
        <v>0</v>
      </c>
      <c r="R39" s="34"/>
      <c r="W39" s="35"/>
    </row>
    <row r="40" spans="2:23" ht="219.6" customHeight="1" x14ac:dyDescent="0.2">
      <c r="B40" s="5" t="s">
        <v>137</v>
      </c>
      <c r="C40" s="36" t="s">
        <v>130</v>
      </c>
      <c r="D40" s="36" t="s">
        <v>130</v>
      </c>
      <c r="E40" s="5" t="s">
        <v>38</v>
      </c>
      <c r="F40" s="5" t="s">
        <v>39</v>
      </c>
      <c r="G40" s="5" t="s">
        <v>40</v>
      </c>
      <c r="H40" s="36" t="s">
        <v>131</v>
      </c>
      <c r="I40" s="5" t="s">
        <v>42</v>
      </c>
      <c r="J40" s="36" t="s">
        <v>132</v>
      </c>
      <c r="K40" s="5" t="s">
        <v>44</v>
      </c>
      <c r="L40" s="5" t="s">
        <v>45</v>
      </c>
      <c r="M40" s="5" t="s">
        <v>46</v>
      </c>
      <c r="N40" s="5" t="s">
        <v>47</v>
      </c>
      <c r="O40" s="34"/>
      <c r="P40" s="5">
        <f>Tableau3[[#This Row],[HJ Dev]]*(25%+25%)</f>
        <v>0</v>
      </c>
      <c r="Q40" s="35">
        <f>Tableau3[[#This Row],[HJ Analyse et Test]]+Tableau3[[#This Row],[HJ Dev]]</f>
        <v>0</v>
      </c>
      <c r="R40" s="34"/>
      <c r="W40" s="35"/>
    </row>
    <row r="41" spans="2:23" ht="27.6" customHeight="1" x14ac:dyDescent="0.2">
      <c r="B41" s="5" t="s">
        <v>141</v>
      </c>
      <c r="C41" s="36" t="s">
        <v>134</v>
      </c>
      <c r="D41" s="36" t="s">
        <v>134</v>
      </c>
      <c r="E41" s="5" t="s">
        <v>38</v>
      </c>
      <c r="F41" s="5" t="s">
        <v>39</v>
      </c>
      <c r="G41" s="5" t="s">
        <v>40</v>
      </c>
      <c r="H41" s="36" t="s">
        <v>135</v>
      </c>
      <c r="I41" s="5" t="s">
        <v>42</v>
      </c>
      <c r="J41" s="36" t="s">
        <v>136</v>
      </c>
      <c r="K41" s="5" t="s">
        <v>44</v>
      </c>
      <c r="L41" s="5" t="s">
        <v>45</v>
      </c>
      <c r="M41" s="5" t="s">
        <v>46</v>
      </c>
      <c r="N41" s="5" t="s">
        <v>47</v>
      </c>
      <c r="O41" s="34"/>
      <c r="P41" s="5">
        <f>Tableau3[[#This Row],[HJ Dev]]*(25%+25%)</f>
        <v>0</v>
      </c>
      <c r="Q41" s="35">
        <f>Tableau3[[#This Row],[HJ Analyse et Test]]+Tableau3[[#This Row],[HJ Dev]]</f>
        <v>0</v>
      </c>
      <c r="R41" s="34"/>
      <c r="W41" s="35"/>
    </row>
    <row r="42" spans="2:23" ht="12.75" customHeight="1" x14ac:dyDescent="0.2">
      <c r="B42" s="5" t="s">
        <v>145</v>
      </c>
      <c r="C42" s="36" t="s">
        <v>138</v>
      </c>
      <c r="D42" s="36" t="s">
        <v>138</v>
      </c>
      <c r="E42" s="5" t="s">
        <v>38</v>
      </c>
      <c r="F42" s="5" t="s">
        <v>39</v>
      </c>
      <c r="G42" s="5" t="s">
        <v>40</v>
      </c>
      <c r="H42" s="36" t="s">
        <v>139</v>
      </c>
      <c r="I42" s="5" t="s">
        <v>42</v>
      </c>
      <c r="J42" s="36" t="s">
        <v>140</v>
      </c>
      <c r="K42" s="5" t="s">
        <v>44</v>
      </c>
      <c r="L42" s="5" t="s">
        <v>45</v>
      </c>
      <c r="M42" s="5" t="s">
        <v>46</v>
      </c>
      <c r="N42" s="5" t="s">
        <v>47</v>
      </c>
      <c r="O42" s="34"/>
      <c r="P42" s="5">
        <f>Tableau3[[#This Row],[HJ Dev]]*(25%+25%)</f>
        <v>0</v>
      </c>
      <c r="Q42" s="35">
        <f>Tableau3[[#This Row],[HJ Analyse et Test]]+Tableau3[[#This Row],[HJ Dev]]</f>
        <v>0</v>
      </c>
      <c r="R42" s="34"/>
      <c r="W42" s="35"/>
    </row>
    <row r="43" spans="2:23" ht="12.75" customHeight="1" x14ac:dyDescent="0.2">
      <c r="B43" s="5" t="s">
        <v>214</v>
      </c>
      <c r="C43" s="36" t="s">
        <v>142</v>
      </c>
      <c r="D43" s="36" t="s">
        <v>142</v>
      </c>
      <c r="E43" s="5" t="s">
        <v>38</v>
      </c>
      <c r="F43" s="5" t="s">
        <v>39</v>
      </c>
      <c r="G43" s="5" t="s">
        <v>40</v>
      </c>
      <c r="H43" s="36" t="s">
        <v>143</v>
      </c>
      <c r="I43" s="5" t="s">
        <v>42</v>
      </c>
      <c r="J43" s="36" t="s">
        <v>144</v>
      </c>
      <c r="K43" s="5" t="s">
        <v>44</v>
      </c>
      <c r="L43" s="5" t="s">
        <v>45</v>
      </c>
      <c r="M43" s="5" t="s">
        <v>46</v>
      </c>
      <c r="N43" s="5" t="s">
        <v>47</v>
      </c>
      <c r="O43" s="34"/>
      <c r="P43" s="5">
        <f>Tableau3[[#This Row],[HJ Dev]]*(25%+25%)</f>
        <v>0</v>
      </c>
      <c r="Q43" s="35">
        <f>Tableau3[[#This Row],[HJ Analyse et Test]]+Tableau3[[#This Row],[HJ Dev]]</f>
        <v>0</v>
      </c>
      <c r="R43" s="34"/>
      <c r="W43" s="35"/>
    </row>
    <row r="44" spans="2:23" ht="12.75" customHeight="1" x14ac:dyDescent="0.2">
      <c r="B44" s="5" t="s">
        <v>215</v>
      </c>
      <c r="C44" s="5" t="s">
        <v>146</v>
      </c>
      <c r="D44" s="5" t="s">
        <v>146</v>
      </c>
      <c r="E44" s="5" t="s">
        <v>38</v>
      </c>
      <c r="F44" s="5" t="s">
        <v>39</v>
      </c>
      <c r="G44" s="5" t="s">
        <v>40</v>
      </c>
      <c r="H44" s="5" t="s">
        <v>146</v>
      </c>
      <c r="I44" s="5" t="s">
        <v>42</v>
      </c>
      <c r="J44" s="5" t="s">
        <v>147</v>
      </c>
      <c r="K44" s="5" t="s">
        <v>44</v>
      </c>
      <c r="L44" s="5" t="s">
        <v>45</v>
      </c>
      <c r="M44" s="5" t="s">
        <v>46</v>
      </c>
      <c r="N44" s="5" t="s">
        <v>47</v>
      </c>
      <c r="O44" s="34"/>
      <c r="P44" s="5">
        <f>Tableau3[[#This Row],[HJ Dev]]*(25%+25%)</f>
        <v>0</v>
      </c>
      <c r="Q44" s="35">
        <f>Tableau3[[#This Row],[HJ Analyse et Test]]+Tableau3[[#This Row],[HJ Dev]]</f>
        <v>0</v>
      </c>
      <c r="R44" s="34"/>
      <c r="W44" s="35"/>
    </row>
    <row r="45" spans="2:23" ht="12.75" customHeight="1" x14ac:dyDescent="0.2">
      <c r="O45" s="5">
        <f>SUBTOTAL(109,Tableau3[HJ Dev])</f>
        <v>31</v>
      </c>
      <c r="P45" s="5">
        <f>SUBTOTAL(109,Tableau3[HJ Analyse et Test])</f>
        <v>15.5</v>
      </c>
      <c r="Q45" s="5">
        <f>SUBTOTAL(109,Tableau3[Total HJ])</f>
        <v>46.5</v>
      </c>
    </row>
    <row r="83" spans="2:2" ht="12.75" customHeight="1" x14ac:dyDescent="0.2">
      <c r="B83" s="5" t="s">
        <v>209</v>
      </c>
    </row>
    <row r="84" spans="2:2" ht="12.75" customHeight="1" x14ac:dyDescent="0.2">
      <c r="B84" s="5" t="s">
        <v>210</v>
      </c>
    </row>
    <row r="85" spans="2:2" ht="12.75" customHeight="1" x14ac:dyDescent="0.2">
      <c r="B85" s="5" t="s">
        <v>211</v>
      </c>
    </row>
    <row r="86" spans="2:2" ht="12.75" customHeight="1" x14ac:dyDescent="0.2">
      <c r="B86" s="5" t="s">
        <v>212</v>
      </c>
    </row>
    <row r="87" spans="2:2" ht="12.75" customHeight="1" x14ac:dyDescent="0.2">
      <c r="B87" s="5" t="s">
        <v>213</v>
      </c>
    </row>
  </sheetData>
  <mergeCells count="3">
    <mergeCell ref="R2:W2"/>
    <mergeCell ref="B2:N2"/>
    <mergeCell ref="O2:Q2"/>
  </mergeCells>
  <phoneticPr fontId="2" type="noConversion"/>
  <dataValidations count="2">
    <dataValidation type="whole" operator="greaterThanOrEqual" allowBlank="1" showInputMessage="1" showErrorMessage="1" sqref="O15 P15:Q44" xr:uid="{10E2E794-3894-4CC1-AB1A-9BB5BF41EABB}">
      <formula1>0</formula1>
    </dataValidation>
    <dataValidation type="decimal" operator="greaterThanOrEqual" allowBlank="1" showInputMessage="1" showErrorMessage="1" sqref="O16:O44" xr:uid="{8B90C7D2-1194-4CEB-8672-6A35E98C4E63}">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Params!$C$6:$C$13</xm:f>
          </x14:formula1>
          <xm:sqref>D5</xm:sqref>
        </x14:dataValidation>
        <x14:dataValidation type="list" allowBlank="1" showInputMessage="1" showErrorMessage="1" xr:uid="{06B2A4DB-2A94-4B0B-971B-CDFF438E23BA}">
          <x14:formula1>
            <xm:f>Params!$H$6:$H$12</xm:f>
          </x14:formula1>
          <xm:sqref>N15:N44</xm:sqref>
        </x14:dataValidation>
        <x14:dataValidation type="list" allowBlank="1" showInputMessage="1" showErrorMessage="1" xr:uid="{1F2CF1C1-BE35-4DC9-A975-F49F788F3D6A}">
          <x14:formula1>
            <xm:f>Params!$I$6:$I$9</xm:f>
          </x14:formula1>
          <xm:sqref>L15:L44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8"/>
  <sheetViews>
    <sheetView zoomScale="80" zoomScaleNormal="80" workbookViewId="0">
      <selection activeCell="I17" sqref="I17"/>
    </sheetView>
  </sheetViews>
  <sheetFormatPr defaultColWidth="11.42578125" defaultRowHeight="15" x14ac:dyDescent="0.2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75" thickBot="1" x14ac:dyDescent="0.3"/>
    <row r="3" spans="1:7" ht="24" customHeight="1" thickBot="1" x14ac:dyDescent="0.3">
      <c r="A3" s="2" t="s">
        <v>148</v>
      </c>
      <c r="B3" s="48" t="s">
        <v>0</v>
      </c>
      <c r="C3" s="49"/>
      <c r="D3" s="49"/>
      <c r="E3" s="49"/>
      <c r="F3" s="49"/>
      <c r="G3" s="50"/>
    </row>
    <row r="4" spans="1:7" x14ac:dyDescent="0.25">
      <c r="B4" s="3"/>
      <c r="C4" s="4"/>
      <c r="D4" s="4"/>
      <c r="E4" s="4"/>
      <c r="F4" s="4"/>
      <c r="G4" s="4"/>
    </row>
    <row r="5" spans="1:7" x14ac:dyDescent="0.25">
      <c r="B5" s="7" t="str">
        <f>'Gestion Exigences'!B5</f>
        <v>BU</v>
      </c>
      <c r="C5" s="7"/>
      <c r="D5" s="7" t="str">
        <f>'Gestion Exigences'!D5</f>
        <v xml:space="preserve">SF </v>
      </c>
      <c r="E5" s="4"/>
      <c r="F5" s="4"/>
      <c r="G5" s="4"/>
    </row>
    <row r="6" spans="1:7" x14ac:dyDescent="0.25">
      <c r="B6" s="7" t="str">
        <f>'Gestion Exigences'!B6</f>
        <v>Client</v>
      </c>
      <c r="C6" s="7"/>
      <c r="D6" s="7" t="str">
        <f>'Gestion Exigences'!D6</f>
        <v>Pâtisserie Masmoudi</v>
      </c>
      <c r="E6" s="4"/>
      <c r="F6" s="4"/>
      <c r="G6" s="4"/>
    </row>
    <row r="7" spans="1:7" x14ac:dyDescent="0.25">
      <c r="B7" s="7" t="str">
        <f>'Gestion Exigences'!B7</f>
        <v>Projet</v>
      </c>
      <c r="C7" s="7"/>
      <c r="D7" s="7" t="str">
        <f>'Gestion Exigences'!D7</f>
        <v>Digitalisation Usine</v>
      </c>
      <c r="E7" s="4"/>
      <c r="F7" s="4"/>
      <c r="G7" s="4"/>
    </row>
    <row r="8" spans="1:7" x14ac:dyDescent="0.25">
      <c r="B8" s="7" t="str">
        <f>'Gestion Exigences'!B8</f>
        <v>Réf BPA du Devis</v>
      </c>
      <c r="C8" s="7"/>
      <c r="D8" s="7" t="str">
        <f>'Gestion Exigences'!D8</f>
        <v>TBC</v>
      </c>
      <c r="E8" s="4"/>
      <c r="F8" s="4"/>
      <c r="G8" s="4"/>
    </row>
    <row r="9" spans="1:7" x14ac:dyDescent="0.25">
      <c r="B9" s="7" t="str">
        <f>'Gestion Exigences'!B9</f>
        <v>Réf BPA du Projet</v>
      </c>
      <c r="C9" s="7"/>
      <c r="D9" s="7" t="str">
        <f>'Gestion Exigences'!D9</f>
        <v>TBC</v>
      </c>
      <c r="E9" s="4"/>
      <c r="F9" s="4"/>
      <c r="G9" s="4"/>
    </row>
    <row r="10" spans="1:7" x14ac:dyDescent="0.25">
      <c r="B10" s="7"/>
      <c r="C10" s="7"/>
      <c r="D10" s="7"/>
      <c r="E10" s="4"/>
      <c r="F10" s="4"/>
      <c r="G10" s="4"/>
    </row>
    <row r="11" spans="1:7" x14ac:dyDescent="0.25">
      <c r="B11" s="21" t="str">
        <f>'Gestion Exigences'!B11</f>
        <v>MD203:V1.1</v>
      </c>
      <c r="C11" s="21"/>
      <c r="D11" s="7"/>
      <c r="E11" s="4"/>
      <c r="F11" s="4"/>
      <c r="G11" s="4"/>
    </row>
    <row r="12" spans="1:7" x14ac:dyDescent="0.25">
      <c r="B12" s="3"/>
      <c r="C12" s="4"/>
      <c r="D12" s="4"/>
      <c r="E12" s="4"/>
      <c r="F12" s="4"/>
      <c r="G12" s="4"/>
    </row>
    <row r="13" spans="1:7" x14ac:dyDescent="0.25">
      <c r="B13" s="12" t="s">
        <v>149</v>
      </c>
      <c r="C13" s="12" t="s">
        <v>150</v>
      </c>
      <c r="D13" s="12" t="s">
        <v>151</v>
      </c>
      <c r="E13" s="12" t="s">
        <v>152</v>
      </c>
      <c r="F13" s="12" t="s">
        <v>153</v>
      </c>
      <c r="G13" s="12" t="s">
        <v>154</v>
      </c>
    </row>
    <row r="14" spans="1:7" ht="29.65" customHeight="1" x14ac:dyDescent="0.25">
      <c r="B14" s="13" t="s">
        <v>155</v>
      </c>
      <c r="C14" s="14">
        <v>45950</v>
      </c>
      <c r="D14" s="9" t="s">
        <v>156</v>
      </c>
      <c r="E14" s="13" t="s">
        <v>157</v>
      </c>
      <c r="F14" s="8" t="s">
        <v>158</v>
      </c>
      <c r="G14" s="8" t="s">
        <v>158</v>
      </c>
    </row>
    <row r="15" spans="1:7" ht="39" x14ac:dyDescent="0.25">
      <c r="B15" s="13" t="s">
        <v>159</v>
      </c>
      <c r="C15" s="15">
        <v>45983</v>
      </c>
      <c r="D15" s="1" t="s">
        <v>160</v>
      </c>
      <c r="E15" s="13" t="s">
        <v>157</v>
      </c>
      <c r="F15" s="8" t="s">
        <v>158</v>
      </c>
      <c r="G15" s="8" t="s">
        <v>158</v>
      </c>
    </row>
    <row r="16" spans="1:7" x14ac:dyDescent="0.25">
      <c r="B16" s="1"/>
      <c r="C16" s="15"/>
      <c r="D16" s="1"/>
      <c r="E16" s="1"/>
      <c r="F16" s="1"/>
      <c r="G16" s="1"/>
    </row>
    <row r="17" spans="2:7" x14ac:dyDescent="0.25">
      <c r="B17" s="1"/>
      <c r="C17" s="1"/>
      <c r="D17" s="1"/>
      <c r="E17" s="1"/>
      <c r="F17" s="1"/>
      <c r="G17" s="1"/>
    </row>
    <row r="18" spans="2:7" x14ac:dyDescent="0.25">
      <c r="B18" s="1"/>
      <c r="C18" s="1"/>
      <c r="D18" s="1"/>
      <c r="E18" s="1"/>
      <c r="F18" s="1"/>
      <c r="G18" s="1"/>
    </row>
  </sheetData>
  <mergeCells count="1">
    <mergeCell ref="B3:G3"/>
  </mergeCells>
  <phoneticPr fontId="20"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15"/>
  <sheetViews>
    <sheetView topLeftCell="A10" workbookViewId="0">
      <selection activeCell="J10" sqref="J10"/>
    </sheetView>
  </sheetViews>
  <sheetFormatPr defaultColWidth="11.42578125" defaultRowHeight="12.75" x14ac:dyDescent="0.2"/>
  <cols>
    <col min="1" max="3" width="11.42578125" style="5"/>
    <col min="4" max="5" width="19.7109375" style="5" customWidth="1"/>
    <col min="6" max="6" width="23.7109375" style="5" customWidth="1"/>
    <col min="7" max="7" width="14.42578125" style="5" customWidth="1"/>
    <col min="8" max="8" width="23.7109375" style="5" customWidth="1"/>
    <col min="9" max="9" width="25.28515625" style="5" customWidth="1"/>
    <col min="10" max="10" width="20.42578125" style="5" customWidth="1"/>
    <col min="11" max="16384" width="11.42578125" style="5"/>
  </cols>
  <sheetData>
    <row r="2" spans="2:10" x14ac:dyDescent="0.2">
      <c r="B2" s="20" t="s">
        <v>161</v>
      </c>
      <c r="C2" s="20"/>
      <c r="D2" s="19">
        <v>0.25</v>
      </c>
    </row>
    <row r="3" spans="2:10" x14ac:dyDescent="0.2">
      <c r="B3" s="20" t="s">
        <v>162</v>
      </c>
      <c r="C3" s="20"/>
      <c r="D3" s="19">
        <v>0.25</v>
      </c>
    </row>
    <row r="5" spans="2:10" ht="25.5" x14ac:dyDescent="0.2">
      <c r="B5" s="16" t="s">
        <v>163</v>
      </c>
      <c r="C5" s="16" t="s">
        <v>3</v>
      </c>
      <c r="D5" s="16" t="s">
        <v>17</v>
      </c>
      <c r="E5" s="16" t="s">
        <v>164</v>
      </c>
      <c r="F5" s="16" t="s">
        <v>21</v>
      </c>
      <c r="G5" s="16" t="s">
        <v>165</v>
      </c>
      <c r="H5" s="16" t="s">
        <v>26</v>
      </c>
      <c r="I5" s="16" t="s">
        <v>166</v>
      </c>
      <c r="J5" s="16" t="s">
        <v>18</v>
      </c>
    </row>
    <row r="6" spans="2:10" ht="25.5" x14ac:dyDescent="0.2">
      <c r="B6" s="5" t="s">
        <v>167</v>
      </c>
      <c r="C6" s="5" t="s">
        <v>4</v>
      </c>
      <c r="D6" s="5" t="s">
        <v>168</v>
      </c>
      <c r="E6" s="5" t="s">
        <v>39</v>
      </c>
      <c r="F6" s="5" t="s">
        <v>169</v>
      </c>
      <c r="G6" s="5" t="s">
        <v>170</v>
      </c>
      <c r="H6" s="5" t="s">
        <v>47</v>
      </c>
      <c r="I6" s="5" t="s">
        <v>45</v>
      </c>
      <c r="J6" s="5" t="s">
        <v>171</v>
      </c>
    </row>
    <row r="7" spans="2:10" ht="51" x14ac:dyDescent="0.2">
      <c r="B7" s="5" t="s">
        <v>172</v>
      </c>
      <c r="C7" s="5" t="s">
        <v>173</v>
      </c>
      <c r="D7" s="5" t="s">
        <v>174</v>
      </c>
      <c r="E7" s="5" t="s">
        <v>175</v>
      </c>
      <c r="F7" s="5" t="s">
        <v>40</v>
      </c>
      <c r="G7" s="5" t="s">
        <v>176</v>
      </c>
      <c r="H7" s="5" t="s">
        <v>177</v>
      </c>
      <c r="I7" s="5" t="s">
        <v>178</v>
      </c>
      <c r="J7" s="5" t="s">
        <v>179</v>
      </c>
    </row>
    <row r="8" spans="2:10" ht="51" x14ac:dyDescent="0.2">
      <c r="B8" s="5" t="s">
        <v>180</v>
      </c>
      <c r="C8" s="5" t="s">
        <v>181</v>
      </c>
      <c r="D8" s="5" t="s">
        <v>182</v>
      </c>
      <c r="E8" s="5" t="s">
        <v>183</v>
      </c>
      <c r="F8" s="5" t="s">
        <v>184</v>
      </c>
      <c r="G8" s="5" t="s">
        <v>158</v>
      </c>
      <c r="H8" s="5" t="s">
        <v>158</v>
      </c>
      <c r="I8" s="5" t="s">
        <v>158</v>
      </c>
      <c r="J8" s="5" t="s">
        <v>38</v>
      </c>
    </row>
    <row r="9" spans="2:10" ht="51" x14ac:dyDescent="0.2">
      <c r="B9" s="5" t="s">
        <v>185</v>
      </c>
      <c r="D9" s="5" t="s">
        <v>186</v>
      </c>
      <c r="E9" s="5" t="s">
        <v>187</v>
      </c>
      <c r="F9" s="5" t="s">
        <v>188</v>
      </c>
      <c r="J9" s="5" t="s">
        <v>189</v>
      </c>
    </row>
    <row r="10" spans="2:10" ht="38.25" x14ac:dyDescent="0.2">
      <c r="B10" s="5" t="s">
        <v>190</v>
      </c>
      <c r="D10" s="5" t="s">
        <v>191</v>
      </c>
      <c r="E10" s="5" t="s">
        <v>192</v>
      </c>
      <c r="F10" s="5" t="s">
        <v>193</v>
      </c>
      <c r="J10" s="5" t="s">
        <v>54</v>
      </c>
    </row>
    <row r="11" spans="2:10" ht="51" x14ac:dyDescent="0.2">
      <c r="B11" s="5" t="s">
        <v>194</v>
      </c>
      <c r="D11" s="5" t="s">
        <v>195</v>
      </c>
      <c r="F11" s="5" t="s">
        <v>196</v>
      </c>
      <c r="J11" s="5" t="s">
        <v>197</v>
      </c>
    </row>
    <row r="12" spans="2:10" ht="51" x14ac:dyDescent="0.2">
      <c r="B12" s="5" t="s">
        <v>70</v>
      </c>
      <c r="F12" s="5" t="s">
        <v>198</v>
      </c>
      <c r="J12" s="5" t="s">
        <v>199</v>
      </c>
    </row>
    <row r="13" spans="2:10" ht="38.25" x14ac:dyDescent="0.2">
      <c r="B13" s="5" t="s">
        <v>200</v>
      </c>
    </row>
    <row r="14" spans="2:10" ht="63.75" x14ac:dyDescent="0.2">
      <c r="B14" s="5" t="s">
        <v>201</v>
      </c>
      <c r="J14" s="5" t="s">
        <v>202</v>
      </c>
    </row>
    <row r="15" spans="2:10" ht="63.75" x14ac:dyDescent="0.2">
      <c r="B15" s="5" t="s">
        <v>203</v>
      </c>
      <c r="J15" s="5" t="s">
        <v>204</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77915054-A729-4261-B960-A809922CC352}"/>
</file>

<file path=customXml/itemProps3.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5f2f9e80-f74a-40c7-b145-b94d8e4966f0"/>
    <ds:schemaRef ds:uri="43b908ec-9e92-424c-a4ad-3174bac6e8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Gestion Exigences</vt:lpstr>
      <vt:lpstr>Modifs Doc</vt:lpstr>
      <vt:lpstr>Params</vt:lpstr>
      <vt:lpstr>'Gestion Exigences'!Print_Area</vt:lpstr>
      <vt:lpstr>'Modifs Doc'!Print_Area</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Imed Ayadi</cp:lastModifiedBy>
  <cp:revision/>
  <dcterms:created xsi:type="dcterms:W3CDTF">2000-07-05T17:03:55Z</dcterms:created>
  <dcterms:modified xsi:type="dcterms:W3CDTF">2025-12-26T08:41:19Z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