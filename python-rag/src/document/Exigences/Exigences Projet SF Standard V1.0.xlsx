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momsoftware.sharepoint.com/sites/Commercial/Documents partages/06 Prospects/031 Laboratoires Galpharma/20 Projet SF Standard/2 Préparation Offre/"/>
    </mc:Choice>
  </mc:AlternateContent>
  <xr:revisionPtr revIDLastSave="7" documentId="14_{E56CCD7B-3057-485E-B6E2-65FFC59EC686}" xr6:coauthVersionLast="47" xr6:coauthVersionMax="47" xr10:uidLastSave="{2F93932D-21D5-41E8-A64A-BD1037666274}"/>
  <bookViews>
    <workbookView xWindow="-110" yWindow="-110" windowWidth="19420" windowHeight="10300" tabRatio="620" xr2:uid="{00000000-000D-0000-FFFF-FFFF00000000}"/>
  </bookViews>
  <sheets>
    <sheet name="Fiche Client" sheetId="31" r:id="rId1"/>
    <sheet name="Gestion Exigences" sheetId="27" r:id="rId2"/>
    <sheet name="Modifs Doc" sheetId="29" r:id="rId3"/>
    <sheet name="Params" sheetId="30" r:id="rId4"/>
  </sheets>
  <definedNames>
    <definedName name="_xlnm.Print_Area" localSheetId="1">'Gestion Exigences'!$C$2:$I$14</definedName>
    <definedName name="_xlnm.Print_Area" localSheetId="2">'Modifs Doc'!$B$2:$G$18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4" i="27" l="1"/>
  <c r="P14" i="27" s="1"/>
  <c r="D5" i="29"/>
  <c r="D6" i="29"/>
  <c r="D7" i="29"/>
  <c r="D8" i="29"/>
  <c r="C10" i="29"/>
  <c r="C11" i="29"/>
  <c r="B6" i="29"/>
  <c r="B7" i="29"/>
  <c r="B8" i="29"/>
  <c r="B10" i="29"/>
  <c r="B11" i="29"/>
  <c r="B5" i="29"/>
  <c r="P15" i="27" l="1"/>
</calcChain>
</file>

<file path=xl/sharedStrings.xml><?xml version="1.0" encoding="utf-8"?>
<sst xmlns="http://schemas.openxmlformats.org/spreadsheetml/2006/main" count="117" uniqueCount="100">
  <si>
    <t>Gestion Exigences Projet</t>
  </si>
  <si>
    <t>Chiffrage Réalisation (SF only)</t>
  </si>
  <si>
    <t>Revue et Vérification Pendant la Conception</t>
  </si>
  <si>
    <t>BU</t>
  </si>
  <si>
    <t>A définir</t>
  </si>
  <si>
    <t>Client</t>
  </si>
  <si>
    <t>Projet</t>
  </si>
  <si>
    <t>Réf BPA du Devis</t>
  </si>
  <si>
    <t>S0-00xyz</t>
  </si>
  <si>
    <t>Zone de saisie</t>
  </si>
  <si>
    <t>Réf BPA du Projet</t>
  </si>
  <si>
    <t>PR-22-0xyz</t>
  </si>
  <si>
    <t>Réf Modèle Document</t>
  </si>
  <si>
    <t>MD203</t>
  </si>
  <si>
    <t>Confidentiel | Usage Client Limité</t>
  </si>
  <si>
    <t>Version Modèle Document</t>
  </si>
  <si>
    <t>V1.5</t>
  </si>
  <si>
    <t>ID</t>
  </si>
  <si>
    <t>Nature</t>
  </si>
  <si>
    <t>Catégorie</t>
  </si>
  <si>
    <t>Exigence idenfiée pendant la phase</t>
  </si>
  <si>
    <t>Source</t>
  </si>
  <si>
    <t>Validation Interne</t>
  </si>
  <si>
    <t>Validation Interne par:</t>
  </si>
  <si>
    <t>Statut Client</t>
  </si>
  <si>
    <t>HJ Dev</t>
  </si>
  <si>
    <t>HJ Analyse et Test</t>
  </si>
  <si>
    <t>Total HJ</t>
  </si>
  <si>
    <t>Description comment la conception de la solution prend en compte l'exigence client</t>
  </si>
  <si>
    <t>Conception réalisée par:</t>
  </si>
  <si>
    <t>Revue conception réalisée par</t>
  </si>
  <si>
    <t>Vérification de la conception réalisée par</t>
  </si>
  <si>
    <t xml:space="preserve">Preuve de vérification </t>
  </si>
  <si>
    <t>Notes</t>
  </si>
  <si>
    <t>E001</t>
  </si>
  <si>
    <t>N/A</t>
  </si>
  <si>
    <t xml:space="preserve"> </t>
  </si>
  <si>
    <t>Version</t>
  </si>
  <si>
    <t>Date</t>
  </si>
  <si>
    <t>Modifications</t>
  </si>
  <si>
    <t>Auteur(s)</t>
  </si>
  <si>
    <t>Vérificateur(s)</t>
  </si>
  <si>
    <t>Approbateur</t>
  </si>
  <si>
    <t>Imed A.</t>
  </si>
  <si>
    <t>Exigence identifiée pendant la phase</t>
  </si>
  <si>
    <t>Oui/Non</t>
  </si>
  <si>
    <t>Statut Interne</t>
  </si>
  <si>
    <t>Fonctionnelle</t>
  </si>
  <si>
    <t>Commerciale</t>
  </si>
  <si>
    <t>CdC client</t>
  </si>
  <si>
    <t>Oui</t>
  </si>
  <si>
    <t>Validée par le client</t>
  </si>
  <si>
    <t>Validée</t>
  </si>
  <si>
    <t>Performance</t>
  </si>
  <si>
    <t>Conception</t>
  </si>
  <si>
    <t>Workshop/réunion client</t>
  </si>
  <si>
    <t>Non</t>
  </si>
  <si>
    <t>Non validée par client</t>
  </si>
  <si>
    <t>Non validée</t>
  </si>
  <si>
    <t>Reglementaire</t>
  </si>
  <si>
    <t>Réalisation</t>
  </si>
  <si>
    <t>Workshop/réunion Interne</t>
  </si>
  <si>
    <t>SF</t>
  </si>
  <si>
    <t>Sécurité</t>
  </si>
  <si>
    <t>Mise en œuvre</t>
  </si>
  <si>
    <t>Standards client</t>
  </si>
  <si>
    <t>R&amp;D</t>
  </si>
  <si>
    <t>Standard Client</t>
  </si>
  <si>
    <t>Support et maintenance</t>
  </si>
  <si>
    <t>Reglementation</t>
  </si>
  <si>
    <t>Demande modification</t>
  </si>
  <si>
    <t>*** SF</t>
  </si>
  <si>
    <t>SF-Processus</t>
  </si>
  <si>
    <t>SF-Fonctionnelle</t>
  </si>
  <si>
    <t>SF-Connectivité Machine</t>
  </si>
  <si>
    <t>SF-Intégration SI</t>
  </si>
  <si>
    <t>SF-Software</t>
  </si>
  <si>
    <t>SF-Infra IT</t>
  </si>
  <si>
    <t>*** TC</t>
  </si>
  <si>
    <t>TC-Prestations sur site client</t>
  </si>
  <si>
    <t>V1.0</t>
  </si>
  <si>
    <t xml:space="preserve">Version initiale </t>
  </si>
  <si>
    <t>Nihel K.</t>
  </si>
  <si>
    <t xml:space="preserve">Mahdi B. + Ferjania BA </t>
  </si>
  <si>
    <t>Secteur</t>
  </si>
  <si>
    <t>Nombre de ligne de production</t>
  </si>
  <si>
    <t>Nombre de machine</t>
  </si>
  <si>
    <t>Nombre de poste manuel</t>
  </si>
  <si>
    <t>Standard MOMSOFT</t>
  </si>
  <si>
    <t>Standards MOMSOFT</t>
  </si>
  <si>
    <t>Desciption de la solution MOMSOFT</t>
  </si>
  <si>
    <t>V1.1</t>
  </si>
  <si>
    <t>Moatez D.</t>
  </si>
  <si>
    <t>Mahdi B.</t>
  </si>
  <si>
    <t xml:space="preserve"> Adaptation des paramètres et du logo</t>
  </si>
  <si>
    <t>Requirement</t>
  </si>
  <si>
    <t>Requirement description</t>
  </si>
  <si>
    <t>Proposed Solution</t>
  </si>
  <si>
    <t>Laboratoires Galpharma</t>
  </si>
  <si>
    <t>SF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</si>
</sst>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0"/>
      <name val="Calibri Light"/>
      <family val="2"/>
      <scheme val="major"/>
    </font>
    <font>
      <sz val="8"/>
      <name val="Arial"/>
      <family val="2"/>
    </font>
    <font>
      <sz val="11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name val="Calibri Light"/>
      <family val="2"/>
    </font>
    <font>
      <sz val="11"/>
      <name val="Arial"/>
      <family val="2"/>
    </font>
    <font>
      <sz val="11"/>
      <name val="Calibri Light"/>
      <family val="2"/>
    </font>
    <font>
      <b/>
      <sz val="12"/>
      <name val="Calibri Light"/>
      <family val="2"/>
    </font>
    <font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8"/>
      <name val="Calibri Light"/>
      <family val="2"/>
      <scheme val="major"/>
    </font>
    <font>
      <b/>
      <sz val="11"/>
      <color theme="2" tint="-0.89999084444715716"/>
      <name val="Calibri Light"/>
      <family val="2"/>
    </font>
    <font>
      <b/>
      <sz val="10"/>
      <color rgb="FFFF0000"/>
      <name val="Calibri Light"/>
      <family val="2"/>
      <scheme val="major"/>
    </font>
    <font>
      <sz val="4"/>
      <name val="Calibri Light"/>
      <family val="2"/>
    </font>
    <font>
      <sz val="4"/>
      <name val="Calibri Light"/>
      <family val="2"/>
      <scheme val="major"/>
    </font>
    <font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14" fillId="3" borderId="0" xfId="0" applyFont="1" applyFill="1" applyAlignment="1">
      <alignment horizontal="center" vertical="center" wrapText="1"/>
    </xf>
    <xf numFmtId="0" fontId="15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5" fillId="0" borderId="0" xfId="0" applyFont="1" applyAlignment="1">
      <alignment horizontal="left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5" fillId="0" borderId="0" xfId="0" applyFont="1"/>
    <xf numFmtId="0" fontId="17" fillId="0" borderId="0" xfId="0" applyFont="1"/>
    <xf numFmtId="0" fontId="1" fillId="0" borderId="0" xfId="0" applyFont="1"/>
    <xf numFmtId="0" fontId="11" fillId="0" borderId="0" xfId="0" applyFont="1" applyAlignment="1">
      <alignment wrapText="1"/>
    </xf>
    <xf numFmtId="0" fontId="5" fillId="5" borderId="4" xfId="0" applyFont="1" applyFill="1" applyBorder="1" applyAlignment="1">
      <alignment wrapText="1"/>
    </xf>
    <xf numFmtId="0" fontId="11" fillId="0" borderId="0" xfId="0" applyFont="1" applyAlignment="1">
      <alignment horizontal="left" wrapText="1"/>
    </xf>
    <xf numFmtId="14" fontId="3" fillId="0" borderId="0" xfId="0" applyNumberFormat="1" applyFont="1" applyAlignment="1">
      <alignment wrapText="1"/>
    </xf>
    <xf numFmtId="0" fontId="10" fillId="6" borderId="1" xfId="0" applyFont="1" applyFill="1" applyBorder="1" applyAlignment="1">
      <alignment vertical="center" wrapText="1"/>
    </xf>
    <xf numFmtId="0" fontId="10" fillId="6" borderId="2" xfId="0" applyFont="1" applyFill="1" applyBorder="1" applyAlignment="1">
      <alignment vertical="center" wrapText="1"/>
    </xf>
    <xf numFmtId="0" fontId="10" fillId="6" borderId="3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vertical="center" wrapText="1"/>
    </xf>
    <xf numFmtId="0" fontId="1" fillId="6" borderId="3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12" fillId="2" borderId="1" xfId="0" applyFont="1" applyFill="1" applyBorder="1" applyAlignment="1">
      <alignment horizontal="center" wrapText="1"/>
    </xf>
    <xf numFmtId="0" fontId="12" fillId="2" borderId="2" xfId="0" applyFont="1" applyFill="1" applyBorder="1" applyAlignment="1">
      <alignment horizontal="center" wrapText="1"/>
    </xf>
    <xf numFmtId="0" fontId="12" fillId="2" borderId="3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wrapText="1"/>
    </xf>
    <xf numFmtId="0" fontId="4" fillId="6" borderId="3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 Light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52293</xdr:colOff>
      <xdr:row>2</xdr:row>
      <xdr:rowOff>171825</xdr:rowOff>
    </xdr:from>
    <xdr:to>
      <xdr:col>2</xdr:col>
      <xdr:colOff>1828776</xdr:colOff>
      <xdr:row>2</xdr:row>
      <xdr:rowOff>493060</xdr:rowOff>
    </xdr:to>
    <xdr:pic>
      <xdr:nvPicPr>
        <xdr:cNvPr id="3" name="Image 2" descr="Une image contenant Graphique, graphisme, capture d’écran, Caractère coloré&#10;&#10;Description générée automatiquement">
          <a:extLst>
            <a:ext uri="{FF2B5EF4-FFF2-40B4-BE49-F238E27FC236}">
              <a16:creationId xmlns:a16="http://schemas.microsoft.com/office/drawing/2014/main" id="{E0C86A04-4B7C-4F14-9627-464F2D137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646" y="620060"/>
          <a:ext cx="2209777" cy="32123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A2C8B-EE0D-4C55-9256-CCC64E002CE6}" name="Tableau3" displayName="Tableau3" ref="B13:V15" totalsRowCount="1" headerRowDxfId="51" dataDxfId="50">
  <autoFilter ref="B13:V14" xr:uid="{DDEA2C8B-EE0D-4C55-9256-CCC64E002CE6}"/>
  <tableColumns count="21">
    <tableColumn id="1" xr3:uid="{E467E0EE-CDAA-4FF5-85A8-CDC0B23A5AD9}" name="ID" dataDxfId="49" totalsRowDxfId="20"/>
    <tableColumn id="2" xr3:uid="{E53952AC-4972-47BD-8B1D-C7EF23088D0D}" name="Requirement" dataDxfId="48" totalsRowDxfId="19"/>
    <tableColumn id="8" xr3:uid="{B2D0BC2C-C803-4015-8FA6-70F84517BDB2}" name="Nature" dataDxfId="47" totalsRowDxfId="18"/>
    <tableColumn id="7" xr3:uid="{24F2F0ED-022E-4EC1-91D8-BFE0E4F2FD36}" name="Catégorie" dataDxfId="46" totalsRowDxfId="17"/>
    <tableColumn id="10" xr3:uid="{1FF81CF1-6D35-421C-8767-9E7FA06FEE6A}" name="Exigence idenfiée pendant la phase" dataDxfId="45" totalsRowDxfId="16"/>
    <tableColumn id="3" xr3:uid="{E7621A68-9552-4853-96A5-92A226EA42DD}" name="Requirement description" dataDxfId="44" totalsRowDxfId="15"/>
    <tableColumn id="9" xr3:uid="{E6EEEC82-3576-4980-94B3-1423906CE531}" name="Source" dataDxfId="43" totalsRowDxfId="14"/>
    <tableColumn id="16" xr3:uid="{1441554A-79F9-4040-9CF5-AEBFF7ADF7D1}" name="Desciption de la solution MOMSOFT" dataDxfId="42" totalsRowDxfId="13"/>
    <tableColumn id="17" xr3:uid="{D1BC9C86-C3CE-417F-AC83-FC4786A7656D}" name="Proposed Solution" dataDxfId="41" totalsRowDxfId="12"/>
    <tableColumn id="5" xr3:uid="{2649C3B7-E8B9-44F9-8883-E5BB6F91B4B1}" name="Validation Interne" dataDxfId="40" totalsRowDxfId="11"/>
    <tableColumn id="6" xr3:uid="{8CC493F8-0886-498D-AB98-B77300CC6510}" name="Validation Interne par:" dataDxfId="39" totalsRowDxfId="10"/>
    <tableColumn id="15" xr3:uid="{78231C60-0932-4386-925D-4C689A91C0E3}" name="Statut Client" dataDxfId="38" totalsRowDxfId="9"/>
    <tableColumn id="22" xr3:uid="{D944A0FD-E468-407F-91A6-BD8A29086A7B}" name="HJ Dev" dataDxfId="37" totalsRowDxfId="8"/>
    <tableColumn id="21" xr3:uid="{818C68C5-1CC3-4DC9-9BB8-2CB7816ABE9F}" name="HJ Analyse et Test" dataDxfId="36" totalsRowDxfId="7">
      <calculatedColumnFormula>Tableau3[[#This Row],[HJ Dev]]*(25%+25%)</calculatedColumnFormula>
    </tableColumn>
    <tableColumn id="20" xr3:uid="{81CB5860-4285-4425-ABF9-C91F3323BF25}" name="Total HJ" totalsRowFunction="sum" dataDxfId="35" totalsRowDxfId="6">
      <calculatedColumnFormula>Tableau3[[#This Row],[HJ Analyse et Test]]+Tableau3[[#This Row],[HJ Dev]]</calculatedColumnFormula>
    </tableColumn>
    <tableColumn id="11" xr3:uid="{20685332-73A9-4B9D-874E-F1C9F770405F}" name="Description comment la conception de la solution prend en compte l'exigence client" dataDxfId="34" totalsRowDxfId="5"/>
    <tableColumn id="12" xr3:uid="{36B390F4-625A-46E1-864B-7108903FFD96}" name="Conception réalisée par:" dataDxfId="33" totalsRowDxfId="4"/>
    <tableColumn id="13" xr3:uid="{9016419E-83A5-4950-AB28-EA27A0D72FAD}" name="Revue conception réalisée par" dataDxfId="32" totalsRowDxfId="3"/>
    <tableColumn id="14" xr3:uid="{B5F29B7E-09EB-43EF-BD3D-9ADF38F7CC12}" name="Vérification de la conception réalisée par" dataDxfId="31" totalsRowDxfId="2"/>
    <tableColumn id="18" xr3:uid="{0CA25C90-64D6-43D5-90C8-CE6D70CCA638}" name="Preuve de vérification " dataDxfId="30" totalsRowDxfId="1"/>
    <tableColumn id="4" xr3:uid="{B7406A3A-A365-4F76-9A20-372573D19BC9}" name="Notes" dataDxfId="29" totalsRow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AD1385-A1F5-4391-ABC2-C9F250557626}" name="Tableau325" displayName="Tableau325" ref="B13:G18" totalsRowShown="0" headerRowDxfId="28" dataDxfId="27">
  <autoFilter ref="B13:G18" xr:uid="{96AD1385-A1F5-4391-ABC2-C9F250557626}"/>
  <tableColumns count="6">
    <tableColumn id="1" xr3:uid="{56DA355E-F205-482A-9CF1-CA3361A1D801}" name="Version" dataDxfId="26"/>
    <tableColumn id="2" xr3:uid="{C9D8A0D7-1D6E-479B-AF74-6D39D19E4653}" name="Date" dataDxfId="25"/>
    <tableColumn id="3" xr3:uid="{79109713-8A38-4162-A269-136157905B75}" name="Modifications" dataDxfId="24"/>
    <tableColumn id="4" xr3:uid="{AC928B3E-399C-4A3D-9FB5-9CD96F5D4745}" name="Auteur(s)" dataDxfId="23"/>
    <tableColumn id="5" xr3:uid="{0D0A428D-4F18-4D4E-A0CB-4D1A5057B6E9}" name="Vérificateur(s)" dataDxfId="22"/>
    <tableColumn id="6" xr3:uid="{D81EAB57-FBCA-44D9-8F45-58AF13AA08B6}" name="Approbateur" dataDxfId="2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3D2C8-04DA-4F1F-ACD1-FC1ABC271A02}">
  <dimension ref="B6:B10"/>
  <sheetViews>
    <sheetView tabSelected="1" workbookViewId="0">
      <selection activeCell="E9" sqref="E9"/>
    </sheetView>
  </sheetViews>
  <sheetFormatPr baseColWidth="10" defaultRowHeight="12.5" x14ac:dyDescent="0.25"/>
  <sheetData>
    <row r="6" spans="2:2" x14ac:dyDescent="0.25">
      <c r="B6" t="s">
        <v>5</v>
      </c>
    </row>
    <row r="7" spans="2:2" x14ac:dyDescent="0.25">
      <c r="B7" t="s">
        <v>84</v>
      </c>
    </row>
    <row r="8" spans="2:2" x14ac:dyDescent="0.25">
      <c r="B8" t="s">
        <v>85</v>
      </c>
    </row>
    <row r="9" spans="2:2" x14ac:dyDescent="0.25">
      <c r="B9" t="s">
        <v>86</v>
      </c>
    </row>
    <row r="10" spans="2:2" x14ac:dyDescent="0.25">
      <c r="B10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CD31-E0D8-4640-9FED-05D3282809B2}">
  <sheetPr>
    <pageSetUpPr fitToPage="1"/>
  </sheetPr>
  <dimension ref="B1:V26"/>
  <sheetViews>
    <sheetView topLeftCell="G1" zoomScale="110" zoomScaleNormal="85" workbookViewId="0">
      <selection activeCell="G4" sqref="G4"/>
    </sheetView>
  </sheetViews>
  <sheetFormatPr baseColWidth="10" defaultColWidth="11.453125" defaultRowHeight="13" x14ac:dyDescent="0.3"/>
  <cols>
    <col min="1" max="1" width="11.453125" style="1"/>
    <col min="2" max="2" width="6.1796875" style="1" customWidth="1"/>
    <col min="3" max="3" width="29.1796875" style="1" customWidth="1"/>
    <col min="4" max="5" width="18.1796875" style="1" hidden="1" customWidth="1"/>
    <col min="6" max="6" width="19.453125" style="1" hidden="1" customWidth="1"/>
    <col min="7" max="7" width="121" style="1" customWidth="1"/>
    <col min="8" max="8" width="18.453125" style="1" hidden="1" customWidth="1"/>
    <col min="9" max="9" width="56.54296875" style="1" hidden="1" customWidth="1"/>
    <col min="10" max="23" width="21" style="1" customWidth="1"/>
    <col min="24" max="16384" width="11.453125" style="1"/>
  </cols>
  <sheetData>
    <row r="1" spans="2:22" ht="13.5" thickBot="1" x14ac:dyDescent="0.35"/>
    <row r="2" spans="2:22" ht="21.75" customHeight="1" thickBot="1" x14ac:dyDescent="0.5">
      <c r="B2" s="37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9"/>
      <c r="N2" s="40" t="s">
        <v>1</v>
      </c>
      <c r="O2" s="41"/>
      <c r="P2" s="42"/>
      <c r="Q2" s="34" t="s">
        <v>2</v>
      </c>
      <c r="R2" s="35"/>
      <c r="S2" s="35"/>
      <c r="T2" s="35"/>
      <c r="U2" s="35"/>
      <c r="V2" s="36"/>
    </row>
    <row r="3" spans="2:22" ht="53.25" customHeight="1" x14ac:dyDescent="0.3">
      <c r="C3" s="8"/>
      <c r="D3" s="8"/>
      <c r="E3" s="8"/>
      <c r="F3" s="8"/>
      <c r="G3" s="8"/>
      <c r="H3" s="8"/>
      <c r="I3" s="8"/>
    </row>
    <row r="4" spans="2:22" ht="21" customHeight="1" x14ac:dyDescent="0.3">
      <c r="B4" s="23" t="s">
        <v>3</v>
      </c>
      <c r="C4" s="8" t="s">
        <v>62</v>
      </c>
      <c r="D4" s="25"/>
      <c r="E4" s="8"/>
      <c r="F4" s="8"/>
      <c r="G4" s="8"/>
      <c r="H4" s="8"/>
      <c r="I4" s="8"/>
    </row>
    <row r="5" spans="2:22" ht="21.75" customHeight="1" x14ac:dyDescent="0.35">
      <c r="B5" s="20" t="s">
        <v>5</v>
      </c>
      <c r="C5" s="1" t="s">
        <v>98</v>
      </c>
      <c r="D5" s="3"/>
      <c r="E5" s="3"/>
      <c r="F5" s="3"/>
      <c r="G5" s="3"/>
      <c r="H5" s="3"/>
      <c r="I5" s="3"/>
    </row>
    <row r="6" spans="2:22" ht="21" customHeight="1" x14ac:dyDescent="0.35">
      <c r="B6" s="20" t="s">
        <v>6</v>
      </c>
      <c r="C6" s="1" t="s">
        <v>99</v>
      </c>
      <c r="D6" s="3"/>
      <c r="E6" s="3"/>
      <c r="F6" s="3"/>
      <c r="G6" s="3"/>
      <c r="H6" s="3"/>
      <c r="I6" s="3"/>
    </row>
    <row r="7" spans="2:22" ht="20.5" customHeight="1" thickBot="1" x14ac:dyDescent="0.4">
      <c r="B7" s="20" t="s">
        <v>7</v>
      </c>
      <c r="D7" s="3" t="s">
        <v>8</v>
      </c>
      <c r="E7" s="3"/>
      <c r="F7" s="3"/>
      <c r="G7" s="24" t="s">
        <v>9</v>
      </c>
      <c r="H7" s="3"/>
      <c r="I7" s="3"/>
    </row>
    <row r="8" spans="2:22" ht="21.65" customHeight="1" x14ac:dyDescent="0.35">
      <c r="B8" s="20" t="s">
        <v>10</v>
      </c>
      <c r="D8" s="3" t="s">
        <v>11</v>
      </c>
      <c r="E8" s="3"/>
      <c r="F8" s="3"/>
      <c r="G8" s="3"/>
      <c r="H8" s="3"/>
      <c r="I8" s="3"/>
    </row>
    <row r="9" spans="2:22" ht="14.5" x14ac:dyDescent="0.35">
      <c r="C9" s="3"/>
      <c r="D9" s="17"/>
      <c r="E9" s="17"/>
      <c r="F9" s="17"/>
      <c r="G9" s="17"/>
      <c r="H9" s="17"/>
      <c r="I9" s="17"/>
    </row>
    <row r="10" spans="2:22" x14ac:dyDescent="0.3">
      <c r="B10" s="21" t="s">
        <v>12</v>
      </c>
      <c r="C10" s="22"/>
      <c r="D10" s="21" t="s">
        <v>13</v>
      </c>
      <c r="E10" s="9"/>
      <c r="F10" s="9"/>
      <c r="I10" s="14" t="s">
        <v>14</v>
      </c>
    </row>
    <row r="11" spans="2:22" x14ac:dyDescent="0.3">
      <c r="B11" s="21" t="s">
        <v>15</v>
      </c>
      <c r="C11" s="22"/>
      <c r="D11" s="21" t="s">
        <v>16</v>
      </c>
      <c r="E11" s="9"/>
      <c r="F11" s="9"/>
    </row>
    <row r="12" spans="2:22" ht="13.5" thickBot="1" x14ac:dyDescent="0.35"/>
    <row r="13" spans="2:22" s="10" customFormat="1" ht="52.5" thickBot="1" x14ac:dyDescent="0.3">
      <c r="B13" s="27" t="s">
        <v>17</v>
      </c>
      <c r="C13" s="28" t="s">
        <v>95</v>
      </c>
      <c r="D13" s="28" t="s">
        <v>18</v>
      </c>
      <c r="E13" s="28" t="s">
        <v>19</v>
      </c>
      <c r="F13" s="28" t="s">
        <v>20</v>
      </c>
      <c r="G13" s="28" t="s">
        <v>96</v>
      </c>
      <c r="H13" s="28" t="s">
        <v>21</v>
      </c>
      <c r="I13" s="28" t="s">
        <v>90</v>
      </c>
      <c r="J13" s="28" t="s">
        <v>97</v>
      </c>
      <c r="K13" s="28" t="s">
        <v>22</v>
      </c>
      <c r="L13" s="28" t="s">
        <v>23</v>
      </c>
      <c r="M13" s="29" t="s">
        <v>24</v>
      </c>
      <c r="N13" s="28" t="s">
        <v>25</v>
      </c>
      <c r="O13" s="28" t="s">
        <v>26</v>
      </c>
      <c r="P13" s="28" t="s">
        <v>27</v>
      </c>
      <c r="Q13" s="30" t="s">
        <v>28</v>
      </c>
      <c r="R13" s="31" t="s">
        <v>29</v>
      </c>
      <c r="S13" s="31" t="s">
        <v>30</v>
      </c>
      <c r="T13" s="31" t="s">
        <v>31</v>
      </c>
      <c r="U13" s="31" t="s">
        <v>32</v>
      </c>
      <c r="V13" s="32" t="s">
        <v>33</v>
      </c>
    </row>
    <row r="14" spans="2:22" s="10" customFormat="1" ht="144.65" customHeight="1" x14ac:dyDescent="0.25">
      <c r="B14" s="10" t="s">
        <v>34</v>
      </c>
      <c r="C14" s="33"/>
      <c r="N14" s="10">
        <v>0</v>
      </c>
      <c r="O14" s="10">
        <f>Tableau3[[#This Row],[HJ Dev]]*(25%+25%)</f>
        <v>0</v>
      </c>
      <c r="P14" s="10">
        <f>Tableau3[[#This Row],[HJ Analyse et Test]]+Tableau3[[#This Row],[HJ Dev]]</f>
        <v>0</v>
      </c>
      <c r="Q14" s="10" t="s">
        <v>35</v>
      </c>
      <c r="R14" s="10" t="s">
        <v>35</v>
      </c>
      <c r="S14" s="10" t="s">
        <v>35</v>
      </c>
      <c r="T14" s="10" t="s">
        <v>35</v>
      </c>
      <c r="U14" s="10" t="s">
        <v>35</v>
      </c>
    </row>
    <row r="15" spans="2:22" s="10" customFormat="1" x14ac:dyDescent="0.25">
      <c r="P15" s="10">
        <f>SUBTOTAL(109,Tableau3[Total HJ])</f>
        <v>0</v>
      </c>
    </row>
    <row r="16" spans="2:22" s="10" customFormat="1" ht="169.25" customHeight="1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2:22" s="10" customFormat="1" ht="169.25" customHeight="1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2:22" s="10" customFormat="1" ht="169.25" customHeight="1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2:22" s="10" customFormat="1" ht="125.4" customHeight="1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2:22" s="10" customFormat="1" ht="114" customHeight="1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2:22" ht="106.25" customHeight="1" x14ac:dyDescent="0.3"/>
    <row r="25" spans="2:22" ht="76.75" customHeight="1" x14ac:dyDescent="0.3"/>
    <row r="26" spans="2:22" ht="91.25" customHeight="1" x14ac:dyDescent="0.3"/>
  </sheetData>
  <mergeCells count="3">
    <mergeCell ref="Q2:V2"/>
    <mergeCell ref="B2:M2"/>
    <mergeCell ref="N2:P2"/>
  </mergeCells>
  <phoneticPr fontId="2" type="noConversion"/>
  <dataValidations count="1">
    <dataValidation type="whole" operator="greaterThanOrEqual" allowBlank="1" showInputMessage="1" showErrorMessage="1" sqref="N14:P14" xr:uid="{10E2E794-3894-4CC1-AB1A-9BB5BF41EABB}">
      <formula1>0</formula1>
    </dataValidation>
  </dataValidations>
  <pageMargins left="0.7" right="0.7" top="0.75" bottom="0.75" header="0.3" footer="0.3"/>
  <pageSetup paperSize="9" scale="74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E253E9F-6967-4CE3-BEC2-E6EF086F8550}">
          <x14:formula1>
            <xm:f>Params!$B$3:$B$5</xm:f>
          </x14:formula1>
          <xm:sqref>D4</xm:sqref>
        </x14:dataValidation>
        <x14:dataValidation type="list" allowBlank="1" showInputMessage="1" showErrorMessage="1" xr:uid="{06B2A4DB-2A94-4B0B-971B-CDFF438E23BA}">
          <x14:formula1>
            <xm:f>Params!$G$3:$G$9</xm:f>
          </x14:formula1>
          <xm:sqref>M14</xm:sqref>
        </x14:dataValidation>
        <x14:dataValidation type="list" allowBlank="1" showInputMessage="1" showErrorMessage="1" xr:uid="{1F2CF1C1-BE35-4DC9-A975-F49F788F3D6A}">
          <x14:formula1>
            <xm:f>Params!$H$3:$H$6</xm:f>
          </x14:formula1>
          <xm:sqref>K14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013E-CD05-42BB-8D47-11438F5D0F13}">
  <sheetPr>
    <pageSetUpPr fitToPage="1"/>
  </sheetPr>
  <dimension ref="A2:G16"/>
  <sheetViews>
    <sheetView zoomScale="80" zoomScaleNormal="80" workbookViewId="0">
      <selection activeCell="J16" sqref="J16"/>
    </sheetView>
  </sheetViews>
  <sheetFormatPr baseColWidth="10" defaultColWidth="11.453125" defaultRowHeight="14.5" x14ac:dyDescent="0.35"/>
  <cols>
    <col min="1" max="1" width="12" style="2" customWidth="1"/>
    <col min="2" max="2" width="10.1796875" style="2" customWidth="1"/>
    <col min="3" max="3" width="11.453125" style="2"/>
    <col min="4" max="4" width="58.1796875" style="2" customWidth="1"/>
    <col min="5" max="5" width="15.81640625" style="2" customWidth="1"/>
    <col min="6" max="6" width="22.1796875" style="2" customWidth="1"/>
    <col min="7" max="7" width="16.54296875" style="2" customWidth="1"/>
    <col min="8" max="16384" width="11.453125" style="2"/>
  </cols>
  <sheetData>
    <row r="2" spans="1:7" ht="15" thickBot="1" x14ac:dyDescent="0.4"/>
    <row r="3" spans="1:7" ht="24" customHeight="1" thickBot="1" x14ac:dyDescent="0.4">
      <c r="A3" s="2" t="s">
        <v>36</v>
      </c>
      <c r="B3" s="43" t="s">
        <v>0</v>
      </c>
      <c r="C3" s="44"/>
      <c r="D3" s="44"/>
      <c r="E3" s="44"/>
      <c r="F3" s="44"/>
      <c r="G3" s="45"/>
    </row>
    <row r="4" spans="1:7" x14ac:dyDescent="0.35">
      <c r="B4" s="4"/>
      <c r="C4" s="5"/>
      <c r="D4" s="5"/>
      <c r="E4" s="5"/>
      <c r="F4" s="5"/>
      <c r="G4" s="5"/>
    </row>
    <row r="5" spans="1:7" x14ac:dyDescent="0.35">
      <c r="B5" s="12" t="str">
        <f>'Gestion Exigences'!B5</f>
        <v>Client</v>
      </c>
      <c r="D5" s="12">
        <f>'Gestion Exigences'!D5</f>
        <v>0</v>
      </c>
      <c r="E5" s="5"/>
      <c r="F5" s="5"/>
      <c r="G5" s="5"/>
    </row>
    <row r="6" spans="1:7" x14ac:dyDescent="0.35">
      <c r="B6" s="12" t="str">
        <f>'Gestion Exigences'!B6</f>
        <v>Projet</v>
      </c>
      <c r="D6" s="12">
        <f>'Gestion Exigences'!D6</f>
        <v>0</v>
      </c>
      <c r="E6" s="5"/>
      <c r="F6" s="5"/>
      <c r="G6" s="5"/>
    </row>
    <row r="7" spans="1:7" x14ac:dyDescent="0.35">
      <c r="B7" s="12" t="str">
        <f>'Gestion Exigences'!B7</f>
        <v>Réf BPA du Devis</v>
      </c>
      <c r="D7" s="12" t="str">
        <f>'Gestion Exigences'!D7</f>
        <v>S0-00xyz</v>
      </c>
      <c r="E7" s="5"/>
      <c r="F7" s="5"/>
      <c r="G7" s="5"/>
    </row>
    <row r="8" spans="1:7" x14ac:dyDescent="0.35">
      <c r="B8" s="12" t="str">
        <f>'Gestion Exigences'!B8</f>
        <v>Réf BPA du Projet</v>
      </c>
      <c r="D8" s="12" t="str">
        <f>'Gestion Exigences'!D8</f>
        <v>PR-22-0xyz</v>
      </c>
      <c r="E8" s="5"/>
      <c r="F8" s="5"/>
      <c r="G8" s="5"/>
    </row>
    <row r="9" spans="1:7" x14ac:dyDescent="0.35">
      <c r="B9" s="4"/>
      <c r="C9" s="12"/>
      <c r="D9" s="5"/>
      <c r="E9" s="5"/>
      <c r="F9" s="5"/>
      <c r="G9" s="5"/>
    </row>
    <row r="10" spans="1:7" x14ac:dyDescent="0.35">
      <c r="B10" s="18" t="str">
        <f>'Gestion Exigences'!B10</f>
        <v>Réf Modèle Document</v>
      </c>
      <c r="C10" s="19" t="str">
        <f>'Gestion Exigences'!D10</f>
        <v>MD203</v>
      </c>
      <c r="D10" s="5"/>
      <c r="E10" s="5"/>
      <c r="F10" s="5"/>
      <c r="G10" s="5"/>
    </row>
    <row r="11" spans="1:7" x14ac:dyDescent="0.35">
      <c r="B11" s="18" t="str">
        <f>'Gestion Exigences'!B11</f>
        <v>Version Modèle Document</v>
      </c>
      <c r="C11" s="19" t="str">
        <f>'Gestion Exigences'!D11</f>
        <v>V1.5</v>
      </c>
      <c r="D11" s="5"/>
      <c r="E11" s="5"/>
      <c r="F11" s="5"/>
      <c r="G11" s="5"/>
    </row>
    <row r="12" spans="1:7" x14ac:dyDescent="0.35">
      <c r="B12" s="4"/>
      <c r="C12" s="5"/>
      <c r="D12" s="5"/>
      <c r="E12" s="5"/>
      <c r="F12" s="5"/>
      <c r="G12" s="5"/>
    </row>
    <row r="13" spans="1:7" x14ac:dyDescent="0.35">
      <c r="B13" s="13" t="s">
        <v>37</v>
      </c>
      <c r="C13" s="13" t="s">
        <v>38</v>
      </c>
      <c r="D13" s="13" t="s">
        <v>39</v>
      </c>
      <c r="E13" s="13" t="s">
        <v>40</v>
      </c>
      <c r="F13" s="13" t="s">
        <v>41</v>
      </c>
      <c r="G13" s="13" t="s">
        <v>42</v>
      </c>
    </row>
    <row r="14" spans="1:7" ht="29.5" customHeight="1" x14ac:dyDescent="0.35">
      <c r="B14" s="6" t="s">
        <v>80</v>
      </c>
      <c r="C14" s="7">
        <v>45342</v>
      </c>
      <c r="D14" s="16" t="s">
        <v>81</v>
      </c>
      <c r="E14" s="6" t="s">
        <v>82</v>
      </c>
      <c r="F14" s="15" t="s">
        <v>83</v>
      </c>
      <c r="G14" s="6" t="s">
        <v>43</v>
      </c>
    </row>
    <row r="15" spans="1:7" x14ac:dyDescent="0.35">
      <c r="B15" s="6" t="s">
        <v>91</v>
      </c>
      <c r="C15" s="26">
        <v>45701</v>
      </c>
      <c r="D15" s="2" t="s">
        <v>94</v>
      </c>
      <c r="E15" s="2" t="s">
        <v>92</v>
      </c>
      <c r="F15" s="15" t="s">
        <v>93</v>
      </c>
      <c r="G15" s="6" t="s">
        <v>43</v>
      </c>
    </row>
    <row r="16" spans="1:7" x14ac:dyDescent="0.35">
      <c r="C16" s="26"/>
    </row>
  </sheetData>
  <mergeCells count="1">
    <mergeCell ref="B3:G3"/>
  </mergeCells>
  <phoneticPr fontId="18" type="noConversion"/>
  <pageMargins left="0.7" right="0.7" top="0.75" bottom="0.75" header="0.3" footer="0.3"/>
  <pageSetup paperSize="9" scale="95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DE68-97A3-4D67-BA62-C4208BED1331}">
  <dimension ref="B2:I12"/>
  <sheetViews>
    <sheetView workbookViewId="0">
      <selection activeCell="I17" sqref="I17"/>
    </sheetView>
  </sheetViews>
  <sheetFormatPr baseColWidth="10" defaultColWidth="11.453125" defaultRowHeight="13" x14ac:dyDescent="0.25"/>
  <cols>
    <col min="1" max="2" width="11.453125" style="10"/>
    <col min="3" max="4" width="19.81640625" style="10" customWidth="1"/>
    <col min="5" max="5" width="23.81640625" style="10" customWidth="1"/>
    <col min="6" max="6" width="14.453125" style="10" customWidth="1"/>
    <col min="7" max="7" width="23.81640625" style="10" customWidth="1"/>
    <col min="8" max="8" width="25.1796875" style="10" customWidth="1"/>
    <col min="9" max="9" width="20.453125" style="10" customWidth="1"/>
    <col min="10" max="16384" width="11.453125" style="10"/>
  </cols>
  <sheetData>
    <row r="2" spans="2:9" ht="26" x14ac:dyDescent="0.25">
      <c r="B2" s="11" t="s">
        <v>3</v>
      </c>
      <c r="C2" s="11" t="s">
        <v>18</v>
      </c>
      <c r="D2" s="11" t="s">
        <v>44</v>
      </c>
      <c r="E2" s="11" t="s">
        <v>21</v>
      </c>
      <c r="F2" s="11" t="s">
        <v>45</v>
      </c>
      <c r="G2" s="11" t="s">
        <v>24</v>
      </c>
      <c r="H2" s="11" t="s">
        <v>46</v>
      </c>
      <c r="I2" s="11" t="s">
        <v>19</v>
      </c>
    </row>
    <row r="3" spans="2:9" x14ac:dyDescent="0.25">
      <c r="B3" s="10" t="s">
        <v>62</v>
      </c>
      <c r="C3" s="10" t="s">
        <v>47</v>
      </c>
      <c r="D3" s="10" t="s">
        <v>48</v>
      </c>
      <c r="E3" s="10" t="s">
        <v>49</v>
      </c>
      <c r="F3" s="10" t="s">
        <v>50</v>
      </c>
      <c r="G3" s="10" t="s">
        <v>51</v>
      </c>
      <c r="H3" s="10" t="s">
        <v>52</v>
      </c>
      <c r="I3" s="10" t="s">
        <v>71</v>
      </c>
    </row>
    <row r="4" spans="2:9" x14ac:dyDescent="0.25">
      <c r="B4" s="10" t="s">
        <v>66</v>
      </c>
      <c r="C4" s="10" t="s">
        <v>53</v>
      </c>
      <c r="D4" s="10" t="s">
        <v>54</v>
      </c>
      <c r="E4" s="10" t="s">
        <v>55</v>
      </c>
      <c r="F4" s="10" t="s">
        <v>56</v>
      </c>
      <c r="G4" s="10" t="s">
        <v>57</v>
      </c>
      <c r="H4" s="10" t="s">
        <v>58</v>
      </c>
      <c r="I4" s="10" t="s">
        <v>72</v>
      </c>
    </row>
    <row r="5" spans="2:9" x14ac:dyDescent="0.25">
      <c r="B5" s="10" t="s">
        <v>4</v>
      </c>
      <c r="C5" s="10" t="s">
        <v>59</v>
      </c>
      <c r="D5" s="10" t="s">
        <v>60</v>
      </c>
      <c r="E5" s="10" t="s">
        <v>61</v>
      </c>
      <c r="F5" s="10" t="s">
        <v>35</v>
      </c>
      <c r="G5" s="10" t="s">
        <v>35</v>
      </c>
      <c r="H5" s="10" t="s">
        <v>35</v>
      </c>
      <c r="I5" s="10" t="s">
        <v>73</v>
      </c>
    </row>
    <row r="6" spans="2:9" x14ac:dyDescent="0.25">
      <c r="B6" s="10" t="s">
        <v>4</v>
      </c>
      <c r="C6" s="10" t="s">
        <v>63</v>
      </c>
      <c r="D6" s="10" t="s">
        <v>64</v>
      </c>
      <c r="E6" s="10" t="s">
        <v>65</v>
      </c>
      <c r="I6" s="10" t="s">
        <v>74</v>
      </c>
    </row>
    <row r="7" spans="2:9" x14ac:dyDescent="0.25">
      <c r="C7" s="10" t="s">
        <v>67</v>
      </c>
      <c r="D7" s="10" t="s">
        <v>68</v>
      </c>
      <c r="E7" s="10" t="s">
        <v>89</v>
      </c>
      <c r="I7" s="10" t="s">
        <v>75</v>
      </c>
    </row>
    <row r="8" spans="2:9" x14ac:dyDescent="0.25">
      <c r="C8" s="10" t="s">
        <v>88</v>
      </c>
      <c r="E8" s="10" t="s">
        <v>69</v>
      </c>
      <c r="I8" s="10" t="s">
        <v>76</v>
      </c>
    </row>
    <row r="9" spans="2:9" x14ac:dyDescent="0.25">
      <c r="E9" s="10" t="s">
        <v>70</v>
      </c>
      <c r="I9" s="10" t="s">
        <v>77</v>
      </c>
    </row>
    <row r="11" spans="2:9" x14ac:dyDescent="0.25">
      <c r="I11" s="10" t="s">
        <v>78</v>
      </c>
    </row>
    <row r="12" spans="2:9" ht="26" x14ac:dyDescent="0.25">
      <c r="I12" s="10" t="s">
        <v>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b908ec-9e92-424c-a4ad-3174bac6e888" xsi:nil="true"/>
    <lcf76f155ced4ddcb4097134ff3c332f xmlns="5f2f9e80-f74a-40c7-b145-b94d8e4966f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0D1F9D018AF642BD71F6EA77BA1FCC" ma:contentTypeVersion="15" ma:contentTypeDescription="Crée un document." ma:contentTypeScope="" ma:versionID="97fa8e5381d4afd3c2616966314fa889">
  <xsd:schema xmlns:xsd="http://www.w3.org/2001/XMLSchema" xmlns:xs="http://www.w3.org/2001/XMLSchema" xmlns:p="http://schemas.microsoft.com/office/2006/metadata/properties" xmlns:ns2="5f2f9e80-f74a-40c7-b145-b94d8e4966f0" xmlns:ns3="43b908ec-9e92-424c-a4ad-3174bac6e888" targetNamespace="http://schemas.microsoft.com/office/2006/metadata/properties" ma:root="true" ma:fieldsID="035e21461a3455a1fa8f9ac9d0103124" ns2:_="" ns3:_="">
    <xsd:import namespace="5f2f9e80-f74a-40c7-b145-b94d8e4966f0"/>
    <xsd:import namespace="43b908ec-9e92-424c-a4ad-3174bac6e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9e80-f74a-40c7-b145-b94d8e496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0894d81-c9a7-44d3-b7de-4b9756e0b1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908ec-9e92-424c-a4ad-3174bac6e8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9cff33-3cb1-46cb-abfa-a403cc2b0291}" ma:internalName="TaxCatchAll" ma:showField="CatchAllData" ma:web="43b908ec-9e92-424c-a4ad-3174bac6e8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1C8B5B-7A06-4686-9F8A-E8F24EECD8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503822-DF13-4051-A489-72B75648E37A}">
  <ds:schemaRefs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43b908ec-9e92-424c-a4ad-3174bac6e888"/>
    <ds:schemaRef ds:uri="5f2f9e80-f74a-40c7-b145-b94d8e4966f0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C0E9C51-D52E-4C8D-9749-C2C6BCF34E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</vt:i4>
      </vt:variant>
    </vt:vector>
  </HeadingPairs>
  <TitlesOfParts>
    <vt:vector size="6" baseType="lpstr">
      <vt:lpstr>Fiche Client</vt:lpstr>
      <vt:lpstr>Gestion Exigences</vt:lpstr>
      <vt:lpstr>Modifs Doc</vt:lpstr>
      <vt:lpstr>Params</vt:lpstr>
      <vt:lpstr>'Gestion Exigences'!Zone_d_impression</vt:lpstr>
      <vt:lpstr>'Modifs Doc'!Zone_d_impression</vt:lpstr>
    </vt:vector>
  </TitlesOfParts>
  <Manager/>
  <Company>DACTEM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MEJRI Ahmed</dc:creator>
  <cp:keywords/>
  <dc:description/>
  <cp:lastModifiedBy>Moatez Derbala</cp:lastModifiedBy>
  <cp:revision/>
  <dcterms:created xsi:type="dcterms:W3CDTF">2000-07-05T17:03:55Z</dcterms:created>
  <dcterms:modified xsi:type="dcterms:W3CDTF">2025-04-18T16:37:26Z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fdf0aad6-f24a-491d-833a-8fe8a48f4ca6</vt:lpwstr>
  </property>
  <property fmtid="{D5CDD505-2E9C-101B-9397-08002B2CF9AE}" pid="3" name="ContentTypeId">
    <vt:lpwstr>0x010100080D1F9D018AF642BD71F6EA77BA1FCC</vt:lpwstr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  <property fmtid="{D5CDD505-2E9C-101B-9397-08002B2CF9AE}" pid="11" name="Order">
    <vt:r8>12812100</vt:r8>
  </property>
  <property fmtid="{D5CDD505-2E9C-101B-9397-08002B2CF9AE}" pid="12" name="_ColorHex">
    <vt:lpwstr/>
  </property>
  <property fmtid="{D5CDD505-2E9C-101B-9397-08002B2CF9AE}" pid="13" name="_ColorTag">
    <vt:lpwstr/>
  </property>
  <property fmtid="{D5CDD505-2E9C-101B-9397-08002B2CF9AE}" pid="14" name="_Emoji">
    <vt:lpwstr/>
  </property>
</Properties>
</file>