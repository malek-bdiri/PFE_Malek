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3"/>
  <workbookPr/>
  <mc:AlternateContent xmlns:mc="http://schemas.openxmlformats.org/markup-compatibility/2006">
    <mc:Choice Requires="x15">
      <x15ac:absPath xmlns:x15ac="http://schemas.microsoft.com/office/spreadsheetml/2010/11/ac" url="https://addixo.sharepoint.com/COM/Documents partages/02 Prospects/SIA/8 SF/01 Digitalisation Ligne Usinage/2 Préparation Offre/"/>
    </mc:Choice>
  </mc:AlternateContent>
  <xr:revisionPtr revIDLastSave="740" documentId="8_{C7C71DF9-3396-48FD-9CAD-F77F790B3B12}" xr6:coauthVersionLast="47" xr6:coauthVersionMax="47" xr10:uidLastSave="{99D72D4F-1EAD-4D86-AA34-3EE0A9EC4123}"/>
  <bookViews>
    <workbookView xWindow="-120" yWindow="-120" windowWidth="20730" windowHeight="11040" tabRatio="620" xr2:uid="{00000000-000D-0000-FFFF-FFFF00000000}"/>
  </bookViews>
  <sheets>
    <sheet name="Gestion Exigences" sheetId="27" r:id="rId1"/>
    <sheet name="Modifs Doc" sheetId="29" r:id="rId2"/>
    <sheet name="Params" sheetId="30" r:id="rId3"/>
  </sheets>
  <definedNames>
    <definedName name="_xlnm.Print_Area" localSheetId="0">'Gestion Exigences'!$C$2:$I$27</definedName>
    <definedName name="_xlnm.Print_Area" localSheetId="1">'Modifs Doc'!$B$2:$G$14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3" i="27" l="1"/>
  <c r="O14" i="27"/>
  <c r="O15" i="27"/>
  <c r="O17" i="27"/>
  <c r="O18" i="27"/>
  <c r="P18" i="27" s="1"/>
  <c r="O19" i="27"/>
  <c r="O20" i="27"/>
  <c r="O21" i="27"/>
  <c r="O22" i="27"/>
  <c r="O23" i="27"/>
  <c r="O24" i="27"/>
  <c r="O25" i="27"/>
  <c r="O26" i="27"/>
  <c r="O27" i="27"/>
  <c r="O28" i="27"/>
  <c r="O29" i="27"/>
  <c r="O30" i="27"/>
  <c r="O31" i="27"/>
  <c r="O12" i="27"/>
  <c r="N16" i="27" l="1"/>
  <c r="P24" i="27"/>
  <c r="P21" i="27"/>
  <c r="P20" i="27"/>
  <c r="P17" i="27"/>
  <c r="P19" i="27"/>
  <c r="P22" i="27"/>
  <c r="P23" i="27"/>
  <c r="N32" i="27" l="1"/>
  <c r="O16" i="27"/>
  <c r="O32" i="27" s="1"/>
  <c r="P16" i="27"/>
  <c r="P29" i="27" l="1"/>
  <c r="P30" i="27"/>
  <c r="P31" i="27"/>
  <c r="P12" i="27" l="1"/>
  <c r="P13" i="27"/>
  <c r="P14" i="27"/>
  <c r="P15" i="27"/>
  <c r="P25" i="27"/>
  <c r="P26" i="27"/>
  <c r="P27" i="27"/>
  <c r="P28" i="27"/>
  <c r="C5" i="29"/>
  <c r="C6" i="29"/>
  <c r="C7" i="29"/>
  <c r="C8" i="29"/>
  <c r="C9" i="29"/>
  <c r="C10" i="29"/>
  <c r="B6" i="29"/>
  <c r="B7" i="29"/>
  <c r="B8" i="29"/>
  <c r="B9" i="29"/>
  <c r="B10" i="29"/>
  <c r="B5" i="29"/>
  <c r="P32" i="27" l="1"/>
</calcChain>
</file>

<file path=xl/sharedStrings.xml><?xml version="1.0" encoding="utf-8"?>
<sst xmlns="http://schemas.openxmlformats.org/spreadsheetml/2006/main" count="334" uniqueCount="184">
  <si>
    <t>Gestion Exigences Projet</t>
  </si>
  <si>
    <t>Chiffrage Réalisation SF</t>
  </si>
  <si>
    <t>Revue et Vérification pendant la Conception</t>
  </si>
  <si>
    <t>Client</t>
  </si>
  <si>
    <t>SIA</t>
  </si>
  <si>
    <t>Projet</t>
  </si>
  <si>
    <t>Digitalisation Ligne Usinage</t>
  </si>
  <si>
    <t>Réf BPA du Devis</t>
  </si>
  <si>
    <t>S0-00xy</t>
  </si>
  <si>
    <t>Réf BPA du Projet</t>
  </si>
  <si>
    <t>PR-22-0xyz</t>
  </si>
  <si>
    <t>Réf Modèle Document</t>
  </si>
  <si>
    <t>MD203</t>
  </si>
  <si>
    <t>Confidentiel</t>
  </si>
  <si>
    <t>Version Modèle Document</t>
  </si>
  <si>
    <t>V1.0</t>
  </si>
  <si>
    <t>V1.6</t>
  </si>
  <si>
    <t>ID</t>
  </si>
  <si>
    <t>Exigence</t>
  </si>
  <si>
    <t>Nature</t>
  </si>
  <si>
    <t>Catégorie</t>
  </si>
  <si>
    <t>Exigence idenfiée pendant la phase</t>
  </si>
  <si>
    <t>Description de l'exigence</t>
  </si>
  <si>
    <t>Source</t>
  </si>
  <si>
    <t>Desciption de la solution ADDIXO</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</si>
  <si>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</si>
  <si>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</si>
  <si>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</si>
  <si>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</si>
  <si>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</si>
  <si>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</si>
  <si>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</si>
  <si>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</si>
  <si>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</si>
  <si>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</si>
  <si>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</si>
  <si>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</si>
  <si>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</si>
  <si>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</si>
  <si>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Introduction des produits</t>
  </si>
  <si>
    <t>Fonctionnelle</t>
  </si>
  <si>
    <t>SF-Fonctionnelle</t>
  </si>
  <si>
    <t>Commerciale</t>
  </si>
  <si>
    <t xml:space="preserve">Création automatisée des produits </t>
  </si>
  <si>
    <t>Workshop/réunion client</t>
  </si>
  <si>
    <t>La solution ADDIXO Smart Factory permet : 
•de créer les produits manuellement à partir module configuration. 
•d'ajouter les produits automatiquement à partir d'un fichier CSV dans le module d'intégration SI  
Toutes les informations relatives aux produits doivent être saisies dans des colonnes identifiées dans le fichier CSV.</t>
  </si>
  <si>
    <t>RAS</t>
  </si>
  <si>
    <t>Validée</t>
  </si>
  <si>
    <t>Mahdi B. + Ferjania B.</t>
  </si>
  <si>
    <t>Validée par le client</t>
  </si>
  <si>
    <t>E002</t>
  </si>
  <si>
    <t xml:space="preserve">Introduction des clients </t>
  </si>
  <si>
    <t xml:space="preserve">Création automatisée des clients </t>
  </si>
  <si>
    <t xml:space="preserve">La solution ADDIXO Smart Factory permet de créer les clients manuellement à partir module configuration. </t>
  </si>
  <si>
    <t>E003</t>
  </si>
  <si>
    <t xml:space="preserve">Introduction des utilisateurs </t>
  </si>
  <si>
    <t>Création automatisée des utilisateurs</t>
  </si>
  <si>
    <t xml:space="preserve">La solution ADDIXO Smart Factory permet : 
•de créer les utilisateurs manuellement à partir module configuration. 
•d'ajouter les utilisateurs automatiquement à partir d'un fichier CSV dans le module d'intégration SI  </t>
  </si>
  <si>
    <t>E004</t>
  </si>
  <si>
    <t>Gestion des accès</t>
  </si>
  <si>
    <t xml:space="preserve">Configuration des accès pour les utilisateurs </t>
  </si>
  <si>
    <t>La solution ADDIXO Smart Factory permet de gérer les droits d'accés pour chaque utilisateur. Il est ainsi possible de préciser les accès par rapport à chaque rôle dans le module Configuration.</t>
  </si>
  <si>
    <t>E005</t>
  </si>
  <si>
    <t>Chargement des OF planifiés à partir de l'ERP.</t>
  </si>
  <si>
    <t>Chargement des OF planifiés à partir de l'ERP</t>
  </si>
  <si>
    <t xml:space="preserve">ADDIXO Smart Factory permet la création et la manipulation des OFs via l'interface "Liste OF" et la lecture des OF à partir de l'ERP via le module Intégration SI.
La solution proposée gére l'OF comme un OF principal et les opérations comme des sous-OF. 
Chaque machine est considéré comme une ligne de production.
</t>
  </si>
  <si>
    <t xml:space="preserve">Cette exigence nécessite un travail de collaboration entre l'équipe ADDIXO et l'équipe ERP.
Une adaptation webservice est nécessaire pour charger les OF planifiés à partir de l'ERP selon un protocole de communication convenu avec l'équipe ERP.
</t>
  </si>
  <si>
    <t>E006</t>
  </si>
  <si>
    <t>Déclaration automatique de la production</t>
  </si>
  <si>
    <t>La déclaration de la production est élaborée automatiquement.</t>
  </si>
  <si>
    <t>ADDIXO Smart Factory permet de déclarer la quantité produite automatiquement via l'intégration avec la machine ou bien via des capteurs fin ligne.</t>
  </si>
  <si>
    <t>E007</t>
  </si>
  <si>
    <t xml:space="preserve">Déclaration automatique des arrêts </t>
  </si>
  <si>
    <t>La déclaration des arrêts est élaborée automatiquement via l'intégration avec la machine.</t>
  </si>
  <si>
    <t xml:space="preserve">ADDIXO Smart Factory permet de : 
•Déclarer les arrêts manuellement au niveau de chaque machine
•Déclarer les arrêts automatiquement à partir du machine </t>
  </si>
  <si>
    <t>E008</t>
  </si>
  <si>
    <t>Renvoi des données réelles de production vers l'ERP.</t>
  </si>
  <si>
    <t xml:space="preserve">Retour des données réelles de production liée à chaque OF et sous-OF clôturé de SF vers l'ERP à travers web services : 
- Quantité produite , taux de non-conformité, temps d'arrêt 
- Temps opératoire, opérateur 
</t>
  </si>
  <si>
    <t>ADDIXO Smart Factory permet de synchroniser  avec l'ERP et d''envoyer les données des Ofs de ADDIXO Smart Factory via le module Integration SI</t>
  </si>
  <si>
    <t>•Interfaçage entre l'ERP et ADDIXO Smart Factory pour envoyer les données des OF vers l'ERP.
•Adaptation webservices de retour des données réelles de production liée à chaque OF et sous-OF clôturé de SF vers l' ERP.
•Ceci peut être effectué automatiquement en fonction d'une fréquence déterminée ou en appuyant sur un bouton.
•Cet écart nécessite un travail de collaboration entre l'équipe ADDIXO et l'équipe ERP.</t>
  </si>
  <si>
    <t>E009</t>
  </si>
  <si>
    <t>Notification dans le cas où il existe un dépassement du temps d'exécution  de l'opération.</t>
  </si>
  <si>
    <t>Notification dans le cas où il existe un dépassement du temps d'exécution théorique de l'opération.</t>
  </si>
  <si>
    <t xml:space="preserve">La solution ADDIXO Smart Factory assure le suivi des dépassements du temps d'exécution  de l'opération. Ainsi l'utilisateur peut ajouter des seuils de notifications par rapport à chaque indicateur. Dans ce cas, si les résultats ne respectent pas les critères d'acceptations et n'atteint le seuil paramétré, une notification (Browser, Mail ou sonore) sera envoyée aux personnes sélectionnées (avec un paramétrage multiniveaux des notifications). </t>
  </si>
  <si>
    <t>Ajouter une nouvelle catégorie de notification "Dépassement temps d'exécution".
Il est possible de configurer 3 niveaux d'escalade par rapport à chaque catégorie de notification.</t>
  </si>
  <si>
    <t>E010</t>
  </si>
  <si>
    <t>Notification horaire.</t>
  </si>
  <si>
    <t xml:space="preserve"> Notification horaire pour résumer l'état d'avancememt de la production. </t>
  </si>
  <si>
    <t xml:space="preserve">La solution ADDIXO Smart Factory assure le suivi des états d'avancement de la production. Ainsi l'utilisateur peut ajouter des seuils de notifications par rapport à chaque indicateur. Dans ce cas, si les résultats ne respectent pas les critères d'acceptations et n'atteint le seuil paramétré, une notification (Browser, Mail ou sonore) sera envoyée aux personnes sélectionnées (avec un paramétrage multiniveaux des notifications). </t>
  </si>
  <si>
    <t xml:space="preserve">Ajouter une nouvelle catégorie de notification " Résumé de la production" . Cette notification est envoyée par e-mail ou sous forme d'un browser notification qui affiche le résumé horaire de la production :la quantité produite, la quantité conforme et la quantité objective à travailler.
Il faut identifier la fréquence d'envoie des notifications  par le client </t>
  </si>
  <si>
    <t>E011</t>
  </si>
  <si>
    <t>Historisation et exploitation des données de production</t>
  </si>
  <si>
    <t>La solution ADDIXO Smart Factory permet de tracer tout l'historique des données de production et de le consulter sous formes de tableaux ou sous formes de courbes dans plusieurs interfaces comme :  Tableau de bord Production, Résumé OF, Historique Production, Détails Production, etc.
Cet historique peut être par la suite exploité via des interfaces correspondantes.Chaque utilisateur peut exporter ces informations en format PDF ou dans un fichier CSV.</t>
  </si>
  <si>
    <t>E012</t>
  </si>
  <si>
    <t>Gestion des instructions de travail .</t>
  </si>
  <si>
    <t>Affichage des instructions de travail relatives à chaque OF et sous-OF.</t>
  </si>
  <si>
    <t xml:space="preserve">La solution ADDIXO Smart Factory permet d'intégrer les instuctions de travail relatives à chaque OF / sous-OF. 
L'utilisateur peut accéder au serveur client pour récupérer les instructions de travail stockées sur le serveur. </t>
  </si>
  <si>
    <t xml:space="preserve">Cette exigence signifie que les adresses des instructions de travail doivent être accessibles par ADDIXO.
Il est nécessaire d'identifier le chemin des instructions </t>
  </si>
  <si>
    <t>E013</t>
  </si>
  <si>
    <t>Notification sur problème de synchronisation avec l’ERP .</t>
  </si>
  <si>
    <t>Notification par e-mail en cas de problème de synchronisation avec l’ERP .</t>
  </si>
  <si>
    <t xml:space="preserve">La solution ADDIXO Smart Factory permet de notifier les utilisateurs dans le cas d'un problème de synchronisation avec l'ERP. Dans ce cas, une notification (Browser, Mail ou sonore) sera envoyée aux personnes sélectionnées (avec un paramétrage multiniveaux des notifications). </t>
  </si>
  <si>
    <t>E014</t>
  </si>
  <si>
    <t xml:space="preserve">Déclaration manuelle des non-conformités par OF / sous-OF. </t>
  </si>
  <si>
    <t>Déclaration des non-conformités détectées par l'opérateur/ contrôleur qualité et leur validation par le responsable qualité.</t>
  </si>
  <si>
    <t>La déclaration des pièces non-conformes se fait manuellement à partir de l’interface de Comptage ou à partir des fiches de non-conformités.
La déclaration des non-conformités à partir de l’interface de comptage provoque la création automatique d’une fiche de non-conformité.</t>
  </si>
  <si>
    <t>E015</t>
  </si>
  <si>
    <t xml:space="preserve">Enregistrement des résultats des tests de contrôle qualité </t>
  </si>
  <si>
    <t>Enregistrement des résultats des tests de contrôle qualité  ( quantitatifs et qualitatifs) pour chaque OF tout en tenant compte des fréquences de mesures</t>
  </si>
  <si>
    <t>Un historique des résultats des tests de contrôle qualité par OF est mis en disposition en cas de besoin avec des filtres pour faciliter la recherche : par Shift, Journée industrielle et période cumulée.</t>
  </si>
  <si>
    <t>E016</t>
  </si>
  <si>
    <t>Analyse des causes des non-conformités avec l'outil QRQC</t>
  </si>
  <si>
    <t>Suivi et analyses des causes des non-conformités avec l'outil QRQC</t>
  </si>
  <si>
    <t>Le module QRQC permet de résoudre la non-conformité dans des délais très courts en identifient les causes possibles d’erreurs et en affectant des actions correctives aux personnes concernés.</t>
  </si>
  <si>
    <t>E017</t>
  </si>
  <si>
    <t>Gestion des audits 6S</t>
  </si>
  <si>
    <t>Historisation des formulaires relatives aux audits 6S</t>
  </si>
  <si>
    <t>Le module 6S permet de gérer les actions de correction possibles avec une graphique permettant la bonne prise de décision.</t>
  </si>
  <si>
    <t>E018</t>
  </si>
  <si>
    <t>Gestion des critéres et des outils de mesures .</t>
  </si>
  <si>
    <t>Gestion des critères et des outils de mesures.</t>
  </si>
  <si>
    <t>ADDIXO Smart Factory permet d’identifier les critères visuels et dimensionnels par produit à travers des interfaces de fiches de démarrage.</t>
  </si>
  <si>
    <t>E019</t>
  </si>
  <si>
    <t>Historisation des données relatives à la qualité.</t>
  </si>
  <si>
    <t>Historisation des données relatives à la maintenance via le tableau de bord qualité</t>
  </si>
  <si>
    <t>La solution dispose un système de suivi en temps réel pour anticiper les dérives possibles de qualité ainsi qu’un historique de toutes les données enregistrées</t>
  </si>
  <si>
    <t>E020</t>
  </si>
  <si>
    <t>Analyse de la capacbilité des process de production avec les cartes de contrôles SPC</t>
  </si>
  <si>
    <t>Analyse de la capabilité des process de production avec les cartes de contrôles SPC</t>
  </si>
  <si>
    <t>Le module SPC permet d’étudier la capabilité machine  par l’analyse  des cartes de contrôles.</t>
  </si>
  <si>
    <t xml:space="preserve"> </t>
  </si>
  <si>
    <t>Version</t>
  </si>
  <si>
    <t>Date</t>
  </si>
  <si>
    <t>Modifications</t>
  </si>
  <si>
    <t>Auteur(s)</t>
  </si>
  <si>
    <t>Vérificateur(s)</t>
  </si>
  <si>
    <t>Approbateur</t>
  </si>
  <si>
    <t>Version initiale.</t>
  </si>
  <si>
    <t>Ikram G.</t>
  </si>
  <si>
    <t>Mahdi B + Ferjania B.</t>
  </si>
  <si>
    <t>Imed A.</t>
  </si>
  <si>
    <t>V1.1</t>
  </si>
  <si>
    <t xml:space="preserve">Le client a validé la liste des exigences V1.0 30/03/2023 
Décrire la description de la solution ADDIXO pour chaque exigence </t>
  </si>
  <si>
    <t>Nihel K.</t>
  </si>
  <si>
    <t>Exigence identifiée pendant la phase</t>
  </si>
  <si>
    <t>Oui/Non</t>
  </si>
  <si>
    <t>Statut Interne</t>
  </si>
  <si>
    <t>CdC client</t>
  </si>
  <si>
    <t>Oui</t>
  </si>
  <si>
    <t>*** SE</t>
  </si>
  <si>
    <t>Performance</t>
  </si>
  <si>
    <t>Conception</t>
  </si>
  <si>
    <t>Non</t>
  </si>
  <si>
    <t>Non validée par client</t>
  </si>
  <si>
    <t>Non validée</t>
  </si>
  <si>
    <t>SE-Processus</t>
  </si>
  <si>
    <t>Reglementaire</t>
  </si>
  <si>
    <t>Réalisation</t>
  </si>
  <si>
    <t>Workshop/réunion Interne</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</si>
  <si>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</si>
  <si>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</si>
  <si>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</si>
  <si>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</si>
  <si>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</si>
  <si>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</si>
  <si>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</si>
  <si>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</si>
  <si>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</si>
  <si>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</si>
  <si>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</si>
  <si>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</si>
  <si>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</si>
  <si>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</si>
  <si>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</si>
  <si>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</si>
  <si>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</si>
  <si>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</si>
  <si>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SF-Processus</t>
  </si>
  <si>
    <t>SF-Connectivité Machine</t>
  </si>
  <si>
    <t>SF-Intégration SI</t>
  </si>
  <si>
    <t>SF-Software</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</si>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</sst>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font>
    <font>
      <b/>
      <sz val="11"/>
      <color theme="2" tint="-0.89999084444715716"/>
      <name val="Calibri Light"/>
      <family val="2"/>
    </font>
    <font>
      <b/>
      <sz val="10"/>
      <color rgb="FFFF0000"/>
      <name val="Calibri Light"/>
      <family val="2"/>
      <scheme val="major"/>
    </font>
    <font>
      <sz val="10"/>
      <color rgb="FF000000"/>
      <name val="Calibri Light"/>
      <family val="2"/>
    </font>
    <font>
      <sz val="6"/>
      <name val="Calibri Light"/>
      <family val="2"/>
      <scheme val="major"/>
    </font>
    <font>
      <sz val="8"/>
      <name val="Arial"/>
      <family val="2"/>
    </font>
    <font>
      <sz val="10"/>
      <name val="Calibri Light"/>
      <family val="2"/>
    </font>
  </fonts>
  <fills count="5">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s>
  <cellStyleXfs count="1">
    <xf numFmtId="0" fontId="0" fillId="0" borderId="0"/>
  </cellStyleXfs>
  <cellXfs count="40">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10" fillId="0" borderId="0" xfId="0" applyFont="1" applyAlignment="1">
      <alignment horizontal="center" wrapText="1"/>
    </xf>
    <xf numFmtId="0" fontId="1" fillId="0" borderId="0" xfId="0" applyFont="1" applyAlignment="1">
      <alignment vertical="center" wrapText="1"/>
    </xf>
    <xf numFmtId="0" fontId="10" fillId="0" borderId="0" xfId="0" applyFont="1" applyAlignment="1">
      <alignment vertical="center" wrapText="1"/>
    </xf>
    <xf numFmtId="0" fontId="12" fillId="0" borderId="0" xfId="0" applyFont="1" applyAlignment="1">
      <alignment horizontal="left" vertical="center" wrapText="1"/>
    </xf>
    <xf numFmtId="0" fontId="6" fillId="0" borderId="0" xfId="0" applyFont="1" applyAlignment="1">
      <alignment horizontal="left" vertical="center"/>
    </xf>
    <xf numFmtId="0" fontId="12" fillId="0" borderId="0" xfId="0" applyFont="1" applyAlignment="1">
      <alignment horizontal="left" vertical="center"/>
    </xf>
    <xf numFmtId="0" fontId="13" fillId="3" borderId="0" xfId="0" applyFont="1" applyFill="1" applyAlignment="1">
      <alignment horizontal="center" vertical="center" wrapText="1"/>
    </xf>
    <xf numFmtId="0" fontId="9"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9" fillId="3" borderId="1" xfId="0" applyFont="1" applyFill="1" applyBorder="1" applyAlignment="1">
      <alignment vertical="center" wrapText="1"/>
    </xf>
    <xf numFmtId="0" fontId="9" fillId="3" borderId="2" xfId="0" applyFont="1" applyFill="1" applyBorder="1" applyAlignment="1">
      <alignment vertical="center" wrapText="1"/>
    </xf>
    <xf numFmtId="0" fontId="9" fillId="3" borderId="3" xfId="0" applyFont="1" applyFill="1" applyBorder="1" applyAlignment="1">
      <alignment vertical="center" wrapText="1"/>
    </xf>
    <xf numFmtId="0" fontId="14" fillId="0" borderId="0" xfId="0" applyFont="1" applyAlignment="1">
      <alignment wrapText="1"/>
    </xf>
    <xf numFmtId="0" fontId="16" fillId="0" borderId="0" xfId="0" applyFont="1" applyAlignment="1">
      <alignment wrapText="1"/>
    </xf>
    <xf numFmtId="0" fontId="18" fillId="0" borderId="0" xfId="0" applyFont="1" applyAlignment="1">
      <alignment horizontal="left" vertical="top" wrapText="1"/>
    </xf>
    <xf numFmtId="14" fontId="18" fillId="0" borderId="0" xfId="0" applyNumberFormat="1" applyFont="1" applyAlignment="1">
      <alignment horizontal="left" vertical="top" wrapText="1"/>
    </xf>
    <xf numFmtId="0" fontId="9" fillId="0" borderId="0" xfId="0" applyFont="1" applyAlignment="1">
      <alignment horizontal="left" vertical="top" wrapText="1"/>
    </xf>
    <xf numFmtId="14" fontId="1" fillId="0" borderId="0" xfId="0" applyNumberFormat="1" applyFont="1" applyAlignment="1">
      <alignment horizontal="left" vertical="top" wrapText="1"/>
    </xf>
    <xf numFmtId="0" fontId="1" fillId="0" borderId="0" xfId="0" applyFont="1" applyAlignment="1">
      <alignment horizontal="left" vertical="top" wrapText="1"/>
    </xf>
    <xf numFmtId="0" fontId="15" fillId="0" borderId="0" xfId="0" applyFont="1" applyAlignment="1">
      <alignment horizontal="left" vertical="center" wrapText="1" readingOrder="1"/>
    </xf>
    <xf numFmtId="0" fontId="5" fillId="0" borderId="0" xfId="0" applyFont="1" applyAlignment="1">
      <alignment horizontal="left" wrapText="1"/>
    </xf>
    <xf numFmtId="0" fontId="11" fillId="2" borderId="5" xfId="0" applyFont="1" applyFill="1" applyBorder="1" applyAlignment="1">
      <alignment horizontal="center" wrapText="1"/>
    </xf>
    <xf numFmtId="0" fontId="11" fillId="2" borderId="4" xfId="0" applyFont="1" applyFill="1" applyBorder="1" applyAlignment="1">
      <alignment horizontal="center" wrapText="1"/>
    </xf>
    <xf numFmtId="0" fontId="4" fillId="3" borderId="1" xfId="0" applyFont="1" applyFill="1" applyBorder="1" applyAlignment="1">
      <alignment horizontal="center" wrapText="1"/>
    </xf>
    <xf numFmtId="0" fontId="4" fillId="3" borderId="2" xfId="0" applyFont="1" applyFill="1" applyBorder="1" applyAlignment="1">
      <alignment horizontal="center" wrapText="1"/>
    </xf>
    <xf numFmtId="0" fontId="4" fillId="3"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cellXfs>
  <cellStyles count="1">
    <cellStyle name="Normal" xfId="0" builtinId="0"/>
  </cellStyles>
  <dxfs count="52">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left" vertical="top"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bottom"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1:V32" totalsRowCount="1" headerRowDxfId="51" dataDxfId="50">
  <autoFilter ref="B11:V31" xr:uid="{DDEA2C8B-EE0D-4C55-9256-CCC64E002CE6}"/>
  <tableColumns count="21">
    <tableColumn id="1" xr3:uid="{E467E0EE-CDAA-4FF5-85A8-CDC0B23A5AD9}" name="ID" dataDxfId="48" totalsRowDxfId="49"/>
    <tableColumn id="2" xr3:uid="{E53952AC-4972-47BD-8B1D-C7EF23088D0D}" name="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den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Desciption de la solution ADDIXO" dataDxfId="34" totalsRowDxfId="35"/>
    <tableColumn id="17" xr3:uid="{D1BC9C86-C3CE-417F-AC83-FC4786A7656D}" name="Ecart entre exigence client et la solution proposée - préciser aussi les limites et hypothèses si applicable"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totalsRowFunction="sum" dataDxfId="24" totalsRowDxfId="25"/>
    <tableColumn id="21" xr3:uid="{818C68C5-1CC3-4DC9-9BB8-2CB7816ABE9F}" name="HJ Analyse et test" totalsRowFunction="sum" dataDxfId="22" totalsRowDxfId="23">
      <calculatedColumnFormula>Tableau3[[#This Row],[HJ Dev]]</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5" totalsRowShown="0" headerRowDxfId="7" dataDxfId="6">
  <autoFilter ref="B13:G15"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36"/>
  <sheetViews>
    <sheetView tabSelected="1" topLeftCell="A25" zoomScale="90" zoomScaleNormal="90" workbookViewId="0">
      <selection activeCell="G31" sqref="G31"/>
    </sheetView>
  </sheetViews>
  <sheetFormatPr defaultColWidth="11.42578125" defaultRowHeight="12.75"/>
  <cols>
    <col min="1" max="1" width="11.42578125" style="1"/>
    <col min="2" max="2" width="6.140625" style="1" customWidth="1"/>
    <col min="3" max="3" width="22" style="1" customWidth="1"/>
    <col min="4" max="5" width="18.28515625" style="1" hidden="1" customWidth="1"/>
    <col min="6" max="6" width="20" style="1" bestFit="1" customWidth="1"/>
    <col min="7" max="7" width="47.7109375" style="1" customWidth="1"/>
    <col min="8" max="8" width="18.42578125" style="1" hidden="1" customWidth="1"/>
    <col min="9" max="9" width="59.140625" style="1" customWidth="1"/>
    <col min="10" max="10" width="45.140625" style="1" customWidth="1"/>
    <col min="11" max="12" width="13.5703125" style="1" customWidth="1"/>
    <col min="13" max="13" width="15.28515625" style="1" customWidth="1"/>
    <col min="14" max="14" width="13.28515625" style="1" customWidth="1"/>
    <col min="15" max="15" width="11.42578125" style="1" customWidth="1"/>
    <col min="16" max="16" width="15.28515625" style="1" customWidth="1"/>
    <col min="17" max="17" width="28.140625" style="1" customWidth="1"/>
    <col min="18" max="18" width="15.7109375" style="1" customWidth="1"/>
    <col min="19" max="19" width="14.28515625" style="1" customWidth="1"/>
    <col min="20" max="20" width="15.140625" style="1" customWidth="1"/>
    <col min="21" max="21" width="26" style="1" customWidth="1"/>
    <col min="22" max="22" width="30.85546875" style="1" customWidth="1"/>
    <col min="23" max="16384" width="11.42578125" style="1"/>
  </cols>
  <sheetData>
    <row r="1" spans="2:22" ht="13.5" thickBot="1"/>
    <row r="2" spans="2:22" ht="21.75" customHeight="1" thickBot="1">
      <c r="B2" s="31" t="s">
        <v>0</v>
      </c>
      <c r="C2" s="32"/>
      <c r="D2" s="32"/>
      <c r="E2" s="32"/>
      <c r="F2" s="32"/>
      <c r="G2" s="32"/>
      <c r="H2" s="32"/>
      <c r="I2" s="32"/>
      <c r="J2" s="32"/>
      <c r="K2" s="32"/>
      <c r="L2" s="32"/>
      <c r="M2" s="33"/>
      <c r="N2" s="34" t="s">
        <v>1</v>
      </c>
      <c r="O2" s="35"/>
      <c r="P2" s="36"/>
      <c r="Q2" s="29" t="s">
        <v>2</v>
      </c>
      <c r="R2" s="30"/>
      <c r="S2" s="30"/>
      <c r="T2" s="30"/>
      <c r="U2" s="30"/>
      <c r="V2" s="30"/>
    </row>
    <row r="3" spans="2:22" ht="21.75" customHeight="1">
      <c r="C3" s="6"/>
      <c r="D3" s="6"/>
      <c r="E3" s="6"/>
      <c r="F3" s="6"/>
      <c r="G3" s="6"/>
      <c r="H3" s="6"/>
      <c r="I3" s="6"/>
    </row>
    <row r="4" spans="2:22" ht="21.75" customHeight="1">
      <c r="C4" s="3" t="s">
        <v>3</v>
      </c>
      <c r="D4" s="28" t="s">
        <v>4</v>
      </c>
      <c r="E4" s="28"/>
      <c r="F4" s="28"/>
      <c r="G4" s="28"/>
      <c r="H4" s="28"/>
      <c r="I4" s="28"/>
    </row>
    <row r="5" spans="2:22" ht="15">
      <c r="C5" s="3" t="s">
        <v>5</v>
      </c>
      <c r="D5" s="28" t="s">
        <v>6</v>
      </c>
      <c r="E5" s="28"/>
      <c r="F5" s="28"/>
      <c r="G5" s="28"/>
      <c r="H5" s="28"/>
      <c r="I5" s="28"/>
    </row>
    <row r="6" spans="2:22" ht="15">
      <c r="C6" s="3" t="s">
        <v>7</v>
      </c>
      <c r="D6" s="28" t="s">
        <v>8</v>
      </c>
      <c r="E6" s="28"/>
      <c r="F6" s="28"/>
      <c r="G6" s="28"/>
      <c r="H6" s="28"/>
      <c r="I6" s="28"/>
    </row>
    <row r="7" spans="2:22" ht="15">
      <c r="C7" s="3" t="s">
        <v>9</v>
      </c>
      <c r="D7" s="28" t="s">
        <v>10</v>
      </c>
      <c r="E7" s="28"/>
      <c r="F7" s="28"/>
      <c r="G7" s="28"/>
      <c r="H7" s="28"/>
      <c r="I7" s="28"/>
    </row>
    <row r="8" spans="2:22">
      <c r="C8" s="21" t="s">
        <v>11</v>
      </c>
      <c r="D8" s="21" t="s">
        <v>12</v>
      </c>
      <c r="E8" s="21"/>
      <c r="F8" s="21"/>
      <c r="G8" s="21" t="s">
        <v>12</v>
      </c>
      <c r="I8" s="20" t="s">
        <v>13</v>
      </c>
    </row>
    <row r="9" spans="2:22">
      <c r="C9" s="21" t="s">
        <v>14</v>
      </c>
      <c r="D9" s="21" t="s">
        <v>15</v>
      </c>
      <c r="E9" s="21"/>
      <c r="F9" s="21"/>
      <c r="G9" s="21" t="s">
        <v>16</v>
      </c>
    </row>
    <row r="10" spans="2:22" ht="13.5" thickBot="1"/>
    <row r="11" spans="2:22" s="7" customFormat="1" ht="39" thickBot="1">
      <c r="B11" s="17" t="s">
        <v>17</v>
      </c>
      <c r="C11" s="18" t="s">
        <v>18</v>
      </c>
      <c r="D11" s="18" t="s">
        <v>19</v>
      </c>
      <c r="E11" s="18" t="s">
        <v>20</v>
      </c>
      <c r="F11" s="18" t="s">
        <v>21</v>
      </c>
      <c r="G11" s="18" t="s">
        <v>22</v>
      </c>
      <c r="H11" s="18" t="s">
        <v>23</v>
      </c>
      <c r="I11" s="18" t="s">
        <v>24</v>
      </c>
      <c r="J11" s="18" t="s">
        <v>25</v>
      </c>
      <c r="K11" s="18" t="s">
        <v>26</v>
      </c>
      <c r="L11" s="18" t="s">
        <v>27</v>
      </c>
      <c r="M11" s="19" t="s">
        <v>28</v>
      </c>
      <c r="N11" s="13" t="s">
        <v>29</v>
      </c>
      <c r="O11" s="13" t="s">
        <v>30</v>
      </c>
      <c r="P11" s="13" t="s">
        <v>31</v>
      </c>
      <c r="Q11" s="14" t="s">
        <v>32</v>
      </c>
      <c r="R11" s="15" t="s">
        <v>33</v>
      </c>
      <c r="S11" s="15" t="s">
        <v>34</v>
      </c>
      <c r="T11" s="15" t="s">
        <v>35</v>
      </c>
      <c r="U11" s="15" t="s">
        <v>36</v>
      </c>
      <c r="V11" s="16" t="s">
        <v>37</v>
      </c>
    </row>
    <row r="12" spans="2:22" s="7" customFormat="1" ht="76.5">
      <c r="B12" s="7" t="s">
        <v>38</v>
      </c>
      <c r="C12" s="7" t="s">
        <v>39</v>
      </c>
      <c r="D12" s="7" t="s">
        <v>40</v>
      </c>
      <c r="E12" s="7" t="s">
        <v>41</v>
      </c>
      <c r="F12" s="7" t="s">
        <v>42</v>
      </c>
      <c r="G12" s="7" t="s">
        <v>43</v>
      </c>
      <c r="H12" s="7" t="s">
        <v>44</v>
      </c>
      <c r="I12" s="7" t="s">
        <v>45</v>
      </c>
      <c r="J12" s="1" t="s">
        <v>46</v>
      </c>
      <c r="K12" s="7" t="s">
        <v>47</v>
      </c>
      <c r="L12" s="7" t="s">
        <v>48</v>
      </c>
      <c r="M12" s="7" t="s">
        <v>49</v>
      </c>
      <c r="N12" s="7">
        <v>0</v>
      </c>
      <c r="O12" s="7">
        <f>Tableau3[[#This Row],[HJ Dev]]</f>
        <v>0</v>
      </c>
      <c r="P12" s="7">
        <f>Tableau3[[#This Row],[HJ Analyse et test]]+Tableau3[[#This Row],[HJ Dev]]</f>
        <v>0</v>
      </c>
    </row>
    <row r="13" spans="2:22" s="7" customFormat="1" ht="25.5">
      <c r="B13" s="7" t="s">
        <v>50</v>
      </c>
      <c r="C13" s="7" t="s">
        <v>51</v>
      </c>
      <c r="D13" s="7" t="s">
        <v>40</v>
      </c>
      <c r="E13" s="7" t="s">
        <v>41</v>
      </c>
      <c r="F13" s="7" t="s">
        <v>42</v>
      </c>
      <c r="G13" s="7" t="s">
        <v>52</v>
      </c>
      <c r="H13" s="7" t="s">
        <v>44</v>
      </c>
      <c r="I13" s="7" t="s">
        <v>53</v>
      </c>
      <c r="J13" s="1" t="s">
        <v>46</v>
      </c>
      <c r="K13" s="7" t="s">
        <v>47</v>
      </c>
      <c r="L13" s="7" t="s">
        <v>48</v>
      </c>
      <c r="M13" s="7" t="s">
        <v>49</v>
      </c>
      <c r="N13" s="7">
        <v>0</v>
      </c>
      <c r="O13" s="7">
        <f>Tableau3[[#This Row],[HJ Dev]]</f>
        <v>0</v>
      </c>
      <c r="P13" s="7">
        <f>Tableau3[[#This Row],[HJ Analyse et test]]+Tableau3[[#This Row],[HJ Dev]]</f>
        <v>0</v>
      </c>
    </row>
    <row r="14" spans="2:22" s="7" customFormat="1" ht="51">
      <c r="B14" s="7" t="s">
        <v>54</v>
      </c>
      <c r="C14" s="7" t="s">
        <v>55</v>
      </c>
      <c r="D14" s="7" t="s">
        <v>40</v>
      </c>
      <c r="E14" s="7" t="s">
        <v>41</v>
      </c>
      <c r="F14" s="7" t="s">
        <v>42</v>
      </c>
      <c r="G14" s="7" t="s">
        <v>56</v>
      </c>
      <c r="H14" s="7" t="s">
        <v>44</v>
      </c>
      <c r="I14" s="7" t="s">
        <v>57</v>
      </c>
      <c r="J14" s="1" t="s">
        <v>46</v>
      </c>
      <c r="K14" s="7" t="s">
        <v>47</v>
      </c>
      <c r="L14" s="7" t="s">
        <v>48</v>
      </c>
      <c r="M14" s="7" t="s">
        <v>49</v>
      </c>
      <c r="N14" s="7">
        <v>0</v>
      </c>
      <c r="O14" s="7">
        <f>Tableau3[[#This Row],[HJ Dev]]</f>
        <v>0</v>
      </c>
      <c r="P14" s="7">
        <f>Tableau3[[#This Row],[HJ Analyse et test]]+Tableau3[[#This Row],[HJ Dev]]</f>
        <v>0</v>
      </c>
    </row>
    <row r="15" spans="2:22" s="7" customFormat="1" ht="54" customHeight="1">
      <c r="B15" s="7" t="s">
        <v>58</v>
      </c>
      <c r="C15" s="7" t="s">
        <v>59</v>
      </c>
      <c r="D15" s="7" t="s">
        <v>40</v>
      </c>
      <c r="E15" s="7" t="s">
        <v>41</v>
      </c>
      <c r="F15" s="7" t="s">
        <v>42</v>
      </c>
      <c r="G15" s="7" t="s">
        <v>60</v>
      </c>
      <c r="H15" s="7" t="s">
        <v>44</v>
      </c>
      <c r="I15" s="7" t="s">
        <v>61</v>
      </c>
      <c r="J15" s="1" t="s">
        <v>46</v>
      </c>
      <c r="K15" s="7" t="s">
        <v>47</v>
      </c>
      <c r="L15" s="7" t="s">
        <v>48</v>
      </c>
      <c r="M15" s="7" t="s">
        <v>49</v>
      </c>
      <c r="N15" s="7">
        <v>0</v>
      </c>
      <c r="O15" s="7">
        <f>Tableau3[[#This Row],[HJ Dev]]</f>
        <v>0</v>
      </c>
      <c r="P15" s="7">
        <f>Tableau3[[#This Row],[HJ Analyse et test]]+Tableau3[[#This Row],[HJ Dev]]</f>
        <v>0</v>
      </c>
    </row>
    <row r="16" spans="2:22" s="7" customFormat="1" ht="99" customHeight="1">
      <c r="B16" s="7" t="s">
        <v>62</v>
      </c>
      <c r="C16" s="7" t="s">
        <v>63</v>
      </c>
      <c r="D16" s="7" t="s">
        <v>40</v>
      </c>
      <c r="E16" s="7" t="s">
        <v>41</v>
      </c>
      <c r="F16" s="7" t="s">
        <v>42</v>
      </c>
      <c r="G16" s="7" t="s">
        <v>64</v>
      </c>
      <c r="H16" s="7" t="s">
        <v>44</v>
      </c>
      <c r="I16" s="7" t="s">
        <v>65</v>
      </c>
      <c r="J16" s="7" t="s">
        <v>66</v>
      </c>
      <c r="K16" s="7" t="s">
        <v>47</v>
      </c>
      <c r="L16" s="7" t="s">
        <v>48</v>
      </c>
      <c r="M16" s="7" t="s">
        <v>49</v>
      </c>
      <c r="N16" s="7">
        <f>5+2</f>
        <v>7</v>
      </c>
      <c r="O16" s="7">
        <f>Tableau3[[#This Row],[HJ Dev]]</f>
        <v>7</v>
      </c>
      <c r="P16" s="7">
        <f>Tableau3[[#This Row],[HJ Analyse et test]]+Tableau3[[#This Row],[HJ Dev]]</f>
        <v>14</v>
      </c>
    </row>
    <row r="17" spans="2:22" s="7" customFormat="1" ht="54" customHeight="1">
      <c r="B17" s="7" t="s">
        <v>67</v>
      </c>
      <c r="C17" s="7" t="s">
        <v>68</v>
      </c>
      <c r="D17" s="7" t="s">
        <v>40</v>
      </c>
      <c r="E17" s="7" t="s">
        <v>41</v>
      </c>
      <c r="F17" s="7" t="s">
        <v>42</v>
      </c>
      <c r="G17" s="7" t="s">
        <v>69</v>
      </c>
      <c r="H17" s="7" t="s">
        <v>44</v>
      </c>
      <c r="I17" s="7" t="s">
        <v>70</v>
      </c>
      <c r="J17" s="1" t="s">
        <v>46</v>
      </c>
      <c r="K17" s="7" t="s">
        <v>47</v>
      </c>
      <c r="L17" s="7" t="s">
        <v>48</v>
      </c>
      <c r="M17" s="7" t="s">
        <v>49</v>
      </c>
      <c r="N17" s="7">
        <v>3</v>
      </c>
      <c r="O17" s="7">
        <f>Tableau3[[#This Row],[HJ Dev]]</f>
        <v>3</v>
      </c>
      <c r="P17" s="7">
        <f>Tableau3[[#This Row],[HJ Analyse et test]]+Tableau3[[#This Row],[HJ Dev]]</f>
        <v>6</v>
      </c>
    </row>
    <row r="18" spans="2:22" s="7" customFormat="1" ht="38.25">
      <c r="B18" s="7" t="s">
        <v>71</v>
      </c>
      <c r="C18" s="7" t="s">
        <v>72</v>
      </c>
      <c r="F18" s="7" t="s">
        <v>42</v>
      </c>
      <c r="G18" s="7" t="s">
        <v>73</v>
      </c>
      <c r="I18" s="7" t="s">
        <v>74</v>
      </c>
      <c r="J18" s="1" t="s">
        <v>46</v>
      </c>
      <c r="K18" s="7" t="s">
        <v>47</v>
      </c>
      <c r="L18" s="7" t="s">
        <v>48</v>
      </c>
      <c r="M18" s="7" t="s">
        <v>49</v>
      </c>
      <c r="N18" s="7">
        <v>3</v>
      </c>
      <c r="O18" s="7">
        <f>Tableau3[[#This Row],[HJ Dev]]</f>
        <v>3</v>
      </c>
      <c r="P18" s="7">
        <f>Tableau3[[#This Row],[HJ Analyse et test]]+Tableau3[[#This Row],[HJ Dev]]</f>
        <v>6</v>
      </c>
    </row>
    <row r="19" spans="2:22" s="7" customFormat="1" ht="127.5">
      <c r="B19" s="7" t="s">
        <v>75</v>
      </c>
      <c r="C19" s="7" t="s">
        <v>76</v>
      </c>
      <c r="D19" s="7" t="s">
        <v>40</v>
      </c>
      <c r="E19" s="7" t="s">
        <v>41</v>
      </c>
      <c r="F19" s="7" t="s">
        <v>42</v>
      </c>
      <c r="G19" s="7" t="s">
        <v>77</v>
      </c>
      <c r="H19" s="7" t="s">
        <v>44</v>
      </c>
      <c r="I19" s="7" t="s">
        <v>78</v>
      </c>
      <c r="J19" s="1" t="s">
        <v>79</v>
      </c>
      <c r="K19" s="7" t="s">
        <v>47</v>
      </c>
      <c r="L19" s="7" t="s">
        <v>48</v>
      </c>
      <c r="M19" s="7" t="s">
        <v>49</v>
      </c>
      <c r="N19" s="7">
        <v>5</v>
      </c>
      <c r="O19" s="7">
        <f>Tableau3[[#This Row],[HJ Dev]]</f>
        <v>5</v>
      </c>
      <c r="P19" s="7">
        <f>Tableau3[[#This Row],[HJ Analyse et test]]+Tableau3[[#This Row],[HJ Dev]]</f>
        <v>10</v>
      </c>
    </row>
    <row r="20" spans="2:22" s="7" customFormat="1" ht="76.5">
      <c r="B20" s="7" t="s">
        <v>80</v>
      </c>
      <c r="C20" s="7" t="s">
        <v>81</v>
      </c>
      <c r="D20" s="7" t="s">
        <v>40</v>
      </c>
      <c r="E20" s="7" t="s">
        <v>41</v>
      </c>
      <c r="F20" s="7" t="s">
        <v>42</v>
      </c>
      <c r="G20" s="7" t="s">
        <v>82</v>
      </c>
      <c r="H20" s="7" t="s">
        <v>44</v>
      </c>
      <c r="I20" s="7" t="s">
        <v>83</v>
      </c>
      <c r="J20" s="7" t="s">
        <v>84</v>
      </c>
      <c r="L20" s="7" t="s">
        <v>48</v>
      </c>
      <c r="M20" s="7" t="s">
        <v>49</v>
      </c>
      <c r="N20" s="7">
        <v>4</v>
      </c>
      <c r="O20" s="7">
        <f>Tableau3[[#This Row],[HJ Dev]]</f>
        <v>4</v>
      </c>
      <c r="P20" s="7">
        <f>Tableau3[[#This Row],[HJ Analyse et test]]+Tableau3[[#This Row],[HJ Dev]]</f>
        <v>8</v>
      </c>
    </row>
    <row r="21" spans="2:22" s="7" customFormat="1" ht="89.25">
      <c r="B21" s="7" t="s">
        <v>85</v>
      </c>
      <c r="C21" s="7" t="s">
        <v>86</v>
      </c>
      <c r="D21" s="7" t="s">
        <v>40</v>
      </c>
      <c r="E21" s="7" t="s">
        <v>41</v>
      </c>
      <c r="F21" s="7" t="s">
        <v>42</v>
      </c>
      <c r="G21" s="7" t="s">
        <v>87</v>
      </c>
      <c r="H21" s="7" t="s">
        <v>44</v>
      </c>
      <c r="I21" s="7" t="s">
        <v>88</v>
      </c>
      <c r="J21" s="7" t="s">
        <v>89</v>
      </c>
      <c r="L21" s="7" t="s">
        <v>48</v>
      </c>
      <c r="M21" s="7" t="s">
        <v>49</v>
      </c>
      <c r="N21" s="7">
        <v>5</v>
      </c>
      <c r="O21" s="7">
        <f>Tableau3[[#This Row],[HJ Dev]]</f>
        <v>5</v>
      </c>
      <c r="P21" s="7">
        <f>Tableau3[[#This Row],[HJ Analyse et test]]+Tableau3[[#This Row],[HJ Dev]]</f>
        <v>10</v>
      </c>
    </row>
    <row r="22" spans="2:22" s="7" customFormat="1" ht="89.25">
      <c r="B22" s="7" t="s">
        <v>90</v>
      </c>
      <c r="C22" s="7" t="s">
        <v>91</v>
      </c>
      <c r="D22" s="7" t="s">
        <v>40</v>
      </c>
      <c r="E22" s="7" t="s">
        <v>41</v>
      </c>
      <c r="F22" s="7" t="s">
        <v>42</v>
      </c>
      <c r="G22" s="7" t="s">
        <v>91</v>
      </c>
      <c r="H22" s="7" t="s">
        <v>44</v>
      </c>
      <c r="I22" s="7" t="s">
        <v>92</v>
      </c>
      <c r="J22" s="1" t="s">
        <v>46</v>
      </c>
      <c r="L22" s="7" t="s">
        <v>48</v>
      </c>
      <c r="M22" s="7" t="s">
        <v>49</v>
      </c>
      <c r="N22" s="7">
        <v>0</v>
      </c>
      <c r="O22" s="7">
        <f>Tableau3[[#This Row],[HJ Dev]]</f>
        <v>0</v>
      </c>
      <c r="P22" s="7">
        <f>Tableau3[[#This Row],[HJ Analyse et test]]+Tableau3[[#This Row],[HJ Dev]]</f>
        <v>0</v>
      </c>
    </row>
    <row r="23" spans="2:22" s="7" customFormat="1" ht="85.9" customHeight="1">
      <c r="B23" s="7" t="s">
        <v>93</v>
      </c>
      <c r="C23" s="7" t="s">
        <v>94</v>
      </c>
      <c r="D23" s="7" t="s">
        <v>40</v>
      </c>
      <c r="E23" s="7" t="s">
        <v>41</v>
      </c>
      <c r="F23" s="7" t="s">
        <v>42</v>
      </c>
      <c r="G23" s="7" t="s">
        <v>95</v>
      </c>
      <c r="H23" s="7" t="s">
        <v>44</v>
      </c>
      <c r="I23" s="7" t="s">
        <v>96</v>
      </c>
      <c r="J23" s="27" t="s">
        <v>97</v>
      </c>
      <c r="L23" s="7" t="s">
        <v>48</v>
      </c>
      <c r="M23" s="7" t="s">
        <v>49</v>
      </c>
      <c r="N23" s="7">
        <v>7</v>
      </c>
      <c r="O23" s="7">
        <f>Tableau3[[#This Row],[HJ Dev]]</f>
        <v>7</v>
      </c>
      <c r="P23" s="7">
        <f>Tableau3[[#This Row],[HJ Analyse et test]]+Tableau3[[#This Row],[HJ Dev]]</f>
        <v>14</v>
      </c>
    </row>
    <row r="24" spans="2:22" s="7" customFormat="1" ht="54" customHeight="1">
      <c r="B24" s="7" t="s">
        <v>98</v>
      </c>
      <c r="C24" s="7" t="s">
        <v>99</v>
      </c>
      <c r="D24" s="7" t="s">
        <v>40</v>
      </c>
      <c r="E24" s="7" t="s">
        <v>41</v>
      </c>
      <c r="F24" s="7" t="s">
        <v>42</v>
      </c>
      <c r="G24" s="7" t="s">
        <v>100</v>
      </c>
      <c r="H24" s="7" t="s">
        <v>44</v>
      </c>
      <c r="I24" s="7" t="s">
        <v>101</v>
      </c>
      <c r="J24" s="1" t="s">
        <v>46</v>
      </c>
      <c r="L24" s="7" t="s">
        <v>48</v>
      </c>
      <c r="M24" s="7" t="s">
        <v>49</v>
      </c>
      <c r="N24" s="7">
        <v>0</v>
      </c>
      <c r="O24" s="7">
        <f>Tableau3[[#This Row],[HJ Dev]]</f>
        <v>0</v>
      </c>
      <c r="P24" s="7">
        <f>Tableau3[[#This Row],[HJ Analyse et test]]+Tableau3[[#This Row],[HJ Dev]]</f>
        <v>0</v>
      </c>
    </row>
    <row r="25" spans="2:22" s="7" customFormat="1" ht="57" customHeight="1">
      <c r="B25" s="7" t="s">
        <v>102</v>
      </c>
      <c r="C25" s="7" t="s">
        <v>103</v>
      </c>
      <c r="D25" s="7" t="s">
        <v>40</v>
      </c>
      <c r="E25" s="7" t="s">
        <v>41</v>
      </c>
      <c r="F25" s="7" t="s">
        <v>42</v>
      </c>
      <c r="G25" s="7" t="s">
        <v>104</v>
      </c>
      <c r="H25" s="7" t="s">
        <v>44</v>
      </c>
      <c r="I25" s="7" t="s">
        <v>105</v>
      </c>
      <c r="J25" s="1" t="s">
        <v>46</v>
      </c>
      <c r="L25" s="7" t="s">
        <v>48</v>
      </c>
      <c r="M25" s="7" t="s">
        <v>49</v>
      </c>
      <c r="N25" s="7">
        <v>0</v>
      </c>
      <c r="O25" s="7">
        <f>Tableau3[[#This Row],[HJ Dev]]</f>
        <v>0</v>
      </c>
      <c r="P25" s="7">
        <f>Tableau3[[#This Row],[HJ Analyse et test]]+Tableau3[[#This Row],[HJ Dev]]</f>
        <v>0</v>
      </c>
    </row>
    <row r="26" spans="2:22" s="7" customFormat="1" ht="36" customHeight="1">
      <c r="B26" s="7" t="s">
        <v>106</v>
      </c>
      <c r="C26" s="7" t="s">
        <v>107</v>
      </c>
      <c r="D26" s="7" t="s">
        <v>40</v>
      </c>
      <c r="E26" s="7" t="s">
        <v>41</v>
      </c>
      <c r="F26" s="7" t="s">
        <v>42</v>
      </c>
      <c r="G26" s="7" t="s">
        <v>108</v>
      </c>
      <c r="H26" s="7" t="s">
        <v>44</v>
      </c>
      <c r="I26" s="7" t="s">
        <v>109</v>
      </c>
      <c r="J26" s="1" t="s">
        <v>46</v>
      </c>
      <c r="L26" s="7" t="s">
        <v>48</v>
      </c>
      <c r="M26" s="7" t="s">
        <v>49</v>
      </c>
      <c r="N26" s="7">
        <v>0</v>
      </c>
      <c r="O26" s="7">
        <f>Tableau3[[#This Row],[HJ Dev]]</f>
        <v>0</v>
      </c>
      <c r="P26" s="7">
        <f>Tableau3[[#This Row],[HJ Analyse et test]]+Tableau3[[#This Row],[HJ Dev]]</f>
        <v>0</v>
      </c>
    </row>
    <row r="27" spans="2:22" s="7" customFormat="1" ht="52.15" customHeight="1">
      <c r="B27" s="7" t="s">
        <v>110</v>
      </c>
      <c r="C27" s="7" t="s">
        <v>111</v>
      </c>
      <c r="D27" s="7" t="s">
        <v>40</v>
      </c>
      <c r="E27" s="7" t="s">
        <v>41</v>
      </c>
      <c r="F27" s="7" t="s">
        <v>42</v>
      </c>
      <c r="G27" s="7" t="s">
        <v>112</v>
      </c>
      <c r="H27" s="7" t="s">
        <v>44</v>
      </c>
      <c r="I27" s="7" t="s">
        <v>113</v>
      </c>
      <c r="J27" s="1" t="s">
        <v>46</v>
      </c>
      <c r="L27" s="7" t="s">
        <v>48</v>
      </c>
      <c r="M27" s="7" t="s">
        <v>49</v>
      </c>
      <c r="N27" s="7">
        <v>0</v>
      </c>
      <c r="O27" s="7">
        <f>Tableau3[[#This Row],[HJ Dev]]</f>
        <v>0</v>
      </c>
      <c r="P27" s="7">
        <f>Tableau3[[#This Row],[HJ Analyse et test]]+Tableau3[[#This Row],[HJ Dev]]</f>
        <v>0</v>
      </c>
    </row>
    <row r="28" spans="2:22" s="7" customFormat="1" ht="25.5">
      <c r="B28" s="7" t="s">
        <v>114</v>
      </c>
      <c r="C28" s="7" t="s">
        <v>115</v>
      </c>
      <c r="D28" s="7" t="s">
        <v>40</v>
      </c>
      <c r="E28" s="7" t="s">
        <v>41</v>
      </c>
      <c r="F28" s="7" t="s">
        <v>42</v>
      </c>
      <c r="G28" s="7" t="s">
        <v>116</v>
      </c>
      <c r="H28" s="7" t="s">
        <v>44</v>
      </c>
      <c r="I28" s="7" t="s">
        <v>117</v>
      </c>
      <c r="J28" s="1" t="s">
        <v>46</v>
      </c>
      <c r="L28" s="7" t="s">
        <v>48</v>
      </c>
      <c r="M28" s="7" t="s">
        <v>49</v>
      </c>
      <c r="N28" s="7">
        <v>0</v>
      </c>
      <c r="O28" s="7">
        <f>Tableau3[[#This Row],[HJ Dev]]</f>
        <v>0</v>
      </c>
      <c r="P28" s="7">
        <f>Tableau3[[#This Row],[HJ Analyse et test]]+Tableau3[[#This Row],[HJ Dev]]</f>
        <v>0</v>
      </c>
    </row>
    <row r="29" spans="2:22" ht="36" customHeight="1">
      <c r="B29" s="7" t="s">
        <v>118</v>
      </c>
      <c r="C29" s="7" t="s">
        <v>119</v>
      </c>
      <c r="D29" s="7" t="s">
        <v>40</v>
      </c>
      <c r="E29" s="7" t="s">
        <v>41</v>
      </c>
      <c r="F29" s="7" t="s">
        <v>42</v>
      </c>
      <c r="G29" s="7" t="s">
        <v>120</v>
      </c>
      <c r="H29" s="7" t="s">
        <v>44</v>
      </c>
      <c r="I29" s="7" t="s">
        <v>121</v>
      </c>
      <c r="J29" s="1" t="s">
        <v>46</v>
      </c>
      <c r="K29" s="7"/>
      <c r="L29" s="7" t="s">
        <v>48</v>
      </c>
      <c r="M29" s="7" t="s">
        <v>49</v>
      </c>
      <c r="N29" s="7">
        <v>0</v>
      </c>
      <c r="O29" s="7">
        <f>Tableau3[[#This Row],[HJ Dev]]</f>
        <v>0</v>
      </c>
      <c r="P29" s="7">
        <f>Tableau3[[#This Row],[HJ Analyse et test]]+Tableau3[[#This Row],[HJ Dev]]</f>
        <v>0</v>
      </c>
      <c r="Q29" s="7"/>
      <c r="R29" s="7"/>
      <c r="S29" s="7"/>
      <c r="T29" s="7"/>
      <c r="U29" s="7"/>
      <c r="V29" s="7"/>
    </row>
    <row r="30" spans="2:22" ht="44.25">
      <c r="B30" s="7" t="s">
        <v>122</v>
      </c>
      <c r="C30" s="7" t="s">
        <v>123</v>
      </c>
      <c r="D30" s="7" t="s">
        <v>40</v>
      </c>
      <c r="E30" s="7" t="s">
        <v>41</v>
      </c>
      <c r="F30" s="7" t="s">
        <v>42</v>
      </c>
      <c r="G30" s="7" t="s">
        <v>124</v>
      </c>
      <c r="H30" s="7" t="s">
        <v>44</v>
      </c>
      <c r="I30" s="7" t="s">
        <v>125</v>
      </c>
      <c r="J30" s="1" t="s">
        <v>46</v>
      </c>
      <c r="K30" s="7"/>
      <c r="L30" s="7" t="s">
        <v>48</v>
      </c>
      <c r="M30" s="7" t="s">
        <v>49</v>
      </c>
      <c r="N30" s="7">
        <v>0</v>
      </c>
      <c r="O30" s="7">
        <f>Tableau3[[#This Row],[HJ Dev]]</f>
        <v>0</v>
      </c>
      <c r="P30" s="7">
        <f>Tableau3[[#This Row],[HJ Analyse et test]]+Tableau3[[#This Row],[HJ Dev]]</f>
        <v>0</v>
      </c>
      <c r="Q30" s="7"/>
      <c r="R30" s="7"/>
      <c r="S30" s="7"/>
      <c r="T30" s="7"/>
      <c r="U30" s="7"/>
      <c r="V30" s="7"/>
    </row>
    <row r="31" spans="2:22" ht="58.5">
      <c r="B31" s="7" t="s">
        <v>126</v>
      </c>
      <c r="C31" s="7" t="s">
        <v>127</v>
      </c>
      <c r="D31" s="7" t="s">
        <v>40</v>
      </c>
      <c r="E31" s="7" t="s">
        <v>41</v>
      </c>
      <c r="F31" s="7" t="s">
        <v>42</v>
      </c>
      <c r="G31" s="7" t="s">
        <v>128</v>
      </c>
      <c r="H31" s="7" t="s">
        <v>44</v>
      </c>
      <c r="I31" s="7" t="s">
        <v>129</v>
      </c>
      <c r="J31" s="1" t="s">
        <v>46</v>
      </c>
      <c r="K31" s="7"/>
      <c r="L31" s="7" t="s">
        <v>48</v>
      </c>
      <c r="M31" s="7" t="s">
        <v>49</v>
      </c>
      <c r="N31" s="7">
        <v>0</v>
      </c>
      <c r="O31" s="7">
        <f>Tableau3[[#This Row],[HJ Dev]]</f>
        <v>0</v>
      </c>
      <c r="P31" s="7">
        <f>Tableau3[[#This Row],[HJ Analyse et test]]+Tableau3[[#This Row],[HJ Dev]]</f>
        <v>0</v>
      </c>
      <c r="Q31" s="7"/>
      <c r="R31" s="7"/>
      <c r="S31" s="7"/>
      <c r="T31" s="7"/>
      <c r="U31" s="7"/>
      <c r="V31" s="7"/>
    </row>
    <row r="32" spans="2:22">
      <c r="B32" s="7"/>
      <c r="C32" s="7"/>
      <c r="D32" s="7"/>
      <c r="E32" s="7"/>
      <c r="F32" s="7"/>
      <c r="G32" s="7"/>
      <c r="H32" s="7"/>
      <c r="I32" s="7"/>
      <c r="K32" s="7"/>
      <c r="L32" s="7"/>
      <c r="M32" s="7"/>
      <c r="N32" s="7">
        <f>SUBTOTAL(109,Tableau3[HJ Dev])</f>
        <v>34</v>
      </c>
      <c r="O32" s="7">
        <f>SUBTOTAL(109,Tableau3[HJ Analyse et test])</f>
        <v>34</v>
      </c>
      <c r="P32" s="7">
        <f>SUBTOTAL(109,Tableau3[Total HJ])</f>
        <v>68</v>
      </c>
      <c r="Q32" s="7"/>
      <c r="R32" s="7"/>
      <c r="S32" s="7"/>
      <c r="T32" s="7"/>
      <c r="U32" s="7"/>
      <c r="V32" s="7"/>
    </row>
    <row r="34" spans="9:10">
      <c r="I34" s="1" t="s">
        <v>130</v>
      </c>
    </row>
    <row r="36" spans="9:10">
      <c r="J36" s="1" t="s">
        <v>130</v>
      </c>
    </row>
  </sheetData>
  <mergeCells count="7">
    <mergeCell ref="D7:I7"/>
    <mergeCell ref="D6:I6"/>
    <mergeCell ref="Q2:V2"/>
    <mergeCell ref="B2:M2"/>
    <mergeCell ref="D4:I4"/>
    <mergeCell ref="D5:I5"/>
    <mergeCell ref="N2:P2"/>
  </mergeCells>
  <phoneticPr fontId="2" type="noConversion"/>
  <dataValidations disablePrompts="1" count="1">
    <dataValidation type="whole" operator="greaterThanOrEqual" allowBlank="1" showInputMessage="1" showErrorMessage="1" sqref="N12:P31" xr:uid="{10E2E794-3894-4CC1-AB1A-9BB5BF41EABB}">
      <formula1>0</formula1>
    </dataValidation>
  </dataValidations>
  <pageMargins left="0.7" right="0.7" top="0.75" bottom="0.75" header="0.3" footer="0.3"/>
  <pageSetup paperSize="9" scale="74" fitToHeight="0" orientation="landscape" r:id="rId1"/>
  <tableParts count="1">
    <tablePart r:id="rId2"/>
  </tablePart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6B2A4DB-2A94-4B0B-971B-CDFF438E23BA}">
          <x14:formula1>
            <xm:f>Params!$F$3:$F$9</xm:f>
          </x14:formula1>
          <xm:sqref>M12:M31</xm:sqref>
        </x14:dataValidation>
        <x14:dataValidation type="list" allowBlank="1" showInputMessage="1" showErrorMessage="1" xr:uid="{1F2CF1C1-BE35-4DC9-A975-F49F788F3D6A}">
          <x14:formula1>
            <xm:f>Params!$G$3:$G$6</xm:f>
          </x14:formula1>
          <xm:sqref>K12:K31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topLeftCell="A5" workbookViewId="0">
      <selection activeCell="D9" sqref="D9"/>
    </sheetView>
  </sheetViews>
  <sheetFormatPr defaultColWidth="11.42578125" defaultRowHeight="15"/>
  <cols>
    <col min="1" max="1" width="16.5703125" style="2" customWidth="1"/>
    <col min="2" max="2" width="19.5703125" style="2" customWidth="1"/>
    <col min="3" max="3" width="11.42578125" style="2"/>
    <col min="4" max="4" width="58.28515625" style="2" customWidth="1"/>
    <col min="5" max="5" width="15.85546875" style="2" customWidth="1"/>
    <col min="6" max="6" width="18" style="2" customWidth="1"/>
    <col min="7" max="7" width="16.5703125" style="2" customWidth="1"/>
    <col min="8" max="16384" width="11.42578125" style="2"/>
  </cols>
  <sheetData>
    <row r="2" spans="1:7" ht="15.75" thickBot="1"/>
    <row r="3" spans="1:7" ht="24" customHeight="1" thickBot="1">
      <c r="A3" s="2" t="s">
        <v>130</v>
      </c>
      <c r="B3" s="37" t="s">
        <v>0</v>
      </c>
      <c r="C3" s="38"/>
      <c r="D3" s="38"/>
      <c r="E3" s="38"/>
      <c r="F3" s="38"/>
      <c r="G3" s="39"/>
    </row>
    <row r="4" spans="1:7">
      <c r="B4" s="4"/>
      <c r="C4" s="5"/>
      <c r="D4" s="5"/>
      <c r="E4" s="5"/>
      <c r="F4" s="5"/>
      <c r="G4" s="5"/>
    </row>
    <row r="5" spans="1:7">
      <c r="B5" s="4" t="str">
        <f>'Gestion Exigences'!C4</f>
        <v>Client</v>
      </c>
      <c r="C5" s="10" t="str">
        <f>'Gestion Exigences'!D4</f>
        <v>SIA</v>
      </c>
      <c r="D5" s="5"/>
      <c r="E5" s="5"/>
      <c r="F5" s="5"/>
      <c r="G5" s="5"/>
    </row>
    <row r="6" spans="1:7">
      <c r="B6" s="4" t="str">
        <f>'Gestion Exigences'!C5</f>
        <v>Projet</v>
      </c>
      <c r="C6" s="10" t="str">
        <f>'Gestion Exigences'!D5</f>
        <v>Digitalisation Ligne Usinage</v>
      </c>
      <c r="D6" s="5"/>
      <c r="E6" s="5"/>
      <c r="F6" s="5"/>
      <c r="G6" s="5"/>
    </row>
    <row r="7" spans="1:7">
      <c r="B7" s="4" t="str">
        <f>'Gestion Exigences'!C6</f>
        <v>Réf BPA du Devis</v>
      </c>
      <c r="C7" s="10" t="str">
        <f>'Gestion Exigences'!D6</f>
        <v>S0-00xy</v>
      </c>
      <c r="D7" s="5"/>
      <c r="E7" s="5"/>
      <c r="F7" s="5"/>
      <c r="G7" s="5"/>
    </row>
    <row r="8" spans="1:7">
      <c r="B8" s="4" t="str">
        <f>'Gestion Exigences'!C7</f>
        <v>Réf BPA du Projet</v>
      </c>
      <c r="C8" s="10" t="str">
        <f>'Gestion Exigences'!D7</f>
        <v>PR-22-0xyz</v>
      </c>
      <c r="D8" s="5"/>
      <c r="E8" s="5"/>
      <c r="F8" s="5"/>
      <c r="G8" s="5"/>
    </row>
    <row r="9" spans="1:7">
      <c r="B9" s="9" t="str">
        <f>'Gestion Exigences'!C8</f>
        <v>Réf Modèle Document</v>
      </c>
      <c r="C9" s="11" t="str">
        <f>'Gestion Exigences'!D8</f>
        <v>MD203</v>
      </c>
      <c r="D9" s="5"/>
      <c r="E9" s="5"/>
      <c r="F9" s="5"/>
      <c r="G9" s="5"/>
    </row>
    <row r="10" spans="1:7">
      <c r="B10" s="9" t="str">
        <f>'Gestion Exigences'!C9</f>
        <v>Version Modèle Document</v>
      </c>
      <c r="C10" s="11" t="str">
        <f>'Gestion Exigences'!D9</f>
        <v>V1.0</v>
      </c>
      <c r="D10" s="5"/>
      <c r="E10" s="5"/>
      <c r="F10" s="5"/>
      <c r="G10" s="5"/>
    </row>
    <row r="11" spans="1:7">
      <c r="B11" s="4"/>
      <c r="C11" s="5"/>
      <c r="D11" s="5"/>
      <c r="E11" s="5"/>
      <c r="F11" s="5"/>
      <c r="G11" s="5"/>
    </row>
    <row r="12" spans="1:7">
      <c r="B12" s="4"/>
      <c r="C12" s="5"/>
      <c r="D12" s="5"/>
      <c r="E12" s="5"/>
      <c r="F12" s="5"/>
      <c r="G12" s="5"/>
    </row>
    <row r="13" spans="1:7">
      <c r="B13" s="12" t="s">
        <v>131</v>
      </c>
      <c r="C13" s="12" t="s">
        <v>132</v>
      </c>
      <c r="D13" s="12" t="s">
        <v>133</v>
      </c>
      <c r="E13" s="12" t="s">
        <v>134</v>
      </c>
      <c r="F13" s="12" t="s">
        <v>135</v>
      </c>
      <c r="G13" s="12" t="s">
        <v>136</v>
      </c>
    </row>
    <row r="14" spans="1:7">
      <c r="B14" s="22" t="s">
        <v>15</v>
      </c>
      <c r="C14" s="23">
        <v>44973</v>
      </c>
      <c r="D14" s="24" t="s">
        <v>137</v>
      </c>
      <c r="E14" s="22" t="s">
        <v>138</v>
      </c>
      <c r="F14" s="24" t="s">
        <v>139</v>
      </c>
      <c r="G14" s="22" t="s">
        <v>140</v>
      </c>
    </row>
    <row r="15" spans="1:7" ht="25.5">
      <c r="B15" s="22" t="s">
        <v>141</v>
      </c>
      <c r="C15" s="25">
        <v>45077</v>
      </c>
      <c r="D15" s="26" t="s">
        <v>142</v>
      </c>
      <c r="E15" s="26" t="s">
        <v>143</v>
      </c>
      <c r="F15" s="24" t="s">
        <v>139</v>
      </c>
      <c r="G15" s="22" t="s">
        <v>140</v>
      </c>
    </row>
    <row r="16" spans="1:7">
      <c r="B16" s="26"/>
      <c r="C16" s="26"/>
      <c r="D16" s="26"/>
      <c r="E16" s="26"/>
      <c r="F16" s="26"/>
      <c r="G16" s="26"/>
    </row>
  </sheetData>
  <mergeCells count="1">
    <mergeCell ref="B3:G3"/>
  </mergeCells>
  <phoneticPr fontId="17" type="noConversion"/>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H22"/>
  <sheetViews>
    <sheetView workbookViewId="0">
      <selection activeCell="H23" sqref="H23"/>
    </sheetView>
  </sheetViews>
  <sheetFormatPr defaultColWidth="11.42578125" defaultRowHeight="12.75"/>
  <cols>
    <col min="1" max="1" width="11.42578125" style="7"/>
    <col min="2" max="3" width="19.7109375" style="7" customWidth="1"/>
    <col min="4" max="4" width="21.5703125" style="7" customWidth="1"/>
    <col min="5" max="5" width="11.42578125" style="7"/>
    <col min="6" max="6" width="16.140625" style="7" customWidth="1"/>
    <col min="7" max="16384" width="11.42578125" style="7"/>
  </cols>
  <sheetData>
    <row r="2" spans="2:8" ht="25.5">
      <c r="B2" s="8" t="s">
        <v>19</v>
      </c>
      <c r="C2" s="8" t="s">
        <v>144</v>
      </c>
      <c r="D2" s="8" t="s">
        <v>23</v>
      </c>
      <c r="E2" s="8" t="s">
        <v>145</v>
      </c>
      <c r="F2" s="8" t="s">
        <v>28</v>
      </c>
      <c r="G2" s="8" t="s">
        <v>146</v>
      </c>
      <c r="H2" s="8" t="s">
        <v>20</v>
      </c>
    </row>
    <row r="3" spans="2:8">
      <c r="B3" s="7" t="s">
        <v>40</v>
      </c>
      <c r="C3" s="7" t="s">
        <v>42</v>
      </c>
      <c r="D3" s="7" t="s">
        <v>147</v>
      </c>
      <c r="E3" s="7" t="s">
        <v>148</v>
      </c>
      <c r="F3" s="7" t="s">
        <v>49</v>
      </c>
      <c r="G3" s="7" t="s">
        <v>47</v>
      </c>
      <c r="H3" s="7" t="s">
        <v>149</v>
      </c>
    </row>
    <row r="4" spans="2:8" ht="25.5">
      <c r="B4" s="7" t="s">
        <v>150</v>
      </c>
      <c r="C4" s="7" t="s">
        <v>151</v>
      </c>
      <c r="D4" s="7" t="s">
        <v>44</v>
      </c>
      <c r="E4" s="7" t="s">
        <v>152</v>
      </c>
      <c r="F4" s="7" t="s">
        <v>153</v>
      </c>
      <c r="G4" s="7" t="s">
        <v>154</v>
      </c>
      <c r="H4" s="7" t="s">
        <v>155</v>
      </c>
    </row>
    <row r="5" spans="2:8" ht="25.5">
      <c r="B5" s="7" t="s">
        <v>156</v>
      </c>
      <c r="C5" s="7" t="s">
        <v>157</v>
      </c>
      <c r="D5" s="7" t="s">
        <v>158</v>
      </c>
      <c r="E5" s="7" t="s">
        <v>159</v>
      </c>
      <c r="H5" s="7" t="s">
        <v>160</v>
      </c>
    </row>
    <row r="6" spans="2:8">
      <c r="B6" s="7" t="s">
        <v>161</v>
      </c>
      <c r="C6" s="7" t="s">
        <v>162</v>
      </c>
      <c r="D6" s="7" t="s">
        <v>163</v>
      </c>
      <c r="H6" s="7" t="s">
        <v>164</v>
      </c>
    </row>
    <row r="7" spans="2:8">
      <c r="B7" s="7" t="s">
        <v>165</v>
      </c>
      <c r="C7" s="7" t="s">
        <v>166</v>
      </c>
      <c r="D7" s="7" t="s">
        <v>167</v>
      </c>
      <c r="H7" s="7" t="s">
        <v>168</v>
      </c>
    </row>
    <row r="8" spans="2:8">
      <c r="B8" s="7" t="s">
        <v>169</v>
      </c>
      <c r="D8" s="7" t="s">
        <v>170</v>
      </c>
      <c r="H8" s="7" t="s">
        <v>171</v>
      </c>
    </row>
    <row r="9" spans="2:8" ht="25.5">
      <c r="D9" s="7" t="s">
        <v>172</v>
      </c>
      <c r="H9" s="7" t="s">
        <v>173</v>
      </c>
    </row>
    <row r="10" spans="2:8">
      <c r="H10" s="7" t="s">
        <v>174</v>
      </c>
    </row>
    <row r="11" spans="2:8">
      <c r="H11" s="7" t="s">
        <v>175</v>
      </c>
    </row>
    <row r="13" spans="2:8">
      <c r="H13" s="7" t="s">
        <v>176</v>
      </c>
    </row>
    <row r="14" spans="2:8">
      <c r="H14" s="7" t="s">
        <v>177</v>
      </c>
    </row>
    <row r="15" spans="2:8" ht="25.5">
      <c r="H15" s="7" t="s">
        <v>41</v>
      </c>
    </row>
    <row r="16" spans="2:8" ht="38.25">
      <c r="H16" s="7" t="s">
        <v>178</v>
      </c>
    </row>
    <row r="17" spans="8:8" ht="25.5">
      <c r="H17" s="7" t="s">
        <v>179</v>
      </c>
    </row>
    <row r="18" spans="8:8">
      <c r="H18" s="7" t="s">
        <v>180</v>
      </c>
    </row>
    <row r="19" spans="8:8">
      <c r="H19" s="7" t="s">
        <v>181</v>
      </c>
    </row>
    <row r="21" spans="8:8">
      <c r="H21" s="7" t="s">
        <v>182</v>
      </c>
    </row>
    <row r="22" spans="8:8" ht="38.25">
      <c r="H22" s="7" t="s">
        <v>183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SharedWithUsers xmlns="43b908ec-9e92-424c-a4ad-3174bac6e888">
      <UserInfo>
        <DisplayName/>
        <AccountId xsi:nil="true"/>
        <AccountType/>
      </UserInfo>
    </SharedWithUsers>
    <lcf76f155ced4ddcb4097134ff3c332f xmlns="5f2f9e80-f74a-40c7-b145-b94d8e4966f0">
      <Terms xmlns="http://schemas.microsoft.com/office/infopath/2007/PartnerControls"/>
    </lcf76f155ced4ddcb4097134ff3c332f>
    <MediaLengthInSeconds xmlns="5f2f9e80-f74a-40c7-b145-b94d8e4966f0" xsi:nil="true"/>
  </documentManagement>
</p:properties>
</file>

<file path=customXml/itemProps1.xml><?xml version="1.0" encoding="utf-8"?>
<ds:datastoreItem xmlns:ds="http://schemas.openxmlformats.org/officeDocument/2006/customXml" ds:itemID="{9B578C1D-2C2A-4961-BA18-9D63FA71DFD0}"/>
</file>

<file path=customXml/itemProps2.xml><?xml version="1.0" encoding="utf-8"?>
<ds:datastoreItem xmlns:ds="http://schemas.openxmlformats.org/officeDocument/2006/customXml" ds:itemID="{431C8B5B-7A06-4686-9F8A-E8F24EECD8B3}"/>
</file>

<file path=customXml/itemProps3.xml><?xml version="1.0" encoding="utf-8"?>
<ds:datastoreItem xmlns:ds="http://schemas.openxmlformats.org/officeDocument/2006/customXml" ds:itemID="{85503822-DF13-4051-A489-72B75648E37A}"/>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2024-07-26T10:37:04Z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ies>
</file>