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2"/>
  <workbookPr/>
  <mc:AlternateContent xmlns:mc="http://schemas.openxmlformats.org/markup-compatibility/2006">
    <mc:Choice Requires="x15">
      <x15ac:absPath xmlns:x15ac="http://schemas.microsoft.com/office/spreadsheetml/2010/11/ac" url="https://momsoftware.sharepoint.com/sites/Commercial/Documents partages/06 Prospects/058 BKFOOD/22 Projet Identification PF/2 Préparation Offre/"/>
    </mc:Choice>
  </mc:AlternateContent>
  <xr:revisionPtr revIDLastSave="48" documentId="8_{E91A9D94-9FAD-4B45-8F88-16DA6064F354}" xr6:coauthVersionLast="47" xr6:coauthVersionMax="47" xr10:uidLastSave="{36AE81A3-4B6F-4723-9D2C-2BD7EDEC5BF4}"/>
  <bookViews>
    <workbookView xWindow="-110" yWindow="-110" windowWidth="19420" windowHeight="10300" tabRatio="620" xr2:uid="{00000000-000D-0000-FFFF-FFFF00000000}"/>
  </bookViews>
  <sheets>
    <sheet name="Gestion Exigences" sheetId="27" r:id="rId1"/>
    <sheet name="Modifs Doc" sheetId="29" r:id="rId2"/>
    <sheet name="Params" sheetId="30" r:id="rId3"/>
  </sheets>
  <definedNames>
    <definedName name="_xlnm.Print_Area" localSheetId="0">'Gestion Exigences'!$D$2:$J$23</definedName>
    <definedName name="_xlnm.Print_Area" localSheetId="1">'Modifs Doc'!$B$2:$G$17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0" i="27" l="1"/>
  <c r="O21" i="27"/>
  <c r="P20" i="27"/>
  <c r="Q20" i="27" s="1"/>
  <c r="P19" i="27"/>
  <c r="Q19" i="27" s="1"/>
  <c r="P18" i="27"/>
  <c r="Q18" i="27" s="1"/>
  <c r="P22" i="27"/>
  <c r="Q22" i="27" s="1"/>
  <c r="P17" i="27"/>
  <c r="Q17" i="27" s="1"/>
  <c r="P23" i="27"/>
  <c r="Q23" i="27" s="1"/>
  <c r="P21" i="27" l="1"/>
  <c r="Q21" i="27" s="1"/>
  <c r="O24" i="27"/>
  <c r="P16" i="27" l="1"/>
  <c r="Q16" i="27" s="1"/>
  <c r="P15" i="27"/>
  <c r="Q15" i="27" s="1"/>
  <c r="D8" i="29" l="1"/>
  <c r="D9" i="29"/>
  <c r="B6" i="29"/>
  <c r="D6" i="29"/>
  <c r="B7" i="29"/>
  <c r="D7" i="29"/>
  <c r="B8" i="29"/>
  <c r="B9" i="29"/>
  <c r="B11" i="29"/>
  <c r="D5" i="29"/>
  <c r="B5" i="29"/>
  <c r="P24" i="27" l="1"/>
  <c r="Q24" i="27" l="1"/>
</calcChain>
</file>

<file path=xl/sharedStrings.xml><?xml version="1.0" encoding="utf-8"?>
<sst xmlns="http://schemas.openxmlformats.org/spreadsheetml/2006/main" count="221" uniqueCount="139">
  <si>
    <t>Gestion Exigences Projet</t>
  </si>
  <si>
    <t>Chiffrage Réalisation/Analyse/Test</t>
  </si>
  <si>
    <t>Revue et Vérification Pendant la Conception</t>
  </si>
  <si>
    <t>BU</t>
  </si>
  <si>
    <t xml:space="preserve">SF </t>
  </si>
  <si>
    <t>Client</t>
  </si>
  <si>
    <t>BKFOOD</t>
  </si>
  <si>
    <t>Projet</t>
  </si>
  <si>
    <t>Projet Identification PF</t>
  </si>
  <si>
    <t>Confidentiel | Usage Client Limité</t>
  </si>
  <si>
    <t>Réf BPA du Devis</t>
  </si>
  <si>
    <t>TBC</t>
  </si>
  <si>
    <t>Réf BPA du Projet</t>
  </si>
  <si>
    <t>MD203:V1.1</t>
  </si>
  <si>
    <t>Id exigence</t>
  </si>
  <si>
    <t>Objectif client</t>
  </si>
  <si>
    <t>Intitulé Exigence</t>
  </si>
  <si>
    <t>Nature</t>
  </si>
  <si>
    <t>Catégorie</t>
  </si>
  <si>
    <t>Exigence idenfiée pendant la phase</t>
  </si>
  <si>
    <t>Description de l'exigence</t>
  </si>
  <si>
    <t>Source</t>
  </si>
  <si>
    <t>Desciption de la solution MOMSOFT</t>
  </si>
  <si>
    <t>Ecart entre exigence client et la solution proposée - préciser aussi les limites et hypothèses si applicable</t>
  </si>
  <si>
    <t>Validation Interne</t>
  </si>
  <si>
    <t>Validation Interne par:</t>
  </si>
  <si>
    <t>Statut Client</t>
  </si>
  <si>
    <t>HJ Dev</t>
  </si>
  <si>
    <t>HJ Analyse et Test</t>
  </si>
  <si>
    <t>Total HJ</t>
  </si>
  <si>
    <t>Description comment la conception de la solution prend en compte l'exigence client</t>
  </si>
  <si>
    <t>Conception réalisée par:</t>
  </si>
  <si>
    <t>Revue conception réalisée par</t>
  </si>
  <si>
    <t>Vérification de la conception réalisée par</t>
  </si>
  <si>
    <t xml:space="preserve">Preuve de vérification </t>
  </si>
  <si>
    <t>Notes</t>
  </si>
  <si>
    <t>E001</t>
  </si>
  <si>
    <t>Configuration des données</t>
  </si>
  <si>
    <t>SF-Fonctionnelle</t>
  </si>
  <si>
    <t>Commerciale</t>
  </si>
  <si>
    <t>Workshop/réunion client</t>
  </si>
  <si>
    <t>Configuration complète et gestion d'usine</t>
  </si>
  <si>
    <t>Standard</t>
  </si>
  <si>
    <t>La solution propose un module "Configuration" permettant la modélisation, la gestion et la planification d'une usine connectée :
*Modélisation hiérarchique de l'usine : sites, ateliers, lignes, postes, machines
*Gestion des produits
*Gestion des incidents et des défauts
*Gestion des utilisateurs et des autorisations : rôles et accès contrôlés
*Gestion des équipes
*Planification des lignes et des équipes</t>
  </si>
  <si>
    <t>RAS</t>
  </si>
  <si>
    <t>Validée</t>
  </si>
  <si>
    <t>Mahdi B.</t>
  </si>
  <si>
    <t>Validée par le client</t>
  </si>
  <si>
    <t>E002</t>
  </si>
  <si>
    <t>Chargement des données à partir des fichiers CSV</t>
  </si>
  <si>
    <t>Chargement automatisé des données dans la solution</t>
  </si>
  <si>
    <t>La solution comprend un module « Intégration » pour l'intégration automatisée des données : importation automatique des données à partir de fichiers CSV . Elle prend en charge les entités utilisateur, produit, gammes de contrôle, gammes opératoire, nomrnclature et outillage, avec une gestion détaillée des erreurs pour l'intégration.</t>
  </si>
  <si>
    <t>E003</t>
  </si>
  <si>
    <t>Génération automatique des codes-barres des boîtiers</t>
  </si>
  <si>
    <t>Permettre la génération aléatoire des codes-barres des boîtiers.</t>
  </si>
  <si>
    <t>Adaptation</t>
  </si>
  <si>
    <t>La solution propose une fonctionnalité de génération de codes-barres aléatoires, propres à chaque boîtier.</t>
  </si>
  <si>
    <t>E004</t>
  </si>
  <si>
    <t>Gestion de l'impression des codes à barres</t>
  </si>
  <si>
    <t>Permettre la gestion contrôle du code à barres pour chaque boitier</t>
  </si>
  <si>
    <t>La solution propose une interface permettant aux utilisateurs de :
- Définir le produit et l’OF à exécuter.
- Définir l’utilisateur qui exécutera la production.
- Définir la machine correspondante à la production.
- Définir la quantité de code à barres nécessaires.
- Commander le début, la pause et la fin de l’impression.</t>
  </si>
  <si>
    <t>E005</t>
  </si>
  <si>
    <t>Envoi des codes-barres de Smart Factory vers l’imprimante</t>
  </si>
  <si>
    <t>SF-Connectivité Machine</t>
  </si>
  <si>
    <t>Permetre l'envoi des codes-barres de Smart Factory vers l’imprimante</t>
  </si>
  <si>
    <t>Mettre en place un pipeline d’interfaçage avec l’imprimante pour envoyer les codes-barres à imprimer.</t>
  </si>
  <si>
    <t>E006</t>
  </si>
  <si>
    <t>Récupération des codes-barres scannés depuis la caméra</t>
  </si>
  <si>
    <t>Permettre la récupération des codes-barres scannés depuis la caméra pour vérification et traitement.</t>
  </si>
  <si>
    <t>La solution doit permettre la récupération des codes-barres scannés depuis la caméra pour vérification et traitement.</t>
  </si>
  <si>
    <t>E007</t>
  </si>
  <si>
    <t>Intégration des OF depuis SAGE X3</t>
  </si>
  <si>
    <t>Contrôle code à barres Boitier</t>
  </si>
  <si>
    <t>Permettre le contrôle du code à barres pour chaque boitier</t>
  </si>
  <si>
    <t>La solution propose une interface qui permet aux utilisateurs de 
- Scanner le code à barres de chaque boitier
- Vérifier les codes-barres scannés par la caméra :
*Si le code-barres n’existe pas dans la base de données, afficher le message : « Code à barres inexistant ».
*Si le code-barres n’a pas été scanné correctement ou est illisible, afficher le message : « Code à barres illisible ».
*Si le code-barres a déjà été utilisé pour un autre boîtier, afficher le message : « Code à barres déjà utilisé ».
- Mettre à jour le statut de chaque code à barres en fonction du contrôle qualité</t>
  </si>
  <si>
    <t>E008</t>
  </si>
  <si>
    <t>Rapport Contrôle Boitier</t>
  </si>
  <si>
    <t>Extraire un rapport des Codes à barres scannés et des codes à barres non scannés</t>
  </si>
  <si>
    <t xml:space="preserve">La solution propose une interface qui permet aux utilisateurs  de visualiser et d'exporter  les codes à barre déjà utilisés et de les exporter sous format Excel.
</t>
  </si>
  <si>
    <t>E009</t>
  </si>
  <si>
    <t>Envoi des codes-barres validés vers le portail client</t>
  </si>
  <si>
    <t>SF-Intégration SI</t>
  </si>
  <si>
    <t>Ajout d’une API permettant l’envoi automatique des codes-barres validés (contrôle OK) depuis Smart Factory vers le portail client.</t>
  </si>
  <si>
    <t>Ajout d’une API permettant d’envoyer les codes-barres validés (contrôle OK) depuis Smart Factory vers le portail client.</t>
  </si>
  <si>
    <t xml:space="preserve"> </t>
  </si>
  <si>
    <t>Version</t>
  </si>
  <si>
    <t>Date</t>
  </si>
  <si>
    <t>Modifications</t>
  </si>
  <si>
    <t>Auteur(s)</t>
  </si>
  <si>
    <t>Vérificateur(s)</t>
  </si>
  <si>
    <t>Approbateur</t>
  </si>
  <si>
    <t>V1.0</t>
  </si>
  <si>
    <t>Version initiale</t>
  </si>
  <si>
    <t>Moatez D.</t>
  </si>
  <si>
    <t>N/A</t>
  </si>
  <si>
    <t>Overhead Analyse</t>
  </si>
  <si>
    <t>Overhead Test</t>
  </si>
  <si>
    <t>Objectifs client</t>
  </si>
  <si>
    <t>Exigence identifiée pendant la phase</t>
  </si>
  <si>
    <t>Oui/Non</t>
  </si>
  <si>
    <t>Statut Interne</t>
  </si>
  <si>
    <t>A liste dans params</t>
  </si>
  <si>
    <t>Fonctionnelle</t>
  </si>
  <si>
    <t>CdC client</t>
  </si>
  <si>
    <t>Oui</t>
  </si>
  <si>
    <t>*** SF</t>
  </si>
  <si>
    <t>gestion des opérateurs et de plannification</t>
  </si>
  <si>
    <t>Services</t>
  </si>
  <si>
    <t>Performance</t>
  </si>
  <si>
    <t>Conception</t>
  </si>
  <si>
    <t>Non</t>
  </si>
  <si>
    <t>Non validée par client</t>
  </si>
  <si>
    <t>Non validée</t>
  </si>
  <si>
    <t>SF-Processus</t>
  </si>
  <si>
    <t>Détection automatique de la production</t>
  </si>
  <si>
    <t>A définir</t>
  </si>
  <si>
    <t>Reglementaire</t>
  </si>
  <si>
    <t>Réalisation</t>
  </si>
  <si>
    <t>Workshop/réunion Interne</t>
  </si>
  <si>
    <t>Exportation des données de production</t>
  </si>
  <si>
    <t>Sécurité</t>
  </si>
  <si>
    <t>Mise en œuvre</t>
  </si>
  <si>
    <t>Standards client</t>
  </si>
  <si>
    <t>Suivi de rendement en temps réel</t>
  </si>
  <si>
    <t>Standard Client</t>
  </si>
  <si>
    <t>Support et maintenance</t>
  </si>
  <si>
    <t>Standards MOMSOFT</t>
  </si>
  <si>
    <t xml:space="preserve">Chargement des OF planifiés à partir de l'ERP </t>
  </si>
  <si>
    <t>Standard MOMSOFT</t>
  </si>
  <si>
    <t>Reglementation</t>
  </si>
  <si>
    <t>SF-Software</t>
  </si>
  <si>
    <t>Gestion et suivi  des ordres de fabrications</t>
  </si>
  <si>
    <t>Demande modification</t>
  </si>
  <si>
    <t>SF-Infra IT</t>
  </si>
  <si>
    <t>Gestion et suivi de la production</t>
  </si>
  <si>
    <t>Gestion de la consommation des ordres de fabrications</t>
  </si>
  <si>
    <t>*** Services</t>
  </si>
  <si>
    <t>Suivi  de la consommation des ordres de fabrications</t>
  </si>
  <si>
    <t>Prestations sur site client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</si>
</sst>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0"/>
      <name val="Arial"/>
    </font>
    <font>
      <sz val="10"/>
      <name val="Calibri Light"/>
      <family val="2"/>
      <scheme val="major"/>
    </font>
    <font>
      <sz val="8"/>
      <name val="Arial"/>
      <family val="2"/>
    </font>
    <font>
      <sz val="11"/>
      <name val="Calibri Light"/>
      <family val="2"/>
      <scheme val="major"/>
    </font>
    <font>
      <b/>
      <sz val="14"/>
      <name val="Calibri Light"/>
      <family val="2"/>
      <scheme val="major"/>
    </font>
    <font>
      <b/>
      <sz val="11"/>
      <name val="Calibri Light"/>
      <family val="2"/>
      <scheme val="major"/>
    </font>
    <font>
      <b/>
      <sz val="11"/>
      <name val="Calibri Light"/>
      <family val="2"/>
    </font>
    <font>
      <sz val="11"/>
      <name val="Arial"/>
      <family val="2"/>
    </font>
    <font>
      <sz val="10"/>
      <color theme="1"/>
      <name val="Calibri Light"/>
      <family val="2"/>
      <scheme val="major"/>
    </font>
    <font>
      <b/>
      <sz val="10"/>
      <name val="Calibri Light"/>
      <family val="2"/>
      <scheme val="major"/>
    </font>
    <font>
      <b/>
      <sz val="14"/>
      <color theme="0"/>
      <name val="Calibri Light"/>
      <family val="2"/>
      <scheme val="major"/>
    </font>
    <font>
      <sz val="8"/>
      <name val="Calibri Light"/>
      <family val="2"/>
      <scheme val="major"/>
    </font>
    <font>
      <b/>
      <sz val="10"/>
      <color rgb="FFFF0000"/>
      <name val="Calibri Light"/>
      <family val="2"/>
      <scheme val="major"/>
    </font>
    <font>
      <sz val="4"/>
      <name val="Calibri Light"/>
      <family val="2"/>
      <scheme val="major"/>
    </font>
    <font>
      <sz val="10"/>
      <color theme="0"/>
      <name val="Calibri Light"/>
      <family val="2"/>
      <scheme val="major"/>
    </font>
    <font>
      <b/>
      <sz val="12"/>
      <color theme="0"/>
      <name val="Calibri Light"/>
      <family val="2"/>
    </font>
    <font>
      <b/>
      <sz val="11"/>
      <color theme="0"/>
      <name val="Calibri Light"/>
      <family val="2"/>
    </font>
    <font>
      <b/>
      <sz val="10"/>
      <color theme="0"/>
      <name val="Calibri Light"/>
      <family val="2"/>
      <scheme val="major"/>
    </font>
    <font>
      <sz val="10"/>
      <name val="Calibri Light"/>
      <family val="2"/>
    </font>
    <font>
      <sz val="3"/>
      <name val="Calibri Light"/>
      <family val="2"/>
    </font>
    <font>
      <sz val="8"/>
      <name val="Arial"/>
    </font>
  </fonts>
  <fills count="6">
    <fill>
      <patternFill patternType="none"/>
    </fill>
    <fill>
      <patternFill patternType="gray125"/>
    </fill>
    <fill>
      <patternFill patternType="solid">
        <fgColor rgb="FF00E0B1"/>
        <bgColor indexed="64"/>
      </patternFill>
    </fill>
    <fill>
      <patternFill patternType="solid">
        <fgColor rgb="FF00425A"/>
        <bgColor indexed="64"/>
      </patternFill>
    </fill>
    <fill>
      <patternFill patternType="solid">
        <fgColor rgb="FF00B8FF"/>
        <bgColor indexed="64"/>
      </patternFill>
    </fill>
    <fill>
      <patternFill patternType="solid">
        <fgColor rgb="FFFF7F0B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rgb="FF00425A"/>
      </left>
      <right/>
      <top style="medium">
        <color rgb="FF00425A"/>
      </top>
      <bottom style="medium">
        <color indexed="64"/>
      </bottom>
      <diagonal/>
    </border>
    <border>
      <left/>
      <right/>
      <top style="medium">
        <color rgb="FF00425A"/>
      </top>
      <bottom style="medium">
        <color indexed="64"/>
      </bottom>
      <diagonal/>
    </border>
    <border>
      <left/>
      <right style="medium">
        <color rgb="FF00425A"/>
      </right>
      <top style="medium">
        <color rgb="FF00425A"/>
      </top>
      <bottom style="medium">
        <color indexed="64"/>
      </bottom>
      <diagonal/>
    </border>
    <border>
      <left style="medium">
        <color rgb="FF00425A"/>
      </left>
      <right/>
      <top/>
      <bottom/>
      <diagonal/>
    </border>
    <border>
      <left/>
      <right style="medium">
        <color rgb="FF00425A"/>
      </right>
      <top/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horizontal="left" vertical="center" wrapText="1"/>
    </xf>
    <xf numFmtId="0" fontId="7" fillId="0" borderId="0" xfId="0" applyFont="1" applyAlignment="1">
      <alignment wrapText="1"/>
    </xf>
    <xf numFmtId="0" fontId="1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6" fillId="0" borderId="0" xfId="0" applyFont="1" applyAlignment="1">
      <alignment horizontal="left" vertical="center"/>
    </xf>
    <xf numFmtId="0" fontId="8" fillId="0" borderId="0" xfId="0" applyFont="1" applyAlignment="1">
      <alignment wrapText="1"/>
    </xf>
    <xf numFmtId="0" fontId="8" fillId="0" borderId="0" xfId="0" applyFont="1" applyAlignment="1">
      <alignment vertical="center" wrapText="1"/>
    </xf>
    <xf numFmtId="0" fontId="14" fillId="2" borderId="2" xfId="0" applyFont="1" applyFill="1" applyBorder="1" applyAlignment="1">
      <alignment vertical="center" wrapText="1"/>
    </xf>
    <xf numFmtId="0" fontId="14" fillId="2" borderId="3" xfId="0" applyFont="1" applyFill="1" applyBorder="1" applyAlignment="1">
      <alignment vertical="center" wrapText="1"/>
    </xf>
    <xf numFmtId="0" fontId="16" fillId="2" borderId="0" xfId="0" applyFont="1" applyFill="1" applyAlignment="1">
      <alignment horizontal="center" vertical="center" wrapText="1"/>
    </xf>
    <xf numFmtId="0" fontId="18" fillId="0" borderId="0" xfId="0" applyFont="1" applyAlignment="1">
      <alignment vertical="center" wrapText="1"/>
    </xf>
    <xf numFmtId="14" fontId="18" fillId="0" borderId="0" xfId="0" applyNumberFormat="1" applyFont="1" applyAlignment="1">
      <alignment vertical="center" wrapText="1"/>
    </xf>
    <xf numFmtId="14" fontId="1" fillId="0" borderId="0" xfId="0" applyNumberFormat="1" applyFont="1" applyAlignment="1">
      <alignment wrapText="1"/>
    </xf>
    <xf numFmtId="0" fontId="17" fillId="2" borderId="0" xfId="0" applyFont="1" applyFill="1" applyAlignment="1">
      <alignment vertical="center" wrapText="1"/>
    </xf>
    <xf numFmtId="0" fontId="14" fillId="2" borderId="1" xfId="0" applyFont="1" applyFill="1" applyBorder="1" applyAlignment="1">
      <alignment vertical="center"/>
    </xf>
    <xf numFmtId="0" fontId="14" fillId="2" borderId="2" xfId="0" applyFont="1" applyFill="1" applyBorder="1" applyAlignment="1">
      <alignment vertical="center"/>
    </xf>
    <xf numFmtId="9" fontId="1" fillId="0" borderId="0" xfId="0" applyNumberFormat="1" applyFont="1" applyAlignment="1">
      <alignment vertical="center" wrapText="1"/>
    </xf>
    <xf numFmtId="0" fontId="1" fillId="0" borderId="0" xfId="0" applyFont="1" applyAlignment="1">
      <alignment vertical="center"/>
    </xf>
    <xf numFmtId="0" fontId="19" fillId="0" borderId="0" xfId="0" applyFont="1" applyAlignment="1">
      <alignment horizontal="left" vertical="center"/>
    </xf>
    <xf numFmtId="0" fontId="14" fillId="4" borderId="4" xfId="0" applyFont="1" applyFill="1" applyBorder="1" applyAlignment="1">
      <alignment vertical="center" wrapText="1"/>
    </xf>
    <xf numFmtId="0" fontId="14" fillId="5" borderId="5" xfId="0" applyFont="1" applyFill="1" applyBorder="1" applyAlignment="1">
      <alignment vertical="center" wrapText="1"/>
    </xf>
    <xf numFmtId="0" fontId="14" fillId="5" borderId="6" xfId="0" applyFont="1" applyFill="1" applyBorder="1" applyAlignment="1">
      <alignment vertical="center" wrapText="1"/>
    </xf>
    <xf numFmtId="0" fontId="14" fillId="5" borderId="7" xfId="0" applyFont="1" applyFill="1" applyBorder="1" applyAlignment="1">
      <alignment vertical="center" wrapText="1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0" fontId="5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12" fillId="0" borderId="0" xfId="0" applyFont="1" applyAlignment="1">
      <alignment vertical="center" wrapText="1"/>
    </xf>
    <xf numFmtId="0" fontId="5" fillId="0" borderId="0" xfId="0" applyFont="1" applyAlignment="1">
      <alignment horizontal="left" vertical="center" wrapText="1"/>
    </xf>
    <xf numFmtId="0" fontId="13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0" fillId="5" borderId="2" xfId="0" applyFont="1" applyFill="1" applyBorder="1" applyAlignment="1">
      <alignment horizontal="center" vertical="center" wrapText="1"/>
    </xf>
    <xf numFmtId="0" fontId="10" fillId="5" borderId="3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 wrapText="1"/>
    </xf>
    <xf numFmtId="0" fontId="15" fillId="3" borderId="2" xfId="0" applyFont="1" applyFill="1" applyBorder="1" applyAlignment="1">
      <alignment horizontal="center" vertical="center" wrapText="1"/>
    </xf>
    <xf numFmtId="0" fontId="15" fillId="3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5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 Light"/>
        <family val="2"/>
        <scheme val="none"/>
      </font>
      <fill>
        <patternFill patternType="solid">
          <fgColor indexed="64"/>
          <bgColor rgb="FF00E0B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  <border diagonalUp="0" diagonalDown="0" outline="0">
        <left/>
        <right style="medium">
          <color rgb="FF00425A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  <border diagonalUp="0" diagonalDown="0" outline="0">
        <left style="medium">
          <color rgb="FF00425A"/>
        </left>
        <right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alignment horizontal="general" vertical="center" textRotation="0" wrapText="1" indent="0" justifyLastLine="0" shrinkToFit="0" readingOrder="0"/>
      <border diagonalUp="0" diagonalDown="0" outline="0">
        <left/>
        <right style="medium">
          <color rgb="FF00425A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  <border diagonalUp="0" diagonalDown="0" outline="0">
        <left style="medium">
          <color rgb="FF00425A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0"/>
        <name val="Calibri Light"/>
        <family val="2"/>
        <scheme val="major"/>
      </font>
      <fill>
        <patternFill>
          <fgColor indexed="64"/>
          <bgColor rgb="FF00E0B1"/>
        </patternFill>
      </fill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00425A"/>
      <color rgb="FF00E0B1"/>
      <color rgb="FFFF7F0B"/>
      <color rgb="FF00B8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62754</xdr:colOff>
      <xdr:row>2</xdr:row>
      <xdr:rowOff>188259</xdr:rowOff>
    </xdr:from>
    <xdr:to>
      <xdr:col>3</xdr:col>
      <xdr:colOff>236251</xdr:colOff>
      <xdr:row>2</xdr:row>
      <xdr:rowOff>810503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B796DF62-C2DE-4317-5F4D-42BBC15773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1648" y="645459"/>
          <a:ext cx="1712258" cy="6222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DEA2C8B-EE0D-4C55-9256-CCC64E002CE6}" name="Tableau3" displayName="Tableau3" ref="B14:W24" totalsRowCount="1" headerRowDxfId="54" dataDxfId="53" totalsRowDxfId="52">
  <tableColumns count="22">
    <tableColumn id="1" xr3:uid="{E467E0EE-CDAA-4FF5-85A8-CDC0B23A5AD9}" name="Id exigence" dataDxfId="50" totalsRowDxfId="51"/>
    <tableColumn id="23" xr3:uid="{DB65C818-8EF5-4DCC-9DA7-4CD05A291796}" name="Objectif client" dataDxfId="48" totalsRowDxfId="49"/>
    <tableColumn id="2" xr3:uid="{E53952AC-4972-47BD-8B1D-C7EF23088D0D}" name="Intitulé Exigence" dataDxfId="46" totalsRowDxfId="47"/>
    <tableColumn id="8" xr3:uid="{B2D0BC2C-C803-4015-8FA6-70F84517BDB2}" name="Nature" dataDxfId="44" totalsRowDxfId="45"/>
    <tableColumn id="7" xr3:uid="{24F2F0ED-022E-4EC1-91D8-BFE0E4F2FD36}" name="Catégorie" dataDxfId="42" totalsRowDxfId="43"/>
    <tableColumn id="10" xr3:uid="{1FF81CF1-6D35-421C-8767-9E7FA06FEE6A}" name="Exigence idenfiée pendant la phase" dataDxfId="40" totalsRowDxfId="41"/>
    <tableColumn id="3" xr3:uid="{E7621A68-9552-4853-96A5-92A226EA42DD}" name="Description de l'exigence" dataDxfId="38" totalsRowDxfId="39"/>
    <tableColumn id="9" xr3:uid="{E6EEEC82-3576-4980-94B3-1423906CE531}" name="Source" dataDxfId="36" totalsRowDxfId="37"/>
    <tableColumn id="16" xr3:uid="{1441554A-79F9-4040-9CF5-AEBFF7ADF7D1}" name="Desciption de la solution MOMSOFT" dataDxfId="34" totalsRowDxfId="35"/>
    <tableColumn id="17" xr3:uid="{D1BC9C86-C3CE-417F-AC83-FC4786A7656D}" name="Ecart entre exigence client et la solution proposée - préciser aussi les limites et hypothèses si applicable" dataDxfId="32" totalsRowDxfId="33"/>
    <tableColumn id="5" xr3:uid="{2649C3B7-E8B9-44F9-8883-E5BB6F91B4B1}" name="Validation Interne" dataDxfId="30" totalsRowDxfId="31"/>
    <tableColumn id="6" xr3:uid="{8CC493F8-0886-498D-AB98-B77300CC6510}" name="Validation Interne par:" dataDxfId="28" totalsRowDxfId="29"/>
    <tableColumn id="15" xr3:uid="{78231C60-0932-4386-925D-4C689A91C0E3}" name="Statut Client" dataDxfId="26" totalsRowDxfId="27"/>
    <tableColumn id="22" xr3:uid="{D944A0FD-E468-407F-91A6-BD8A29086A7B}" name="HJ Dev" totalsRowFunction="sum" dataDxfId="24" totalsRowDxfId="25"/>
    <tableColumn id="21" xr3:uid="{818C68C5-1CC3-4DC9-9BB8-2CB7816ABE9F}" name="HJ Analyse et Test" totalsRowFunction="sum" dataDxfId="22" totalsRowDxfId="23">
      <calculatedColumnFormula>Tableau3[[#This Row],[HJ Dev]]*(25%+25%)</calculatedColumnFormula>
    </tableColumn>
    <tableColumn id="20" xr3:uid="{81CB5860-4285-4425-ABF9-C91F3323BF25}" name="Total HJ" totalsRowFunction="sum" dataDxfId="20" totalsRowDxfId="21">
      <calculatedColumnFormula>Tableau3[[#This Row],[HJ Analyse et Test]]+Tableau3[[#This Row],[HJ Dev]]</calculatedColumnFormula>
    </tableColumn>
    <tableColumn id="11" xr3:uid="{20685332-73A9-4B9D-874E-F1C9F770405F}" name="Description comment la conception de la solution prend en compte l'exigence client" dataDxfId="18" totalsRowDxfId="19"/>
    <tableColumn id="12" xr3:uid="{36B390F4-625A-46E1-864B-7108903FFD96}" name="Conception réalisée par:" dataDxfId="16" totalsRowDxfId="17"/>
    <tableColumn id="13" xr3:uid="{9016419E-83A5-4950-AB28-EA27A0D72FAD}" name="Revue conception réalisée par" dataDxfId="14" totalsRowDxfId="15"/>
    <tableColumn id="14" xr3:uid="{B5F29B7E-09EB-43EF-BD3D-9ADF38F7CC12}" name="Vérification de la conception réalisée par" dataDxfId="12" totalsRowDxfId="13"/>
    <tableColumn id="18" xr3:uid="{0CA25C90-64D6-43D5-90C8-CE6D70CCA638}" name="Preuve de vérification " dataDxfId="10" totalsRowDxfId="11"/>
    <tableColumn id="4" xr3:uid="{B7406A3A-A365-4F76-9A20-372573D19BC9}" name="Notes" dataDxfId="8" totalsRowDxfId="9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6AD1385-A1F5-4391-ABC2-C9F250557626}" name="Tableau325" displayName="Tableau325" ref="B13:G17" totalsRowShown="0" headerRowDxfId="7" dataDxfId="6">
  <autoFilter ref="B13:G17" xr:uid="{96AD1385-A1F5-4391-ABC2-C9F250557626}"/>
  <tableColumns count="6">
    <tableColumn id="1" xr3:uid="{56DA355E-F205-482A-9CF1-CA3361A1D801}" name="Version" dataDxfId="5"/>
    <tableColumn id="2" xr3:uid="{C9D8A0D7-1D6E-479B-AF74-6D39D19E4653}" name="Date" dataDxfId="4"/>
    <tableColumn id="3" xr3:uid="{79109713-8A38-4162-A269-136157905B75}" name="Modifications" dataDxfId="3"/>
    <tableColumn id="4" xr3:uid="{AC928B3E-399C-4A3D-9FB5-9CD96F5D4745}" name="Auteur(s)" dataDxfId="2"/>
    <tableColumn id="5" xr3:uid="{0D0A428D-4F18-4D4E-A0CB-4D1A5057B6E9}" name="Vérificateur(s)" dataDxfId="1"/>
    <tableColumn id="6" xr3:uid="{D81EAB57-FBCA-44D9-8F45-58AF13AA08B6}" name="Approbateur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3CD31-E0D8-4640-9FED-05D3282809B2}">
  <sheetPr>
    <pageSetUpPr fitToPage="1"/>
  </sheetPr>
  <dimension ref="B1:W41"/>
  <sheetViews>
    <sheetView tabSelected="1" topLeftCell="H20" zoomScale="77" zoomScaleNormal="77" workbookViewId="0">
      <selection activeCell="J22" sqref="J22"/>
    </sheetView>
  </sheetViews>
  <sheetFormatPr defaultColWidth="11.42578125" defaultRowHeight="12.75" customHeight="1"/>
  <cols>
    <col min="1" max="1" width="11.42578125" style="5" customWidth="1"/>
    <col min="2" max="2" width="22.42578125" style="5" customWidth="1"/>
    <col min="3" max="3" width="37.28515625" style="5" hidden="1" customWidth="1"/>
    <col min="4" max="4" width="39.28515625" style="5" customWidth="1"/>
    <col min="5" max="6" width="18.28515625" style="5" customWidth="1"/>
    <col min="7" max="7" width="22.42578125" style="5" customWidth="1"/>
    <col min="8" max="8" width="56.5703125" style="5" customWidth="1"/>
    <col min="9" max="9" width="18.42578125" style="5" customWidth="1"/>
    <col min="10" max="10" width="56.5703125" style="5" customWidth="1"/>
    <col min="11" max="11" width="33.28515625" style="5" customWidth="1"/>
    <col min="12" max="13" width="13.5703125" style="5" customWidth="1"/>
    <col min="14" max="14" width="15.28515625" style="5" customWidth="1"/>
    <col min="15" max="15" width="11.7109375" style="5" customWidth="1"/>
    <col min="16" max="16" width="15.42578125" style="5" customWidth="1"/>
    <col min="17" max="17" width="13.7109375" style="5" customWidth="1"/>
    <col min="18" max="18" width="39.7109375" style="5" customWidth="1"/>
    <col min="19" max="19" width="15.7109375" style="5" customWidth="1"/>
    <col min="20" max="20" width="20.5703125" style="5" customWidth="1"/>
    <col min="21" max="21" width="20.28515625" style="5" customWidth="1"/>
    <col min="22" max="22" width="15.28515625" style="5" customWidth="1"/>
    <col min="23" max="23" width="30.7109375" style="5" customWidth="1"/>
    <col min="24" max="16384" width="11.42578125" style="5"/>
  </cols>
  <sheetData>
    <row r="1" spans="2:23" ht="12.95"/>
    <row r="2" spans="2:23" ht="33" customHeight="1">
      <c r="B2" s="39" t="s">
        <v>0</v>
      </c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1"/>
      <c r="O2" s="42" t="s">
        <v>1</v>
      </c>
      <c r="P2" s="43"/>
      <c r="Q2" s="44"/>
      <c r="R2" s="36" t="s">
        <v>2</v>
      </c>
      <c r="S2" s="37"/>
      <c r="T2" s="37"/>
      <c r="U2" s="37"/>
      <c r="V2" s="37"/>
      <c r="W2" s="38"/>
    </row>
    <row r="3" spans="2:23" ht="66" customHeight="1">
      <c r="D3" s="26"/>
      <c r="E3" s="26"/>
      <c r="F3" s="26"/>
      <c r="G3" s="26"/>
      <c r="H3" s="26"/>
      <c r="I3" s="26"/>
      <c r="J3" s="26"/>
    </row>
    <row r="4" spans="2:23" ht="24.75" customHeight="1">
      <c r="D4" s="26"/>
      <c r="E4" s="26"/>
      <c r="F4" s="26"/>
      <c r="G4" s="26"/>
      <c r="H4" s="26"/>
      <c r="I4" s="26"/>
      <c r="J4" s="26"/>
    </row>
    <row r="5" spans="2:23" ht="21" customHeight="1">
      <c r="B5" s="6" t="s">
        <v>3</v>
      </c>
      <c r="C5" s="6"/>
      <c r="D5" s="27" t="s">
        <v>4</v>
      </c>
      <c r="F5" s="26"/>
      <c r="G5" s="26"/>
      <c r="H5" s="26"/>
      <c r="I5" s="26"/>
      <c r="J5" s="26"/>
    </row>
    <row r="6" spans="2:23" ht="21.75" customHeight="1">
      <c r="B6" s="28" t="s">
        <v>5</v>
      </c>
      <c r="C6" s="28"/>
      <c r="D6" s="29" t="s">
        <v>6</v>
      </c>
      <c r="F6" s="29"/>
      <c r="H6" s="29"/>
      <c r="I6" s="29"/>
      <c r="J6" s="29"/>
    </row>
    <row r="7" spans="2:23" ht="21" customHeight="1">
      <c r="B7" s="28" t="s">
        <v>7</v>
      </c>
      <c r="C7" s="28"/>
      <c r="D7" s="29" t="s">
        <v>8</v>
      </c>
      <c r="F7" s="29"/>
      <c r="H7" s="30" t="s">
        <v>9</v>
      </c>
      <c r="I7" s="29"/>
      <c r="J7" s="29"/>
    </row>
    <row r="8" spans="2:23" ht="20.65" customHeight="1">
      <c r="B8" s="28" t="s">
        <v>10</v>
      </c>
      <c r="C8" s="28"/>
      <c r="D8" s="29" t="s">
        <v>11</v>
      </c>
      <c r="F8" s="29"/>
      <c r="G8" s="29"/>
      <c r="H8" s="29"/>
      <c r="I8" s="29"/>
      <c r="J8" s="29"/>
    </row>
    <row r="9" spans="2:23" ht="21.6" customHeight="1">
      <c r="B9" s="28" t="s">
        <v>12</v>
      </c>
      <c r="C9" s="28"/>
      <c r="D9" s="29" t="s">
        <v>11</v>
      </c>
      <c r="F9" s="29"/>
      <c r="G9" s="29"/>
      <c r="H9" s="29"/>
      <c r="I9" s="29"/>
      <c r="J9" s="29"/>
    </row>
    <row r="10" spans="2:23" ht="14.45">
      <c r="D10" s="29"/>
      <c r="E10" s="31"/>
      <c r="F10" s="31"/>
      <c r="G10" s="31"/>
      <c r="H10" s="31"/>
      <c r="I10" s="31"/>
      <c r="J10" s="31"/>
    </row>
    <row r="11" spans="2:23" ht="12.95">
      <c r="B11" s="32" t="s">
        <v>13</v>
      </c>
      <c r="C11" s="32"/>
      <c r="D11" s="20"/>
      <c r="E11" s="32"/>
      <c r="F11" s="33"/>
      <c r="G11" s="33"/>
    </row>
    <row r="12" spans="2:23" ht="12.95">
      <c r="B12" s="32"/>
      <c r="C12" s="32"/>
      <c r="D12" s="20"/>
      <c r="E12" s="32"/>
      <c r="F12" s="33"/>
      <c r="G12" s="33"/>
    </row>
    <row r="13" spans="2:23" ht="13.5" thickBot="1"/>
    <row r="14" spans="2:23" ht="42" customHeight="1" thickBot="1">
      <c r="B14" s="17" t="s">
        <v>14</v>
      </c>
      <c r="C14" s="18" t="s">
        <v>15</v>
      </c>
      <c r="D14" s="10" t="s">
        <v>16</v>
      </c>
      <c r="E14" s="10" t="s">
        <v>17</v>
      </c>
      <c r="F14" s="10" t="s">
        <v>18</v>
      </c>
      <c r="G14" s="10" t="s">
        <v>19</v>
      </c>
      <c r="H14" s="10" t="s">
        <v>20</v>
      </c>
      <c r="I14" s="10" t="s">
        <v>21</v>
      </c>
      <c r="J14" s="10" t="s">
        <v>22</v>
      </c>
      <c r="K14" s="10" t="s">
        <v>23</v>
      </c>
      <c r="L14" s="10" t="s">
        <v>24</v>
      </c>
      <c r="M14" s="10" t="s">
        <v>25</v>
      </c>
      <c r="N14" s="11" t="s">
        <v>26</v>
      </c>
      <c r="O14" s="22" t="s">
        <v>27</v>
      </c>
      <c r="P14" s="22" t="s">
        <v>28</v>
      </c>
      <c r="Q14" s="22" t="s">
        <v>29</v>
      </c>
      <c r="R14" s="23" t="s">
        <v>30</v>
      </c>
      <c r="S14" s="24" t="s">
        <v>31</v>
      </c>
      <c r="T14" s="24" t="s">
        <v>32</v>
      </c>
      <c r="U14" s="24" t="s">
        <v>33</v>
      </c>
      <c r="V14" s="24" t="s">
        <v>34</v>
      </c>
      <c r="W14" s="25" t="s">
        <v>35</v>
      </c>
    </row>
    <row r="15" spans="2:23" ht="181.5" customHeight="1">
      <c r="B15" s="5" t="s">
        <v>36</v>
      </c>
      <c r="C15" s="5" t="s">
        <v>37</v>
      </c>
      <c r="D15" s="5" t="s">
        <v>37</v>
      </c>
      <c r="E15" s="5" t="s">
        <v>38</v>
      </c>
      <c r="F15" s="5" t="s">
        <v>39</v>
      </c>
      <c r="G15" s="5" t="s">
        <v>40</v>
      </c>
      <c r="H15" s="5" t="s">
        <v>41</v>
      </c>
      <c r="I15" s="5" t="s">
        <v>42</v>
      </c>
      <c r="J15" s="5" t="s">
        <v>43</v>
      </c>
      <c r="K15" s="5" t="s">
        <v>44</v>
      </c>
      <c r="L15" s="5" t="s">
        <v>45</v>
      </c>
      <c r="M15" s="5" t="s">
        <v>46</v>
      </c>
      <c r="N15" s="5" t="s">
        <v>47</v>
      </c>
      <c r="O15" s="5">
        <v>0</v>
      </c>
      <c r="P15" s="5">
        <f>Tableau3[[#This Row],[HJ Dev]]*(25%+25%)</f>
        <v>0</v>
      </c>
      <c r="Q15" s="5">
        <f>Tableau3[[#This Row],[HJ Analyse et Test]]+Tableau3[[#This Row],[HJ Dev]]</f>
        <v>0</v>
      </c>
    </row>
    <row r="16" spans="2:23" ht="108" customHeight="1">
      <c r="B16" s="5" t="s">
        <v>48</v>
      </c>
      <c r="C16" s="5" t="s">
        <v>49</v>
      </c>
      <c r="D16" s="5" t="s">
        <v>49</v>
      </c>
      <c r="E16" s="5" t="s">
        <v>38</v>
      </c>
      <c r="F16" s="5" t="s">
        <v>39</v>
      </c>
      <c r="G16" s="5" t="s">
        <v>40</v>
      </c>
      <c r="H16" s="5" t="s">
        <v>50</v>
      </c>
      <c r="I16" s="5" t="s">
        <v>42</v>
      </c>
      <c r="J16" s="5" t="s">
        <v>51</v>
      </c>
      <c r="K16" s="5" t="s">
        <v>44</v>
      </c>
      <c r="L16" s="5" t="s">
        <v>45</v>
      </c>
      <c r="M16" s="5" t="s">
        <v>46</v>
      </c>
      <c r="N16" s="5" t="s">
        <v>47</v>
      </c>
      <c r="O16" s="5">
        <v>0</v>
      </c>
      <c r="P16" s="5">
        <f>Tableau3[[#This Row],[HJ Dev]]*(25%+25%)</f>
        <v>0</v>
      </c>
      <c r="Q16" s="5">
        <f>Tableau3[[#This Row],[HJ Analyse et Test]]+Tableau3[[#This Row],[HJ Dev]]</f>
        <v>0</v>
      </c>
    </row>
    <row r="17" spans="2:23" ht="123.6" customHeight="1">
      <c r="B17" s="5" t="s">
        <v>52</v>
      </c>
      <c r="D17" s="5" t="s">
        <v>53</v>
      </c>
      <c r="E17" s="5" t="s">
        <v>38</v>
      </c>
      <c r="F17" s="5" t="s">
        <v>39</v>
      </c>
      <c r="G17" s="5" t="s">
        <v>40</v>
      </c>
      <c r="H17" s="5" t="s">
        <v>54</v>
      </c>
      <c r="I17" s="5" t="s">
        <v>55</v>
      </c>
      <c r="J17" s="5" t="s">
        <v>56</v>
      </c>
      <c r="K17" s="5" t="s">
        <v>44</v>
      </c>
      <c r="L17" s="5" t="s">
        <v>45</v>
      </c>
      <c r="M17" s="5" t="s">
        <v>46</v>
      </c>
      <c r="N17" s="5" t="s">
        <v>47</v>
      </c>
      <c r="O17" s="5">
        <v>0.5</v>
      </c>
      <c r="P17" s="5">
        <f>Tableau3[[#This Row],[HJ Dev]]*(25%+25%)</f>
        <v>0.25</v>
      </c>
      <c r="Q17" s="35">
        <f>Tableau3[[#This Row],[HJ Analyse et Test]]+Tableau3[[#This Row],[HJ Dev]]</f>
        <v>0.75</v>
      </c>
      <c r="R17" s="34"/>
      <c r="W17" s="35"/>
    </row>
    <row r="18" spans="2:23" ht="200.45" customHeight="1">
      <c r="B18" s="5" t="s">
        <v>57</v>
      </c>
      <c r="D18" s="5" t="s">
        <v>58</v>
      </c>
      <c r="E18" s="5" t="s">
        <v>38</v>
      </c>
      <c r="F18" s="5" t="s">
        <v>39</v>
      </c>
      <c r="G18" s="5" t="s">
        <v>40</v>
      </c>
      <c r="H18" s="5" t="s">
        <v>59</v>
      </c>
      <c r="I18" s="5" t="s">
        <v>55</v>
      </c>
      <c r="J18" s="5" t="s">
        <v>60</v>
      </c>
      <c r="K18" s="5" t="s">
        <v>44</v>
      </c>
      <c r="L18" s="5" t="s">
        <v>45</v>
      </c>
      <c r="M18" s="5" t="s">
        <v>46</v>
      </c>
      <c r="N18" s="5" t="s">
        <v>47</v>
      </c>
      <c r="O18" s="5">
        <v>1.5</v>
      </c>
      <c r="P18" s="5">
        <f>Tableau3[[#This Row],[HJ Dev]]*(25%+25%)</f>
        <v>0.75</v>
      </c>
      <c r="Q18" s="35">
        <f>Tableau3[[#This Row],[HJ Analyse et Test]]+Tableau3[[#This Row],[HJ Dev]]</f>
        <v>2.25</v>
      </c>
      <c r="R18" s="34"/>
      <c r="W18" s="35"/>
    </row>
    <row r="19" spans="2:23" ht="96" customHeight="1">
      <c r="B19" s="5" t="s">
        <v>61</v>
      </c>
      <c r="D19" s="5" t="s">
        <v>62</v>
      </c>
      <c r="E19" s="5" t="s">
        <v>63</v>
      </c>
      <c r="F19" s="5" t="s">
        <v>39</v>
      </c>
      <c r="G19" s="5" t="s">
        <v>40</v>
      </c>
      <c r="H19" s="5" t="s">
        <v>64</v>
      </c>
      <c r="I19" s="5" t="s">
        <v>55</v>
      </c>
      <c r="J19" s="5" t="s">
        <v>65</v>
      </c>
      <c r="K19" s="5" t="s">
        <v>44</v>
      </c>
      <c r="L19" s="5" t="s">
        <v>45</v>
      </c>
      <c r="M19" s="5" t="s">
        <v>46</v>
      </c>
      <c r="N19" s="5" t="s">
        <v>47</v>
      </c>
      <c r="O19" s="5">
        <v>3</v>
      </c>
      <c r="P19" s="5">
        <f>Tableau3[[#This Row],[HJ Dev]]*(25%+25%)</f>
        <v>1.5</v>
      </c>
      <c r="Q19" s="35">
        <f>Tableau3[[#This Row],[HJ Analyse et Test]]+Tableau3[[#This Row],[HJ Dev]]</f>
        <v>4.5</v>
      </c>
      <c r="R19" s="34"/>
      <c r="W19" s="35"/>
    </row>
    <row r="20" spans="2:23" ht="205.5" customHeight="1">
      <c r="B20" s="5" t="s">
        <v>66</v>
      </c>
      <c r="D20" s="5" t="s">
        <v>67</v>
      </c>
      <c r="E20" s="5" t="s">
        <v>63</v>
      </c>
      <c r="F20" s="5" t="s">
        <v>39</v>
      </c>
      <c r="G20" s="5" t="s">
        <v>40</v>
      </c>
      <c r="H20" s="5" t="s">
        <v>68</v>
      </c>
      <c r="I20" s="5" t="s">
        <v>55</v>
      </c>
      <c r="J20" s="5" t="s">
        <v>69</v>
      </c>
      <c r="K20" s="5" t="s">
        <v>44</v>
      </c>
      <c r="L20" s="5" t="s">
        <v>45</v>
      </c>
      <c r="M20" s="5" t="s">
        <v>46</v>
      </c>
      <c r="N20" s="5" t="s">
        <v>47</v>
      </c>
      <c r="O20" s="5">
        <f>4+1</f>
        <v>5</v>
      </c>
      <c r="P20" s="5">
        <f>Tableau3[[#This Row],[HJ Dev]]*(25%+25%)</f>
        <v>2.5</v>
      </c>
      <c r="Q20" s="35">
        <f>Tableau3[[#This Row],[HJ Analyse et Test]]+Tableau3[[#This Row],[HJ Dev]]</f>
        <v>7.5</v>
      </c>
      <c r="R20" s="34"/>
      <c r="W20" s="35"/>
    </row>
    <row r="21" spans="2:23" ht="126.6" customHeight="1">
      <c r="B21" s="5" t="s">
        <v>70</v>
      </c>
      <c r="C21" s="5" t="s">
        <v>71</v>
      </c>
      <c r="D21" s="5" t="s">
        <v>72</v>
      </c>
      <c r="E21" s="5" t="s">
        <v>38</v>
      </c>
      <c r="F21" s="5" t="s">
        <v>39</v>
      </c>
      <c r="G21" s="5" t="s">
        <v>40</v>
      </c>
      <c r="H21" s="5" t="s">
        <v>73</v>
      </c>
      <c r="I21" s="5" t="s">
        <v>55</v>
      </c>
      <c r="J21" s="5" t="s">
        <v>74</v>
      </c>
      <c r="K21" s="5" t="s">
        <v>44</v>
      </c>
      <c r="L21" s="5" t="s">
        <v>45</v>
      </c>
      <c r="M21" s="5" t="s">
        <v>46</v>
      </c>
      <c r="N21" s="5" t="s">
        <v>47</v>
      </c>
      <c r="O21" s="5">
        <f>2.5+0.5</f>
        <v>3</v>
      </c>
      <c r="P21" s="5">
        <f>Tableau3[[#This Row],[HJ Dev]]*(25%+25%)</f>
        <v>1.5</v>
      </c>
      <c r="Q21" s="35">
        <f>Tableau3[[#This Row],[HJ Analyse et Test]]+Tableau3[[#This Row],[HJ Dev]]</f>
        <v>4.5</v>
      </c>
      <c r="R21" s="34"/>
      <c r="W21" s="35"/>
    </row>
    <row r="22" spans="2:23" ht="98.1" customHeight="1">
      <c r="B22" s="5" t="s">
        <v>75</v>
      </c>
      <c r="D22" s="5" t="s">
        <v>76</v>
      </c>
      <c r="E22" s="5" t="s">
        <v>38</v>
      </c>
      <c r="F22" s="5" t="s">
        <v>39</v>
      </c>
      <c r="G22" s="5" t="s">
        <v>40</v>
      </c>
      <c r="H22" s="5" t="s">
        <v>77</v>
      </c>
      <c r="I22" s="5" t="s">
        <v>55</v>
      </c>
      <c r="J22" s="5" t="s">
        <v>78</v>
      </c>
      <c r="K22" s="5" t="s">
        <v>44</v>
      </c>
      <c r="L22" s="5" t="s">
        <v>45</v>
      </c>
      <c r="M22" s="5" t="s">
        <v>46</v>
      </c>
      <c r="N22" s="5" t="s">
        <v>47</v>
      </c>
      <c r="O22" s="5">
        <v>3</v>
      </c>
      <c r="P22" s="5">
        <f>Tableau3[[#This Row],[HJ Dev]]*(25%+25%)</f>
        <v>1.5</v>
      </c>
      <c r="Q22" s="35">
        <f>Tableau3[[#This Row],[HJ Analyse et Test]]+Tableau3[[#This Row],[HJ Dev]]</f>
        <v>4.5</v>
      </c>
      <c r="R22" s="34"/>
      <c r="W22" s="35"/>
    </row>
    <row r="23" spans="2:23" ht="124.5" customHeight="1">
      <c r="B23" s="5" t="s">
        <v>79</v>
      </c>
      <c r="D23" s="5" t="s">
        <v>80</v>
      </c>
      <c r="E23" s="5" t="s">
        <v>81</v>
      </c>
      <c r="F23" s="5" t="s">
        <v>39</v>
      </c>
      <c r="G23" s="5" t="s">
        <v>40</v>
      </c>
      <c r="H23" s="5" t="s">
        <v>82</v>
      </c>
      <c r="I23" s="5" t="s">
        <v>55</v>
      </c>
      <c r="J23" s="5" t="s">
        <v>83</v>
      </c>
      <c r="K23" s="5" t="s">
        <v>44</v>
      </c>
      <c r="L23" s="5" t="s">
        <v>45</v>
      </c>
      <c r="M23" s="5" t="s">
        <v>46</v>
      </c>
      <c r="N23" s="5" t="s">
        <v>47</v>
      </c>
      <c r="O23" s="5">
        <v>2</v>
      </c>
      <c r="P23" s="5">
        <f>Tableau3[[#This Row],[HJ Dev]]*(25%+25%)</f>
        <v>1</v>
      </c>
      <c r="Q23" s="35">
        <f>Tableau3[[#This Row],[HJ Analyse et Test]]+Tableau3[[#This Row],[HJ Dev]]</f>
        <v>3</v>
      </c>
      <c r="R23" s="34"/>
      <c r="W23" s="35"/>
    </row>
    <row r="24" spans="2:23" ht="35.1" customHeight="1">
      <c r="O24" s="5">
        <f>SUBTOTAL(109,Tableau3[HJ Dev])</f>
        <v>18</v>
      </c>
      <c r="P24" s="5">
        <f>SUBTOTAL(109,Tableau3[HJ Analyse et Test])</f>
        <v>9</v>
      </c>
      <c r="Q24" s="5">
        <f>SUBTOTAL(109,Tableau3[Total HJ])</f>
        <v>27</v>
      </c>
    </row>
    <row r="25" spans="2:23" ht="342.75" customHeight="1"/>
    <row r="26" spans="2:23" ht="318.60000000000002" customHeight="1"/>
    <row r="27" spans="2:23" ht="219.95" customHeight="1"/>
    <row r="28" spans="2:23" ht="285" customHeight="1"/>
    <row r="29" spans="2:23" ht="273.60000000000002" customHeight="1"/>
    <row r="30" spans="2:23" ht="102.95" customHeight="1"/>
    <row r="31" spans="2:23" ht="198.6" customHeight="1"/>
    <row r="32" spans="2:23" ht="362.45" customHeight="1"/>
    <row r="33" ht="273.60000000000002" customHeight="1"/>
    <row r="34" ht="189.6" customHeight="1"/>
    <row r="35" ht="222.95" customHeight="1"/>
    <row r="36" ht="183.6" customHeight="1"/>
    <row r="37" ht="150" customHeight="1"/>
    <row r="38" ht="231" customHeight="1"/>
    <row r="39" ht="275.10000000000002" customHeight="1"/>
    <row r="40" ht="219.6" customHeight="1"/>
    <row r="41" ht="27.6" customHeight="1"/>
  </sheetData>
  <mergeCells count="3">
    <mergeCell ref="R2:W2"/>
    <mergeCell ref="B2:N2"/>
    <mergeCell ref="O2:Q2"/>
  </mergeCells>
  <phoneticPr fontId="2" type="noConversion"/>
  <dataValidations count="2">
    <dataValidation type="whole" operator="greaterThanOrEqual" allowBlank="1" showInputMessage="1" showErrorMessage="1" sqref="O15 P15:Q23" xr:uid="{10E2E794-3894-4CC1-AB1A-9BB5BF41EABB}">
      <formula1>0</formula1>
    </dataValidation>
    <dataValidation type="decimal" operator="greaterThanOrEqual" allowBlank="1" showInputMessage="1" showErrorMessage="1" sqref="O16:O23" xr:uid="{8B90C7D2-1194-4CEB-8672-6A35E98C4E63}">
      <formula1>0</formula1>
    </dataValidation>
  </dataValidations>
  <pageMargins left="0.7" right="0.7" top="0.75" bottom="0.75" header="0.3" footer="0.3"/>
  <pageSetup paperSize="9" scale="74" fitToHeight="0" orientation="landscape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9E253E9F-6967-4CE3-BEC2-E6EF086F8550}">
          <x14:formula1>
            <xm:f>Params!$C$6:$C$13</xm:f>
          </x14:formula1>
          <xm:sqref>D5</xm:sqref>
        </x14:dataValidation>
        <x14:dataValidation type="list" allowBlank="1" showInputMessage="1" showErrorMessage="1" xr:uid="{06B2A4DB-2A94-4B0B-971B-CDFF438E23BA}">
          <x14:formula1>
            <xm:f>Params!$H$6:$H$12</xm:f>
          </x14:formula1>
          <xm:sqref>N15:N23</xm:sqref>
        </x14:dataValidation>
        <x14:dataValidation type="list" allowBlank="1" showInputMessage="1" showErrorMessage="1" xr:uid="{1F2CF1C1-BE35-4DC9-A975-F49F788F3D6A}">
          <x14:formula1>
            <xm:f>Params!$I$6:$I$9</xm:f>
          </x14:formula1>
          <xm:sqref>L15:L23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5013E-CD05-42BB-8D47-11438F5D0F13}">
  <sheetPr>
    <pageSetUpPr fitToPage="1"/>
  </sheetPr>
  <dimension ref="A2:G17"/>
  <sheetViews>
    <sheetView zoomScale="80" zoomScaleNormal="80" workbookViewId="0">
      <selection activeCell="D20" sqref="D20"/>
    </sheetView>
  </sheetViews>
  <sheetFormatPr defaultColWidth="11.42578125" defaultRowHeight="14.45"/>
  <cols>
    <col min="1" max="1" width="12" style="2" customWidth="1"/>
    <col min="2" max="2" width="10.28515625" style="2" customWidth="1"/>
    <col min="3" max="3" width="11.42578125" style="2"/>
    <col min="4" max="4" width="58.28515625" style="2" customWidth="1"/>
    <col min="5" max="5" width="15.7109375" style="2" customWidth="1"/>
    <col min="6" max="6" width="22.28515625" style="2" customWidth="1"/>
    <col min="7" max="7" width="16.5703125" style="2" customWidth="1"/>
    <col min="8" max="16384" width="11.42578125" style="2"/>
  </cols>
  <sheetData>
    <row r="2" spans="1:7" ht="15" thickBot="1"/>
    <row r="3" spans="1:7" ht="24" customHeight="1" thickBot="1">
      <c r="A3" s="2" t="s">
        <v>84</v>
      </c>
      <c r="B3" s="45" t="s">
        <v>0</v>
      </c>
      <c r="C3" s="46"/>
      <c r="D3" s="46"/>
      <c r="E3" s="46"/>
      <c r="F3" s="46"/>
      <c r="G3" s="47"/>
    </row>
    <row r="4" spans="1:7">
      <c r="B4" s="3"/>
      <c r="C4" s="4"/>
      <c r="D4" s="4"/>
      <c r="E4" s="4"/>
      <c r="F4" s="4"/>
      <c r="G4" s="4"/>
    </row>
    <row r="5" spans="1:7">
      <c r="B5" s="7" t="str">
        <f>'Gestion Exigences'!B5</f>
        <v>BU</v>
      </c>
      <c r="C5" s="7"/>
      <c r="D5" s="7" t="str">
        <f>'Gestion Exigences'!D5</f>
        <v xml:space="preserve">SF </v>
      </c>
      <c r="E5" s="4"/>
      <c r="F5" s="4"/>
      <c r="G5" s="4"/>
    </row>
    <row r="6" spans="1:7">
      <c r="B6" s="7" t="str">
        <f>'Gestion Exigences'!B6</f>
        <v>Client</v>
      </c>
      <c r="C6" s="7"/>
      <c r="D6" s="7" t="str">
        <f>'Gestion Exigences'!D6</f>
        <v>BKFOOD</v>
      </c>
      <c r="E6" s="4"/>
      <c r="F6" s="4"/>
      <c r="G6" s="4"/>
    </row>
    <row r="7" spans="1:7">
      <c r="B7" s="7" t="str">
        <f>'Gestion Exigences'!B7</f>
        <v>Projet</v>
      </c>
      <c r="C7" s="7"/>
      <c r="D7" s="7" t="str">
        <f>'Gestion Exigences'!D7</f>
        <v>Projet Identification PF</v>
      </c>
      <c r="E7" s="4"/>
      <c r="F7" s="4"/>
      <c r="G7" s="4"/>
    </row>
    <row r="8" spans="1:7">
      <c r="B8" s="7" t="str">
        <f>'Gestion Exigences'!B8</f>
        <v>Réf BPA du Devis</v>
      </c>
      <c r="C8" s="7"/>
      <c r="D8" s="7" t="str">
        <f>'Gestion Exigences'!D8</f>
        <v>TBC</v>
      </c>
      <c r="E8" s="4"/>
      <c r="F8" s="4"/>
      <c r="G8" s="4"/>
    </row>
    <row r="9" spans="1:7">
      <c r="B9" s="7" t="str">
        <f>'Gestion Exigences'!B9</f>
        <v>Réf BPA du Projet</v>
      </c>
      <c r="C9" s="7"/>
      <c r="D9" s="7" t="str">
        <f>'Gestion Exigences'!D9</f>
        <v>TBC</v>
      </c>
      <c r="E9" s="4"/>
      <c r="F9" s="4"/>
      <c r="G9" s="4"/>
    </row>
    <row r="10" spans="1:7">
      <c r="B10" s="7"/>
      <c r="C10" s="7"/>
      <c r="D10" s="7"/>
      <c r="E10" s="4"/>
      <c r="F10" s="4"/>
      <c r="G10" s="4"/>
    </row>
    <row r="11" spans="1:7">
      <c r="B11" s="21" t="str">
        <f>'Gestion Exigences'!B11</f>
        <v>MD203:V1.1</v>
      </c>
      <c r="C11" s="21"/>
      <c r="D11" s="7"/>
      <c r="E11" s="4"/>
      <c r="F11" s="4"/>
      <c r="G11" s="4"/>
    </row>
    <row r="12" spans="1:7">
      <c r="B12" s="3"/>
      <c r="C12" s="4"/>
      <c r="D12" s="4"/>
      <c r="E12" s="4"/>
      <c r="F12" s="4"/>
      <c r="G12" s="4"/>
    </row>
    <row r="13" spans="1:7">
      <c r="B13" s="12" t="s">
        <v>85</v>
      </c>
      <c r="C13" s="12" t="s">
        <v>86</v>
      </c>
      <c r="D13" s="12" t="s">
        <v>87</v>
      </c>
      <c r="E13" s="12" t="s">
        <v>88</v>
      </c>
      <c r="F13" s="12" t="s">
        <v>89</v>
      </c>
      <c r="G13" s="12" t="s">
        <v>90</v>
      </c>
    </row>
    <row r="14" spans="1:7" ht="29.65" customHeight="1">
      <c r="B14" s="13" t="s">
        <v>91</v>
      </c>
      <c r="C14" s="14">
        <v>46014</v>
      </c>
      <c r="D14" s="9" t="s">
        <v>92</v>
      </c>
      <c r="E14" s="13" t="s">
        <v>93</v>
      </c>
      <c r="F14" s="8" t="s">
        <v>94</v>
      </c>
      <c r="G14" s="8" t="s">
        <v>94</v>
      </c>
    </row>
    <row r="15" spans="1:7">
      <c r="B15" s="1"/>
      <c r="C15" s="15"/>
      <c r="D15" s="1"/>
      <c r="E15" s="1"/>
      <c r="F15" s="1"/>
      <c r="G15" s="1"/>
    </row>
    <row r="16" spans="1:7">
      <c r="B16" s="1"/>
      <c r="C16" s="1"/>
      <c r="D16" s="1"/>
      <c r="E16" s="1"/>
      <c r="F16" s="1"/>
      <c r="G16" s="1"/>
    </row>
    <row r="17" spans="2:7">
      <c r="B17" s="1"/>
      <c r="C17" s="1"/>
      <c r="D17" s="1"/>
      <c r="E17" s="1"/>
      <c r="F17" s="1"/>
      <c r="G17" s="1"/>
    </row>
  </sheetData>
  <mergeCells count="1">
    <mergeCell ref="B3:G3"/>
  </mergeCells>
  <phoneticPr fontId="20" type="noConversion"/>
  <pageMargins left="0.7" right="0.7" top="0.75" bottom="0.75" header="0.3" footer="0.3"/>
  <pageSetup paperSize="9" scale="95"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7DE68-97A3-4D67-BA62-C4208BED1331}">
  <dimension ref="B2:J15"/>
  <sheetViews>
    <sheetView topLeftCell="C1" workbookViewId="0">
      <selection activeCell="J9" sqref="J9"/>
    </sheetView>
  </sheetViews>
  <sheetFormatPr defaultColWidth="11.42578125" defaultRowHeight="12.95"/>
  <cols>
    <col min="1" max="3" width="11.42578125" style="5"/>
    <col min="4" max="5" width="19.7109375" style="5" customWidth="1"/>
    <col min="6" max="6" width="23.7109375" style="5" customWidth="1"/>
    <col min="7" max="7" width="14.42578125" style="5" customWidth="1"/>
    <col min="8" max="8" width="23.7109375" style="5" customWidth="1"/>
    <col min="9" max="9" width="25.28515625" style="5" customWidth="1"/>
    <col min="10" max="10" width="20.42578125" style="5" customWidth="1"/>
    <col min="11" max="16384" width="11.42578125" style="5"/>
  </cols>
  <sheetData>
    <row r="2" spans="2:10">
      <c r="B2" s="20" t="s">
        <v>95</v>
      </c>
      <c r="C2" s="20"/>
      <c r="D2" s="19">
        <v>0.25</v>
      </c>
    </row>
    <row r="3" spans="2:10">
      <c r="B3" s="20" t="s">
        <v>96</v>
      </c>
      <c r="C3" s="20"/>
      <c r="D3" s="19">
        <v>0.25</v>
      </c>
    </row>
    <row r="5" spans="2:10" ht="26.1">
      <c r="B5" s="16" t="s">
        <v>97</v>
      </c>
      <c r="C5" s="16" t="s">
        <v>3</v>
      </c>
      <c r="D5" s="16" t="s">
        <v>17</v>
      </c>
      <c r="E5" s="16" t="s">
        <v>98</v>
      </c>
      <c r="F5" s="16" t="s">
        <v>21</v>
      </c>
      <c r="G5" s="16" t="s">
        <v>99</v>
      </c>
      <c r="H5" s="16" t="s">
        <v>26</v>
      </c>
      <c r="I5" s="16" t="s">
        <v>100</v>
      </c>
      <c r="J5" s="16" t="s">
        <v>18</v>
      </c>
    </row>
    <row r="6" spans="2:10" ht="26.1">
      <c r="B6" s="5" t="s">
        <v>101</v>
      </c>
      <c r="C6" s="5" t="s">
        <v>4</v>
      </c>
      <c r="D6" s="5" t="s">
        <v>102</v>
      </c>
      <c r="E6" s="5" t="s">
        <v>39</v>
      </c>
      <c r="F6" s="5" t="s">
        <v>103</v>
      </c>
      <c r="G6" s="5" t="s">
        <v>104</v>
      </c>
      <c r="H6" s="5" t="s">
        <v>47</v>
      </c>
      <c r="I6" s="5" t="s">
        <v>45</v>
      </c>
      <c r="J6" s="5" t="s">
        <v>105</v>
      </c>
    </row>
    <row r="7" spans="2:10" ht="51.95">
      <c r="B7" s="5" t="s">
        <v>106</v>
      </c>
      <c r="C7" s="5" t="s">
        <v>107</v>
      </c>
      <c r="D7" s="5" t="s">
        <v>108</v>
      </c>
      <c r="E7" s="5" t="s">
        <v>109</v>
      </c>
      <c r="F7" s="5" t="s">
        <v>40</v>
      </c>
      <c r="G7" s="5" t="s">
        <v>110</v>
      </c>
      <c r="H7" s="5" t="s">
        <v>111</v>
      </c>
      <c r="I7" s="5" t="s">
        <v>112</v>
      </c>
      <c r="J7" s="5" t="s">
        <v>113</v>
      </c>
    </row>
    <row r="8" spans="2:10" ht="51.95">
      <c r="B8" s="5" t="s">
        <v>114</v>
      </c>
      <c r="C8" s="5" t="s">
        <v>115</v>
      </c>
      <c r="D8" s="5" t="s">
        <v>116</v>
      </c>
      <c r="E8" s="5" t="s">
        <v>117</v>
      </c>
      <c r="F8" s="5" t="s">
        <v>118</v>
      </c>
      <c r="G8" s="5" t="s">
        <v>94</v>
      </c>
      <c r="H8" s="5" t="s">
        <v>94</v>
      </c>
      <c r="I8" s="5" t="s">
        <v>94</v>
      </c>
      <c r="J8" s="5" t="s">
        <v>38</v>
      </c>
    </row>
    <row r="9" spans="2:10" ht="39">
      <c r="B9" s="5" t="s">
        <v>119</v>
      </c>
      <c r="D9" s="5" t="s">
        <v>120</v>
      </c>
      <c r="E9" s="5" t="s">
        <v>121</v>
      </c>
      <c r="F9" s="5" t="s">
        <v>122</v>
      </c>
      <c r="J9" s="5" t="s">
        <v>63</v>
      </c>
    </row>
    <row r="10" spans="2:10" ht="39">
      <c r="B10" s="5" t="s">
        <v>123</v>
      </c>
      <c r="D10" s="5" t="s">
        <v>124</v>
      </c>
      <c r="E10" s="5" t="s">
        <v>125</v>
      </c>
      <c r="F10" s="5" t="s">
        <v>126</v>
      </c>
      <c r="J10" s="5" t="s">
        <v>81</v>
      </c>
    </row>
    <row r="11" spans="2:10" ht="51.95">
      <c r="B11" s="5" t="s">
        <v>127</v>
      </c>
      <c r="D11" s="5" t="s">
        <v>128</v>
      </c>
      <c r="F11" s="5" t="s">
        <v>129</v>
      </c>
      <c r="J11" s="5" t="s">
        <v>130</v>
      </c>
    </row>
    <row r="12" spans="2:10" ht="51.95">
      <c r="B12" s="5" t="s">
        <v>131</v>
      </c>
      <c r="F12" s="5" t="s">
        <v>132</v>
      </c>
      <c r="J12" s="5" t="s">
        <v>133</v>
      </c>
    </row>
    <row r="13" spans="2:10" ht="39">
      <c r="B13" s="5" t="s">
        <v>134</v>
      </c>
    </row>
    <row r="14" spans="2:10" ht="65.099999999999994">
      <c r="B14" s="5" t="s">
        <v>135</v>
      </c>
      <c r="J14" s="5" t="s">
        <v>136</v>
      </c>
    </row>
    <row r="15" spans="2:10" ht="65.099999999999994">
      <c r="B15" s="5" t="s">
        <v>137</v>
      </c>
      <c r="J15" s="5" t="s">
        <v>138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80D1F9D018AF642BD71F6EA77BA1FCC" ma:contentTypeVersion="15" ma:contentTypeDescription="Crée un document." ma:contentTypeScope="" ma:versionID="97fa8e5381d4afd3c2616966314fa889">
  <xsd:schema xmlns:xsd="http://www.w3.org/2001/XMLSchema" xmlns:xs="http://www.w3.org/2001/XMLSchema" xmlns:p="http://schemas.microsoft.com/office/2006/metadata/properties" xmlns:ns2="5f2f9e80-f74a-40c7-b145-b94d8e4966f0" xmlns:ns3="43b908ec-9e92-424c-a4ad-3174bac6e888" targetNamespace="http://schemas.microsoft.com/office/2006/metadata/properties" ma:root="true" ma:fieldsID="035e21461a3455a1fa8f9ac9d0103124" ns2:_="" ns3:_="">
    <xsd:import namespace="5f2f9e80-f74a-40c7-b145-b94d8e4966f0"/>
    <xsd:import namespace="43b908ec-9e92-424c-a4ad-3174bac6e88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2f9e80-f74a-40c7-b145-b94d8e4966f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b0894d81-c9a7-44d3-b7de-4b9756e0b1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b908ec-9e92-424c-a4ad-3174bac6e88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49cff33-3cb1-46cb-abfa-a403cc2b0291}" ma:internalName="TaxCatchAll" ma:showField="CatchAllData" ma:web="43b908ec-9e92-424c-a4ad-3174bac6e88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f2f9e80-f74a-40c7-b145-b94d8e4966f0">
      <Terms xmlns="http://schemas.microsoft.com/office/infopath/2007/PartnerControls"/>
    </lcf76f155ced4ddcb4097134ff3c332f>
    <TaxCatchAll xmlns="43b908ec-9e92-424c-a4ad-3174bac6e888" xsi:nil="true"/>
  </documentManagement>
</p:properties>
</file>

<file path=customXml/itemProps1.xml><?xml version="1.0" encoding="utf-8"?>
<ds:datastoreItem xmlns:ds="http://schemas.openxmlformats.org/officeDocument/2006/customXml" ds:itemID="{431C8B5B-7A06-4686-9F8A-E8F24EECD8B3}"/>
</file>

<file path=customXml/itemProps2.xml><?xml version="1.0" encoding="utf-8"?>
<ds:datastoreItem xmlns:ds="http://schemas.openxmlformats.org/officeDocument/2006/customXml" ds:itemID="{04737350-0045-4EDD-AA92-7ADBE29C778A}"/>
</file>

<file path=customXml/itemProps3.xml><?xml version="1.0" encoding="utf-8"?>
<ds:datastoreItem xmlns:ds="http://schemas.openxmlformats.org/officeDocument/2006/customXml" ds:itemID="{85503822-DF13-4051-A489-72B75648E37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DACTEM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MEJRI Ahmed</dc:creator>
  <cp:keywords/>
  <dc:description/>
  <cp:lastModifiedBy>Mahdi Besbes</cp:lastModifiedBy>
  <cp:revision/>
  <dcterms:created xsi:type="dcterms:W3CDTF">2000-07-05T17:03:55Z</dcterms:created>
  <dcterms:modified xsi:type="dcterms:W3CDTF">2025-12-29T13:25:18Z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fdf0aad6-f24a-491d-833a-8fe8a48f4ca6</vt:lpwstr>
  </property>
  <property fmtid="{D5CDD505-2E9C-101B-9397-08002B2CF9AE}" pid="3" name="ContentTypeId">
    <vt:lpwstr>0x010100080D1F9D018AF642BD71F6EA77BA1FCC</vt:lpwstr>
  </property>
  <property fmtid="{D5CDD505-2E9C-101B-9397-08002B2CF9AE}" pid="4" name="MediaServiceImageTags">
    <vt:lpwstr/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xd_Signature">
    <vt:bool>false</vt:bool>
  </property>
  <property fmtid="{D5CDD505-2E9C-101B-9397-08002B2CF9AE}" pid="11" name="Order">
    <vt:r8>12812100</vt:r8>
  </property>
  <property fmtid="{D5CDD505-2E9C-101B-9397-08002B2CF9AE}" pid="12" name="_ColorHex">
    <vt:lpwstr/>
  </property>
  <property fmtid="{D5CDD505-2E9C-101B-9397-08002B2CF9AE}" pid="13" name="_ColorTag">
    <vt:lpwstr/>
  </property>
  <property fmtid="{D5CDD505-2E9C-101B-9397-08002B2CF9AE}" pid="14" name="_Emoji">
    <vt:lpwstr/>
  </property>
</Properties>
</file>