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09"/>
  <workbookPr/>
  <mc:AlternateContent xmlns:mc="http://schemas.openxmlformats.org/markup-compatibility/2006">
    <mc:Choice Requires="x15">
      <x15ac:absPath xmlns:x15ac="http://schemas.microsoft.com/office/spreadsheetml/2010/11/ac" url="https://momsoftware.sharepoint.com/sites/Commercial/Documents partages/04 Clients/009 COGITEL/18 Phase 0   Atelier Decoupe Fin Ligne/2 Préparation Offre/"/>
    </mc:Choice>
  </mc:AlternateContent>
  <xr:revisionPtr revIDLastSave="285" documentId="8_{46F3E770-C115-446E-BE80-74CE8C6D632B}" xr6:coauthVersionLast="47" xr6:coauthVersionMax="47" xr10:uidLastSave="{6C13DC9A-0588-4498-BD3F-DA77980506B4}"/>
  <bookViews>
    <workbookView xWindow="1520" yWindow="1520" windowWidth="14400" windowHeight="7360" tabRatio="620" xr2:uid="{00000000-000D-0000-FFFF-FFFF00000000}"/>
  </bookViews>
  <sheets>
    <sheet name="Gestion Exigences" sheetId="27" r:id="rId1"/>
    <sheet name="Synthèse" sheetId="31" r:id="rId2"/>
    <sheet name="Modifs Doc" sheetId="29" r:id="rId3"/>
    <sheet name="Params" sheetId="30" r:id="rId4"/>
  </sheets>
  <externalReferences>
    <externalReference r:id="rId5"/>
  </externalReferences>
  <definedNames>
    <definedName name="_xlnm.Print_Area" localSheetId="0">'Gestion Exigences'!$C$2:$I$43</definedName>
    <definedName name="_xlnm.Print_Area" localSheetId="2">'Modifs Doc'!$B$2:$G$18</definedName>
  </definedNames>
  <calcPr calcId="191028"/>
  <pivotCaches>
    <pivotCache cacheId="531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3" i="27" l="1"/>
  <c r="AD14" i="27"/>
  <c r="AD15" i="27"/>
  <c r="AD16" i="27"/>
  <c r="AD17" i="27"/>
  <c r="AD18" i="27"/>
  <c r="AD19" i="27"/>
  <c r="AD20" i="27"/>
  <c r="AD21" i="27"/>
  <c r="AD22" i="27"/>
  <c r="AD23" i="27"/>
  <c r="AD24" i="27"/>
  <c r="AD25" i="27"/>
  <c r="AD26" i="27"/>
  <c r="AD27" i="27"/>
  <c r="AD28" i="27"/>
  <c r="AD29" i="27"/>
  <c r="AD30" i="27"/>
  <c r="AD31" i="27"/>
  <c r="AD32" i="27"/>
  <c r="AD33" i="27"/>
  <c r="AD34" i="27"/>
  <c r="AD35" i="27"/>
  <c r="AD36" i="27"/>
  <c r="AD37" i="27"/>
  <c r="AD38" i="27"/>
  <c r="AD39" i="27"/>
  <c r="AD40" i="27"/>
  <c r="AD41" i="27"/>
  <c r="AD42" i="27"/>
  <c r="AD43" i="27"/>
  <c r="AE13" i="27"/>
  <c r="AE20" i="27"/>
  <c r="AE24" i="27"/>
  <c r="AE25" i="27"/>
  <c r="AE27" i="27"/>
  <c r="AE28" i="27"/>
  <c r="AE30" i="27"/>
  <c r="AE32" i="27"/>
  <c r="AE34" i="27"/>
  <c r="AE35" i="27"/>
  <c r="AE36" i="27"/>
  <c r="AE40" i="27"/>
  <c r="AE43" i="27"/>
  <c r="AE41" i="27"/>
  <c r="AE22" i="27"/>
  <c r="AE18" i="27"/>
  <c r="AE19" i="27"/>
  <c r="AE26" i="27"/>
  <c r="AE42" i="27"/>
  <c r="Q40" i="27"/>
  <c r="R40" i="27"/>
  <c r="S40" i="27"/>
  <c r="Q30" i="27"/>
  <c r="R30" i="27"/>
  <c r="S30" i="27"/>
  <c r="Q24" i="27"/>
  <c r="R24" i="27"/>
  <c r="S24" i="27"/>
  <c r="Q23" i="27"/>
  <c r="R23" i="27"/>
  <c r="S23" i="27"/>
  <c r="AE23" i="27"/>
  <c r="Q16" i="27"/>
  <c r="R16" i="27"/>
  <c r="S16" i="27"/>
  <c r="AE16" i="27"/>
  <c r="Q34" i="27"/>
  <c r="R34" i="27"/>
  <c r="S34" i="27"/>
  <c r="Q29" i="27"/>
  <c r="R29" i="27"/>
  <c r="S29" i="27"/>
  <c r="AE29" i="27"/>
  <c r="S25" i="27"/>
  <c r="R25" i="27"/>
  <c r="Q25" i="27"/>
  <c r="Q26" i="27"/>
  <c r="R26" i="27"/>
  <c r="S26" i="27"/>
  <c r="Q27" i="27"/>
  <c r="R27" i="27"/>
  <c r="S27" i="27"/>
  <c r="Q37" i="27"/>
  <c r="R37" i="27"/>
  <c r="S37" i="27"/>
  <c r="AE37" i="27"/>
  <c r="Q33" i="27"/>
  <c r="R33" i="27"/>
  <c r="S33" i="27"/>
  <c r="AE33" i="27"/>
  <c r="Q35" i="27"/>
  <c r="R35" i="27"/>
  <c r="S35" i="27"/>
  <c r="Q36" i="27"/>
  <c r="R36" i="27"/>
  <c r="S36" i="27"/>
  <c r="AE14" i="27"/>
  <c r="AE15" i="27"/>
  <c r="AE17" i="27"/>
  <c r="AE21" i="27"/>
  <c r="AE31" i="27"/>
  <c r="AE38" i="27"/>
  <c r="AE39" i="27"/>
  <c r="Q41" i="27"/>
  <c r="R41" i="27"/>
  <c r="S41" i="27"/>
  <c r="Q42" i="27"/>
  <c r="R42" i="27"/>
  <c r="S42" i="27"/>
  <c r="Q39" i="27"/>
  <c r="R39" i="27"/>
  <c r="S39" i="27"/>
  <c r="Q43" i="27"/>
  <c r="R43" i="27"/>
  <c r="S43" i="27"/>
  <c r="Q22" i="27"/>
  <c r="R22" i="27"/>
  <c r="S22" i="27"/>
  <c r="Q15" i="27"/>
  <c r="R15" i="27"/>
  <c r="S15" i="27"/>
  <c r="Q20" i="27" l="1"/>
  <c r="R20" i="27"/>
  <c r="S20" i="27"/>
  <c r="Q17" i="27"/>
  <c r="R17" i="27"/>
  <c r="S17" i="27"/>
  <c r="Q32" i="27"/>
  <c r="R32" i="27"/>
  <c r="S32" i="27"/>
  <c r="Q38" i="27"/>
  <c r="R38" i="27"/>
  <c r="S38" i="27"/>
  <c r="Q28" i="27"/>
  <c r="R28" i="27"/>
  <c r="S28" i="27"/>
  <c r="Q31" i="27"/>
  <c r="R31" i="27"/>
  <c r="S31" i="27"/>
  <c r="Q14" i="27"/>
  <c r="R14" i="27"/>
  <c r="S14" i="27"/>
  <c r="Q18" i="27"/>
  <c r="R18" i="27"/>
  <c r="S18" i="27"/>
  <c r="Q19" i="27"/>
  <c r="R19" i="27"/>
  <c r="S19" i="27"/>
  <c r="Q21" i="27"/>
  <c r="R21" i="27"/>
  <c r="S21" i="27"/>
  <c r="AC44" i="27"/>
  <c r="AD44" i="27"/>
  <c r="AE44" i="27"/>
  <c r="C5" i="29"/>
  <c r="C6" i="29"/>
  <c r="C7" i="29"/>
  <c r="C8" i="29"/>
  <c r="C9" i="29"/>
  <c r="C10" i="29"/>
  <c r="B6" i="29"/>
  <c r="B7" i="29"/>
  <c r="B8" i="29"/>
  <c r="B9" i="29"/>
  <c r="B10" i="29"/>
  <c r="B5"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Siwar Abbes</author>
  </authors>
  <commentList>
    <comment ref="I31" authorId="0" shapeId="0" xr:uid="{615582CC-AEA7-4C61-BA24-3610C2FECB0A}">
      <text>
        <r>
          <rPr>
            <b/>
            <sz val="9"/>
            <color indexed="81"/>
            <rFont val="Tahoma"/>
            <family val="2"/>
          </rPr>
          <t>Siwar Abbes:</t>
        </r>
        <r>
          <rPr>
            <sz val="9"/>
            <color indexed="81"/>
            <rFont val="Tahoma"/>
            <family val="2"/>
          </rPr>
          <t xml:space="preserve">
Historique prod , histo prod par shift , Détails prod , Détail qté , Résumé OF </t>
        </r>
      </text>
    </comment>
  </commentList>
</comments>
</file>

<file path=xl/sharedStrings.xml><?xml version="1.0" encoding="utf-8"?>
<sst xmlns="http://schemas.openxmlformats.org/spreadsheetml/2006/main" count="445" uniqueCount="255">
  <si>
    <t>Gestion Exigences Projet</t>
  </si>
  <si>
    <t>Chiffrage Réalisation SF</t>
  </si>
  <si>
    <t>Revue et Vérification pendant la Conception</t>
  </si>
  <si>
    <t>Client</t>
  </si>
  <si>
    <t>COGITEL</t>
  </si>
  <si>
    <t>Projet</t>
  </si>
  <si>
    <t>Digitalisation Atelier Découpe</t>
  </si>
  <si>
    <t>Réf BPA du Devis</t>
  </si>
  <si>
    <t>Réf BPA du Projet</t>
  </si>
  <si>
    <t>Réf Modèle Document</t>
  </si>
  <si>
    <t>MD203</t>
  </si>
  <si>
    <t>Strictement Confidentiel</t>
  </si>
  <si>
    <t>Version Modèle Document</t>
  </si>
  <si>
    <t>V1.5</t>
  </si>
  <si>
    <t>ID</t>
  </si>
  <si>
    <t>Exigence</t>
  </si>
  <si>
    <t>Nature</t>
  </si>
  <si>
    <t>Catégorie</t>
  </si>
  <si>
    <t>Exigence indéfiée pendant la phase</t>
  </si>
  <si>
    <t>Description de l'exigence</t>
  </si>
  <si>
    <t>Source</t>
  </si>
  <si>
    <t>Description de la solution ADDIXO</t>
  </si>
  <si>
    <t>GAP globale avec la solution standard</t>
  </si>
  <si>
    <t>Écart entre exigence client et la solution proposée - préciser aussi les limites et hypothèses si applicable</t>
  </si>
  <si>
    <t>Validation Interne</t>
  </si>
  <si>
    <t>Colonne1</t>
  </si>
  <si>
    <t>Colonne2</t>
  </si>
  <si>
    <t>Colonne3</t>
  </si>
  <si>
    <t>Colonne4</t>
  </si>
  <si>
    <t>Colonne5</t>
  </si>
  <si>
    <t>Colonne6</t>
  </si>
  <si>
    <t>Colonne7</t>
  </si>
  <si>
    <t>Colonne8</t>
  </si>
  <si>
    <t>Colonne9</t>
  </si>
  <si>
    <t>Colonne10</t>
  </si>
  <si>
    <t>Colonne11</t>
  </si>
  <si>
    <t>Colonne12</t>
  </si>
  <si>
    <t>Colonne13</t>
  </si>
  <si>
    <t>Colonne14</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</si>
  <si>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</si>
  <si>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</si>
  <si>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</si>
  <si>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</si>
  <si>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</si>
  <si>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</si>
  <si>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</si>
  <si>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</si>
  <si>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</si>
  <si>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</si>
  <si>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</si>
  <si>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</si>
  <si>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Configuration de l'usine </t>
  </si>
  <si>
    <t>Fonctionnelle</t>
  </si>
  <si>
    <t>SF-Fonctionnelle</t>
  </si>
  <si>
    <t>Commerciale</t>
  </si>
  <si>
    <t xml:space="preserve">Configurer les données de l'usine </t>
  </si>
  <si>
    <t>La solution offre un Module Core permettant la configuration complète de l'usine:
- Modélisation hiérarchique de l'usine: Sites, ateliers, lignes, postes, machines.
- Gestion des produits et des palettes.
- Gestion des unités.
- Gestion des défaut qualité et des pannes machines.
- Gestion des utilisateurs et des autorisations: Rôles et accès contrôlés.
- Gestion des équipes: Production, qualité, maintenance.
- Planification des lignes et des équipes: Cycles, équipes, calendrier de travail.
- Configuration des panels.
- Configuration des imprimantes.
 etc.</t>
  </si>
  <si>
    <t>Standard</t>
  </si>
  <si>
    <t>Validée</t>
  </si>
  <si>
    <t>Mahdi B.</t>
  </si>
  <si>
    <t>Non validée par client</t>
  </si>
  <si>
    <t>E002</t>
  </si>
  <si>
    <t xml:space="preserve">Configuration des produits </t>
  </si>
  <si>
    <t>Configurer les produits en poids, en métrage linéaire et en pièce</t>
  </si>
  <si>
    <r>
      <rPr>
        <b/>
        <sz val="11"/>
        <color rgb="FF000000"/>
        <rFont val="Calibri Light"/>
        <scheme val="major"/>
      </rPr>
      <t xml:space="preserve">Adaptation
</t>
    </r>
    <r>
      <rPr>
        <sz val="11"/>
        <color rgb="FF000000"/>
        <rFont val="Calibri Light"/>
        <scheme val="major"/>
      </rPr>
      <t>Permettre au niveau de la configuration des produits :
- L'ajout d'une nouvelle unité de mesure (ex. kg, mètres, pièces) pour chaque produit. Pour chaque unité, l'utilisateur saisit une valeur spécifique avec des tolérances .
- L'ajout d'un taux de conversion entre les unités sélectionnées
- L'ajout de la capacité maximale et minimale par palette en nombre de bobines filles.</t>
    </r>
  </si>
  <si>
    <t>Gestion de production avec deux unités</t>
  </si>
  <si>
    <t>Hypothèse :  Métrage min et max , poids min et max  , capacité palette min et max sont différents pour chaque produit</t>
  </si>
  <si>
    <t>E003</t>
  </si>
  <si>
    <t>Chargement des données via des fichiers CSV</t>
  </si>
  <si>
    <t>Charger les données à partir des fichiers csv</t>
  </si>
  <si>
    <r>
      <rPr>
        <sz val="11"/>
        <color rgb="FF000000"/>
        <rFont val="Calibri Light"/>
        <scheme val="major"/>
      </rPr>
      <t xml:space="preserve">La solution comprend un module "Intégration SI" permettant l'intégration automatisée de données: Chargement automatique de données depuis des fichiers CSV ou des systèmes d'information clients. En supportant les entités produits, utilisateurs et outillages, avec une gestion détaillée des erreurs d'intégration. 
</t>
    </r>
    <r>
      <rPr>
        <b/>
        <sz val="11"/>
        <color rgb="FF000000"/>
        <rFont val="Calibri Light"/>
        <scheme val="major"/>
      </rPr>
      <t xml:space="preserve">Adaptation : </t>
    </r>
    <r>
      <rPr>
        <sz val="11"/>
        <color rgb="FF000000"/>
        <rFont val="Calibri Light"/>
        <scheme val="major"/>
      </rPr>
      <t>Adapter le fichier pour supporter deux unités avec les tolérancespour chaque produit</t>
    </r>
  </si>
  <si>
    <t>E004</t>
  </si>
  <si>
    <t>Lecture des produits , matières et nomenclatures  à partir du sage X3</t>
  </si>
  <si>
    <t>Intégration et mis à jour des produits, matières et nomenclatures à partir du sage X3 via API</t>
  </si>
  <si>
    <r>
      <rPr>
        <b/>
        <sz val="11"/>
        <color rgb="FF000000"/>
        <rFont val="Calibri Light"/>
        <family val="2"/>
        <scheme val="major"/>
      </rPr>
      <t xml:space="preserve">Adaptation : 
</t>
    </r>
    <r>
      <rPr>
        <sz val="11"/>
        <color rgb="FF000000"/>
        <rFont val="Calibri Light"/>
        <family val="2"/>
        <scheme val="major"/>
      </rPr>
      <t>Le module "Intégration SI" de la solution permet d'intégrer via webservice , des produits, matières et nomenclatures à partir du sage X3 manuellement ou automatiquement selon une fréquence choisie par le client .
Le module "Intégration SI" de la solution permet l’importation des produits, nomenclatures et matières à partir du Sage X3 via webservice . L’intégration peut être réalisée soit manuellement, soit automatiquement, selon une fréquence définie par le client. En cas d’incompatibilité des champs transmis, la solution génère une alerte précisant les champs incorrects ou manquants, afin de garantir le succès de l’intégration.</t>
    </r>
  </si>
  <si>
    <t>environnement spécifique Cogitel</t>
  </si>
  <si>
    <t>Cette exigences nécessite un travail de collaboration entre l'équipe MOMSOFT  et le fournisseur ERP du Client.</t>
  </si>
  <si>
    <t>E005</t>
  </si>
  <si>
    <t>Lecture des OF à partir de sage X3</t>
  </si>
  <si>
    <t>Automatiser l'intégration  des OF à partir de Sage X3 via API</t>
  </si>
  <si>
    <r>
      <rPr>
        <b/>
        <sz val="11"/>
        <color theme="1"/>
        <rFont val="Calibri Light"/>
        <family val="2"/>
        <scheme val="major"/>
      </rPr>
      <t xml:space="preserve">Adaptation : </t>
    </r>
    <r>
      <rPr>
        <sz val="11"/>
        <color theme="1"/>
        <rFont val="Calibri Light"/>
        <family val="2"/>
        <scheme val="major"/>
      </rPr>
      <t xml:space="preserve">
Le module "Intégration SI" permet la lecture des Ordres de fabrication à partir de Sage X3 en utilisant les webservices.
La lecture des OF peut s'effectuer automatiquement en fonction d'une fréquence choisie par le client ou en utilisant l'interface Intégration des OF pour un chargement à sa convenance.</t>
    </r>
  </si>
  <si>
    <t>E006</t>
  </si>
  <si>
    <t>Gestion des Ordres de Fabrication</t>
  </si>
  <si>
    <t>Ajustement de la planification et gestion centralisée des OF</t>
  </si>
  <si>
    <r>
      <rPr>
        <sz val="11"/>
        <color rgb="FF000000"/>
        <rFont val="Calibri Light"/>
        <scheme val="major"/>
      </rPr>
      <t xml:space="preserve">La solution offre un module "Gestion des OF" , offrant les fonctionnalités suivantes :
- Lancement simultané des OF sur plusieurs lignes de production en parallèle.
- Gestion et suivi des statuts des OF: planifié, lancé, suspendu, changement de série, fermé.
- Mise à jour en temps réel des statuts des OF.
- Workflow paramétrable pour valider les changements de statut.
- Ajustement dynamique de la planification en réponse aux aléas de production.
- Gestion des changements de série.
</t>
    </r>
    <r>
      <rPr>
        <b/>
        <sz val="11"/>
        <color rgb="FF000000"/>
        <rFont val="Calibri Light"/>
        <scheme val="major"/>
      </rPr>
      <t>Adaptation :</t>
    </r>
    <r>
      <rPr>
        <sz val="11"/>
        <color rgb="FF000000"/>
        <rFont val="Calibri Light"/>
        <scheme val="major"/>
      </rPr>
      <t xml:space="preserve"> 
- Gestion des OF en série, incluant une configuration pour une ligne dédiée à la sortie de production, 
-Saisie des quantités objectifs en poids ou en métrage.</t>
    </r>
  </si>
  <si>
    <t xml:space="preserve">OF multilignes en série </t>
  </si>
  <si>
    <t>E007</t>
  </si>
  <si>
    <t xml:space="preserve">Planification des opération </t>
  </si>
  <si>
    <t>Visualisation des planifications en temps réel</t>
  </si>
  <si>
    <t>La solution offre un module de planification des opérations permettant de consulter en temps réel l'état des OF. Les utilisateurs peuvent visualiser les OF en cours, leur avancement, ainsi que la disponibilité des lignes et ressources associées, avec mises à jour automatiques pour refléter les ajustements ou imprévus en production.</t>
  </si>
  <si>
    <t>E008</t>
  </si>
  <si>
    <t xml:space="preserve">Fiche OK démarrage </t>
  </si>
  <si>
    <t>Génération des fiches de démarrage au lancement e l'OF</t>
  </si>
  <si>
    <t>la solution permet le contrôle de la qualité produit et process , comprenant les fonctionnalités : 
- Configuration des critères de contrôle :
   Définition des critères de mesure des produits (dimensions, aspects, etc.)
   Gestion des tolérances et spécifications par critère
  Gestion des paramètres et réglages machines
- Génération automatique des contrôles :
   Des fiches de contrôle produit et réglages machines au démarrage.
-Validation et Traçabilité  : 
  Workflow de validation à multi-niveaux des contrôles (validation régleur , validation qualiticien ..) .
   Archivage des résultats de contrôle</t>
  </si>
  <si>
    <t>E009</t>
  </si>
  <si>
    <t xml:space="preserve">Instruction de travail par référence produit </t>
  </si>
  <si>
    <t xml:space="preserve">Chargement , affectation et visualisions des fiches d'instruction par produits </t>
  </si>
  <si>
    <t>La solution offre un module "Instruction de travail" qui permet :
-Chargement : Importation des fichiers d'instructions.
- Catégorisation : Classification par processus qualité, maintenance ou production.
-Affectation : Attribution des instructions par ligne et produit.
- Gestion des Versions : Centralisation et gestion du versionnage des documents.
-Accessibilité : Accès en temps réel aux instructions pour les opérateurs et l'équipe qualité à partir de l'OF.</t>
  </si>
  <si>
    <t>E010</t>
  </si>
  <si>
    <t xml:space="preserve">Récupération du poids des bobines à partir des balances </t>
  </si>
  <si>
    <t xml:space="preserve">Récupération du poids  des bobines à partir des balances </t>
  </si>
  <si>
    <r>
      <t>Adaptation :</t>
    </r>
    <r>
      <rPr>
        <sz val="11"/>
        <color rgb="FF000000"/>
        <rFont val="Calibri Light"/>
        <family val="2"/>
      </rPr>
      <t xml:space="preserve">
Récupération automatique des données : Intégration avec la balance pour récupérer automatiquement le poids de chaque bobine produite.</t>
    </r>
  </si>
  <si>
    <t>Environnement spécifique Cogitel</t>
  </si>
  <si>
    <t>Hypothèse : Ces informations seront récupérées à partir d'un fichier sur le serveur.</t>
  </si>
  <si>
    <t>E011</t>
  </si>
  <si>
    <t>Génération et impression étiquette bobine fille</t>
  </si>
  <si>
    <t>Validation de la quantité produite (bobine fille) en poids et mètre linéaire et déclenchement de l'impression étiquette bobine fille</t>
  </si>
  <si>
    <r>
      <rPr>
        <b/>
        <sz val="11"/>
        <color rgb="FF000000"/>
        <rFont val="Calibri Light"/>
        <family val="2"/>
        <scheme val="major"/>
      </rPr>
      <t xml:space="preserve">Adaptation </t>
    </r>
    <r>
      <rPr>
        <sz val="11"/>
        <color rgb="FF000000"/>
        <rFont val="Calibri Light"/>
        <family val="2"/>
        <scheme val="major"/>
      </rPr>
      <t xml:space="preserve">: 
La solution permet de :
- Afficher le poids récupéré de la balance de la bobine fille
- Introduire le métrage linéaire du bobine fille 
- Valider le poids et le métrage linéaire selon le taux de conversion : Contrôle du métrage pour s'assurer que le métrage et poids récupéré ne soit pas inférieur au métrage et poids exigés, tel que défini dans la configuration du produit et affichage d'une alerte en cas de non-conformité .
- Générer une étiquette pour la bobine fille 
</t>
    </r>
  </si>
  <si>
    <t>E012</t>
  </si>
  <si>
    <t>Réimpression étiquette bobine fille</t>
  </si>
  <si>
    <r>
      <rPr>
        <b/>
        <sz val="11"/>
        <color rgb="FF000000"/>
        <rFont val="Calibri Light"/>
        <family val="2"/>
        <scheme val="major"/>
      </rPr>
      <t xml:space="preserve">Adaptation </t>
    </r>
    <r>
      <rPr>
        <sz val="11"/>
        <color rgb="FF000000"/>
        <rFont val="Calibri Light"/>
        <family val="2"/>
        <scheme val="major"/>
      </rPr>
      <t>: 
La solution permet d'enregistrer et d'imprimer directement l'étiquette de la bobine fille ou de la réimprimer .</t>
    </r>
  </si>
  <si>
    <t>Cette exigence nécessite l'envoi d'une signale d'impression du panel à l'imprimante</t>
  </si>
  <si>
    <t>E013</t>
  </si>
  <si>
    <t xml:space="preserve"> Fiche Machine : Déclaration de production en utilisant plusieurs unités ( par bobine fille et par palette )</t>
  </si>
  <si>
    <t>Déclaration des quantités produite et non-conforme en Kg, en mètre et en pièces (pour les sleeveuses) par bobine et par palette.</t>
  </si>
  <si>
    <r>
      <rPr>
        <b/>
        <sz val="11"/>
        <color rgb="FF000000"/>
        <rFont val="Calibri Light"/>
        <family val="2"/>
        <scheme val="major"/>
      </rPr>
      <t xml:space="preserve">Adaptation :
</t>
    </r>
    <r>
      <rPr>
        <sz val="11"/>
        <color rgb="FF000000"/>
        <rFont val="Calibri Light"/>
        <family val="2"/>
        <scheme val="major"/>
      </rPr>
      <t xml:space="preserve">La solution proposée permettra de crée une fiche machine par opérateur et par shift permet  :
- Le suivi  de la consommation de la bobine mère : Tracer la consommation de la bobine mère en temps réel, avec possibilité d'ajouter une nouvelle bobine mère en cours de production. L'opérateur doit saisir la référence et les informations relatives à la bobine mère avant de commencer la production.
- L'enregistrement automatiquement les quantités (selon les unités du produits) pour chaque bobine produite.
- La génération automatique des palettes au démarrage de production
- La gestion automatique et manuelle des palettes : remplissage et clôture 
- La déclaration manuelle des non-conformités par bobine, avec un suivi des défauts qualité et du lieu de détection 
- La gestion  des déchets déclarés  et  non déclarés. 
- La gestion des restes non consommés de la bobine mère .
- Un workflow de validation
- Un accès limité de modification 
</t>
    </r>
  </si>
  <si>
    <t>Assurer la traçabilité palettes et bobines</t>
  </si>
  <si>
    <t>E014</t>
  </si>
  <si>
    <t xml:space="preserve">Suivi de la qualité : Fiche d'auto-contrôle </t>
  </si>
  <si>
    <t>Digitaliser la génération et le remplissage des fiches de contrôle par bobine fille</t>
  </si>
  <si>
    <r>
      <rPr>
        <sz val="11"/>
        <color rgb="FF000000"/>
        <rFont val="Calibri Light"/>
        <scheme val="major"/>
      </rPr>
      <t xml:space="preserve">La fiche suivi de la solution permet de :
- Générer automatiquement ou manuellement des fiches de suivi dédiées aux opérateurs , sous forme de check-lists, basées sur des critères qualité définis pour chaque bobine, avec les résultats (conforme/non conforme) et les valeurs associées.
- Afficher des instructions pour les inspections à réaliser et suivre un workflow de validation des fiches de suivi.
- Historiser et suivre toutes les fiches de suivi pour assurer une traçabilité complète.
</t>
    </r>
    <r>
      <rPr>
        <b/>
        <sz val="11"/>
        <color rgb="FF000000"/>
        <rFont val="Calibri Light"/>
        <scheme val="major"/>
      </rPr>
      <t>Adaptation</t>
    </r>
    <r>
      <rPr>
        <sz val="11"/>
        <color rgb="FF000000"/>
        <rFont val="Calibri Light"/>
        <scheme val="major"/>
      </rPr>
      <t xml:space="preserve"> : Ajouter des champs dans la fiche d'auto-contrôle pour identification de la matière (bobine mère ) , bobine fille et palette.
Adapter la génération de la fiche d'auto-contrôle à la génération de l'étiquette bobine fille .</t>
    </r>
  </si>
  <si>
    <t xml:space="preserve">Assurer le contrôle de la qualité des palettes et bobines </t>
  </si>
  <si>
    <t>E015</t>
  </si>
  <si>
    <t>Gestion des fiches de passation</t>
  </si>
  <si>
    <t>Gérer le changement de responsabilité en utilisant les fiches de passation</t>
  </si>
  <si>
    <r>
      <rPr>
        <b/>
        <sz val="11"/>
        <color rgb="FF000000"/>
        <rFont val="Calibri Light"/>
        <family val="2"/>
        <scheme val="major"/>
      </rPr>
      <t xml:space="preserve">Adaptation </t>
    </r>
    <r>
      <rPr>
        <sz val="11"/>
        <color rgb="FF000000"/>
        <rFont val="Calibri Light"/>
        <family val="2"/>
        <scheme val="major"/>
      </rPr>
      <t>: La solution permet de générer automatiquement des fiches de passation contenant toutes les informations relatives au shift. La validation de ces fiches est nécessaire pour contrôler le changement de responsabilité.</t>
    </r>
  </si>
  <si>
    <t>E016</t>
  </si>
  <si>
    <t xml:space="preserve">Génération et impression des étiquette pour les palettes </t>
  </si>
  <si>
    <t>Génération et impression d'étiquettes automatique à la fermeture de palette</t>
  </si>
  <si>
    <r>
      <rPr>
        <b/>
        <sz val="11"/>
        <color rgb="FF000000"/>
        <rFont val="Calibri Light"/>
        <family val="2"/>
        <scheme val="major"/>
      </rPr>
      <t xml:space="preserve">Adaptation  </t>
    </r>
    <r>
      <rPr>
        <sz val="11"/>
        <color rgb="FF000000"/>
        <rFont val="Calibri Light"/>
        <family val="2"/>
        <scheme val="major"/>
      </rPr>
      <t xml:space="preserve">: Une fois qu'une palette est clôturée, la solution génère automatiquement une étiquette contenant les informations essentielles (Code à barre , code produit, poids, mètre linéaire, etc.). </t>
    </r>
  </si>
  <si>
    <t>E017</t>
  </si>
  <si>
    <t>Fiche de contrôle: Libération</t>
  </si>
  <si>
    <t>Génération automatique et manuelle des fiches de contrôle  (libération ) à la clôture de la palette</t>
  </si>
  <si>
    <r>
      <rPr>
        <b/>
        <sz val="11"/>
        <color rgb="FF000000"/>
        <rFont val="Calibri Light"/>
        <scheme val="major"/>
      </rPr>
      <t xml:space="preserve">Adaptation </t>
    </r>
    <r>
      <rPr>
        <sz val="11"/>
        <color rgb="FF000000"/>
        <rFont val="Calibri Light"/>
        <scheme val="major"/>
      </rPr>
      <t>:
La solution propose de créer automatiquement</t>
    </r>
    <r>
      <rPr>
        <sz val="11"/>
        <color rgb="FFFF0000"/>
        <rFont val="Calibri Light"/>
        <scheme val="major"/>
      </rPr>
      <t xml:space="preserve"> </t>
    </r>
    <r>
      <rPr>
        <sz val="11"/>
        <color rgb="FF000000"/>
        <rFont val="Calibri Light"/>
        <scheme val="major"/>
      </rPr>
      <t>à la clôture de la palette ou manuellement les fiches de contrôle (libération)  sous forme de check-list, contenant tous les critères à contrôler par palette .
 - Gestion des statuts des palettes ( libérée , en attente de libération , en attente d'analyse, Libérée avec dérogation , bloquée )
- Envoie d'une notification au magasinier une fois le statut de la palette est libérée ou libérée avec dérogation .
L'accès à ces fiches est limité aux agents qualité, avec une historisation complète et un suivi de toutes les fiches d'inspection pour assurer une traçabilité totale.
De plus, la solution intègre un workflow de validation .</t>
    </r>
  </si>
  <si>
    <t>E018</t>
  </si>
  <si>
    <t>Pré-déclaration de la palette dans Sage X3</t>
  </si>
  <si>
    <t>Envoi de la palette au sage X3 avec un statut défini</t>
  </si>
  <si>
    <r>
      <rPr>
        <b/>
        <sz val="11"/>
        <color theme="1"/>
        <rFont val="Calibri Light"/>
        <family val="2"/>
        <scheme val="major"/>
      </rPr>
      <t>Adaptation :</t>
    </r>
    <r>
      <rPr>
        <sz val="11"/>
        <color theme="1"/>
        <rFont val="Calibri Light"/>
        <family val="2"/>
        <scheme val="major"/>
      </rPr>
      <t xml:space="preserve">
Envoi de la palette vers sage X3 avec un statut "en attente de libération" .</t>
    </r>
  </si>
  <si>
    <t>Cette exigence nécessite un travail de collaboration entre l'équipe MOMSOFT et le fournisseur ERP du Client.</t>
  </si>
  <si>
    <t>E019</t>
  </si>
  <si>
    <t xml:space="preserve">Suivi de la production et qualité en utilisant deux unités </t>
  </si>
  <si>
    <t xml:space="preserve">Suivi et historisation de la production et qualité par poids et mètre linéaire </t>
  </si>
  <si>
    <r>
      <rPr>
        <b/>
        <sz val="11"/>
        <color rgb="FF000000"/>
        <rFont val="Calibri Light"/>
        <scheme val="major"/>
      </rPr>
      <t xml:space="preserve">Adaptation </t>
    </r>
    <r>
      <rPr>
        <sz val="11"/>
        <color rgb="FF000000"/>
        <rFont val="Calibri Light"/>
        <scheme val="major"/>
      </rPr>
      <t>: La solution permet de suivre et d'historiser la production et la qualité par OF, par shift, et par bobine. Des colonnes supplémentaires sont proposées pour afficher les quantités en poids et en mètres linéaires.</t>
    </r>
  </si>
  <si>
    <t>E020</t>
  </si>
  <si>
    <t xml:space="preserve">Gestion des Rework  </t>
  </si>
  <si>
    <t>Création des ordres de Rework</t>
  </si>
  <si>
    <r>
      <rPr>
        <sz val="11"/>
        <color rgb="FF000000"/>
        <rFont val="Calibri Light"/>
        <scheme val="major"/>
      </rPr>
      <t xml:space="preserve"> </t>
    </r>
    <r>
      <rPr>
        <b/>
        <sz val="11"/>
        <color rgb="FF000000"/>
        <rFont val="Calibri Light"/>
        <scheme val="major"/>
      </rPr>
      <t xml:space="preserve">Adaptation </t>
    </r>
    <r>
      <rPr>
        <sz val="11"/>
        <color rgb="FF000000"/>
        <rFont val="Calibri Light"/>
        <scheme val="major"/>
      </rPr>
      <t>: La solution proposée permet de crée et gérer   des OF de Rework avec le même code OF  dès la déclaration d'un incident de qualité nécessitant un traitement. Les OF de Rework seront marqués pour les identifier.</t>
    </r>
  </si>
  <si>
    <t>E021</t>
  </si>
  <si>
    <t>Fiche de réception magasin</t>
  </si>
  <si>
    <t>Génération automatique de la fiche de contrôle par palette</t>
  </si>
  <si>
    <r>
      <rPr>
        <b/>
        <sz val="11"/>
        <color theme="1"/>
        <rFont val="Calibri Light"/>
        <family val="2"/>
        <scheme val="major"/>
      </rPr>
      <t xml:space="preserve">Adaptation : </t>
    </r>
    <r>
      <rPr>
        <sz val="11"/>
        <color theme="1"/>
        <rFont val="Calibri Light"/>
        <family val="2"/>
        <scheme val="major"/>
      </rPr>
      <t xml:space="preserve">
La solution permet de générer automatiquement ou manuellement une fiche de contrôle après libération d’une palette, afin de la valider avant le conditionnement. 
Cette fiche dédié au magasinier , se présente sous la forme d’une check-list de contrôle, avec des paramètres configurables.
Elle permet également de vérifier le taux de conversion réel par rapport au taux théorique.
De plus, la solution inclut un workflow de validation et garantit une historisation complète des fiches.</t>
    </r>
  </si>
  <si>
    <t>E022</t>
  </si>
  <si>
    <t>Certificat d'analyse laboratoire</t>
  </si>
  <si>
    <t>Création et consultation des certificats d'analyse laboratoire</t>
  </si>
  <si>
    <r>
      <rPr>
        <b/>
        <sz val="11"/>
        <color rgb="FF000000"/>
        <rFont val="Calibri Light"/>
        <family val="2"/>
        <scheme val="major"/>
      </rPr>
      <t xml:space="preserve">Adaptation </t>
    </r>
    <r>
      <rPr>
        <sz val="11"/>
        <color rgb="FF000000"/>
        <rFont val="Calibri Light"/>
        <family val="2"/>
        <scheme val="major"/>
      </rPr>
      <t>: 
La solution permet de créer , consulter et imprimer des certificat d'analyse laboratoire contenant une synthèse des contrôles réalisés par critère .</t>
    </r>
  </si>
  <si>
    <t>E023</t>
  </si>
  <si>
    <t xml:space="preserve">Génération et impression de la deuxième  étiquette pour les palettes </t>
  </si>
  <si>
    <t xml:space="preserve">Génération et impression d'étiquettes automatique à la validation de la fiche de réception magasin </t>
  </si>
  <si>
    <r>
      <rPr>
        <b/>
        <sz val="11"/>
        <color rgb="FF000000"/>
        <rFont val="Calibri Light"/>
        <family val="2"/>
        <scheme val="major"/>
      </rPr>
      <t xml:space="preserve">Adaptation  </t>
    </r>
    <r>
      <rPr>
        <sz val="11"/>
        <color rgb="FF000000"/>
        <rFont val="Calibri Light"/>
        <family val="2"/>
        <scheme val="major"/>
      </rPr>
      <t xml:space="preserve">: Une fois qu'une fiche de réception magasin est validée par le magasinier ,  la solution permet de générer et imprimer une deuxième  étiquette contenant les informations essentielles (Code à barre , code produit, poids, mètre linéaire, etc.). </t>
    </r>
  </si>
  <si>
    <t>E024</t>
  </si>
  <si>
    <t xml:space="preserve">Confirmation collage étiquette </t>
  </si>
  <si>
    <t>Scan des deux étiquettes, de comparer leurs données</t>
  </si>
  <si>
    <r>
      <rPr>
        <b/>
        <sz val="11"/>
        <color rgb="FF000000"/>
        <rFont val="Calibri Light"/>
        <family val="2"/>
        <scheme val="major"/>
      </rPr>
      <t xml:space="preserve">Adaptation  </t>
    </r>
    <r>
      <rPr>
        <sz val="11"/>
        <color rgb="FF000000"/>
        <rFont val="Calibri Light"/>
        <family val="2"/>
        <scheme val="major"/>
      </rPr>
      <t>: La solution exige de scanner les deux étiquettes, de vérifier la correspondance des données et d'informer l'utilisateur en cas de divergence, avant de déplacer la palette vers le stock.</t>
    </r>
  </si>
  <si>
    <t>E025</t>
  </si>
  <si>
    <t>Confirmation de la déclaration finale de la production pour l'ERP</t>
  </si>
  <si>
    <t xml:space="preserve">Déclaration finale de la production dans l'ERP </t>
  </si>
  <si>
    <r>
      <rPr>
        <b/>
        <sz val="11"/>
        <color rgb="FF000000"/>
        <rFont val="Calibri Light"/>
        <family val="2"/>
        <scheme val="major"/>
      </rPr>
      <t xml:space="preserve">Adaptation </t>
    </r>
    <r>
      <rPr>
        <sz val="11"/>
        <color rgb="FF000000"/>
        <rFont val="Calibri Light"/>
        <family val="2"/>
        <scheme val="major"/>
      </rPr>
      <t>: La solution exige aux utilisateurs de confirmer la déclaration de production au niveau de l'ERP.</t>
    </r>
  </si>
  <si>
    <t>E026</t>
  </si>
  <si>
    <r>
      <rPr>
        <sz val="11"/>
        <rFont val="Calibri Light"/>
        <family val="2"/>
      </rPr>
      <t>É</t>
    </r>
    <r>
      <rPr>
        <sz val="11"/>
        <rFont val="Calibri Light"/>
        <family val="2"/>
        <scheme val="major"/>
      </rPr>
      <t>criture vers Sage X3 par Palette</t>
    </r>
  </si>
  <si>
    <t>Retour des données des OF vers sage X3</t>
  </si>
  <si>
    <r>
      <rPr>
        <b/>
        <sz val="11"/>
        <color rgb="FF000000"/>
        <rFont val="Calibri Light"/>
        <family val="2"/>
        <scheme val="major"/>
      </rPr>
      <t xml:space="preserve">Adaptation </t>
    </r>
    <r>
      <rPr>
        <sz val="11"/>
        <color rgb="FF000000"/>
        <rFont val="Calibri Light"/>
        <family val="2"/>
        <scheme val="major"/>
      </rPr>
      <t xml:space="preserve">: La solution permet d'automatiser le retour des données des OF vers Sage X3 via webservices , les données envoyées inclut la quantité produite par palette en poids et en  mètres linéaires avec un statut "en stock". </t>
    </r>
  </si>
  <si>
    <t>Cette adaptation nécessite la collaboration avec l'intégrateur ERP de client .</t>
  </si>
  <si>
    <t>E027</t>
  </si>
  <si>
    <t xml:space="preserve">Gestion et suivi des arrêts  </t>
  </si>
  <si>
    <t>Suivi des arrêts de production</t>
  </si>
  <si>
    <t>La solution permet d'arrêter manuellement la production, en précisant les causes d'arrêt configurées. Elle offre un suivi détaillé de la durée d'arrêt et de l'occurrence des différentes causes.</t>
  </si>
  <si>
    <t>E028</t>
  </si>
  <si>
    <t>Compte Rendu OF</t>
  </si>
  <si>
    <t>Récapitulation de données de l'OF dans un compte rendu</t>
  </si>
  <si>
    <r>
      <rPr>
        <sz val="11"/>
        <color rgb="FF000000"/>
        <rFont val="Calibri Light"/>
        <scheme val="major"/>
      </rPr>
      <t xml:space="preserve">La solution offre une interface "Résumé OF" contenant tous les données concernant l'OF : Production , Qualité , maintenance prêt à imprimer .
</t>
    </r>
    <r>
      <rPr>
        <b/>
        <sz val="11"/>
        <color rgb="FF000000"/>
        <rFont val="Calibri Light"/>
        <scheme val="major"/>
      </rPr>
      <t xml:space="preserve">Adaptation : </t>
    </r>
    <r>
      <rPr>
        <sz val="11"/>
        <color rgb="FF000000"/>
        <rFont val="Calibri Light"/>
        <scheme val="major"/>
      </rPr>
      <t>Adapter les détails de production par shift de l'OF pour inclure les informations depuis la fiche machines .</t>
    </r>
  </si>
  <si>
    <t>E029</t>
  </si>
  <si>
    <t xml:space="preserve">Suivi de la production en temps réel </t>
  </si>
  <si>
    <t>Suivi en temps réel des KPIs , des durées d'arrêts et des quantités en poids et en mètre linéaire</t>
  </si>
  <si>
    <t>Suivi en temps réel des KPIs et des quantités par poids et par mètre linéaire</t>
  </si>
  <si>
    <r>
      <rPr>
        <sz val="11"/>
        <color rgb="FF000000"/>
        <rFont val="Calibri Light"/>
        <scheme val="major"/>
      </rPr>
      <t xml:space="preserve">La solution offre une supervision de production en temps réel avec le module "Vue 360°" permettant de  : 
• Visualiser l'état des lignes en temps réel avec codification couleur paramétrable.
•Suivie des indicateurs clés de performance (KPI): TRS équipe et OF ,Taux de performance, disponibilité et qualité 
•Suivre la progression des OF.
•Analyser des arrêts: Durées, causes et nombre d'occurrences.
•Visualiser la production et non-conformité en temps réel: Production totale et horaire par équipe , Non-conformité totale et horaire par équipe avec catégorisation par défaut qualité.
</t>
    </r>
    <r>
      <rPr>
        <b/>
        <sz val="11"/>
        <color rgb="FF000000"/>
        <rFont val="Calibri Light"/>
        <scheme val="major"/>
      </rPr>
      <t xml:space="preserve">Adaptation </t>
    </r>
    <r>
      <rPr>
        <sz val="11"/>
        <color rgb="FF000000"/>
        <rFont val="Calibri Light"/>
        <scheme val="major"/>
      </rPr>
      <t>: ajouter l'option de visualiser la progression de l'OF , la quantité totale produite , la non-conformité en poids et en métrage.</t>
    </r>
  </si>
  <si>
    <t>E030</t>
  </si>
  <si>
    <t xml:space="preserve">Tableau de bord qualité </t>
  </si>
  <si>
    <t>Analyse des données  historique de la qualité en poids et en mètre linéaire : Rebut et Rework</t>
  </si>
  <si>
    <r>
      <t xml:space="preserve">La solution offre un tableau de bord qualité fournissant une vue multiniveaux de la non-conformité , les défauts et leurs occurrence , un Pareto des défaut 
</t>
    </r>
    <r>
      <rPr>
        <b/>
        <sz val="11"/>
        <color rgb="FF000000"/>
        <rFont val="Calibri Light"/>
        <family val="2"/>
      </rPr>
      <t>Adaptation : 
-</t>
    </r>
    <r>
      <rPr>
        <sz val="11"/>
        <color rgb="FF000000"/>
        <rFont val="Calibri Light"/>
        <family val="2"/>
      </rPr>
      <t>Ajouter l'option de visualiser les quantités non conforme en poids et en métrage  
- Ajouter un chart pour visualiser le taux de Rework  et de déchet par poids et par mètre linéaire</t>
    </r>
  </si>
  <si>
    <t>E031</t>
  </si>
  <si>
    <t>Tableau de bord production</t>
  </si>
  <si>
    <t>Analyser l'évolution des indicateurs clés au cours du temps des lignes de production .</t>
  </si>
  <si>
    <r>
      <rPr>
        <sz val="11"/>
        <color rgb="FF000000"/>
        <rFont val="Calibri Light"/>
        <scheme val="major"/>
      </rPr>
      <t xml:space="preserve">la solution offre un tableau de bord fournissant une vue multi-niveaux de la production en utilisant des indicateurs clés :  TRS, Quantité produite vs Quantité planifiée, Temps d'arrêt vs temps de production, etc.
</t>
    </r>
    <r>
      <rPr>
        <b/>
        <sz val="11"/>
        <color rgb="FF000000"/>
        <rFont val="Calibri Light"/>
        <scheme val="major"/>
      </rPr>
      <t xml:space="preserve">Adaptation </t>
    </r>
    <r>
      <rPr>
        <sz val="11"/>
        <color rgb="FF000000"/>
        <rFont val="Calibri Light"/>
        <scheme val="major"/>
      </rPr>
      <t xml:space="preserve">: 
-Ajouter l'option de visualiser les indicateurs en poids et en mètre linéaires
</t>
    </r>
  </si>
  <si>
    <t>Sum of Total HJ</t>
  </si>
  <si>
    <t>Grand Total</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</si>
  <si>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</si>
  <si>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</si>
  <si>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</si>
  <si>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</si>
  <si>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</si>
  <si>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</si>
  <si>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</si>
  <si>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</si>
  <si>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</si>
  <si>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</si>
  <si>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</si>
  <si>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</si>
  <si>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</si>
  <si>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</si>
  <si>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</si>
  <si>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</si>
  <si>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</si>
  <si>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</si>
  <si>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</si>
  <si>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</si>
  <si>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Type de la solution</t>
  </si>
  <si>
    <t>CdC client</t>
  </si>
  <si>
    <t>Oui</t>
  </si>
  <si>
    <t>Validée par le client</t>
  </si>
  <si>
    <t>*** SE</t>
  </si>
  <si>
    <t>Performance</t>
  </si>
  <si>
    <t>Conception</t>
  </si>
  <si>
    <t>Workshop/réunion client</t>
  </si>
  <si>
    <t>Non</t>
  </si>
  <si>
    <t>Non validée</t>
  </si>
  <si>
    <t>SE-Processus</t>
  </si>
  <si>
    <t>Adaptaion</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</si>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</sst>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
      <sz val="11"/>
      <color theme="1"/>
      <name val="Calibri Light"/>
      <family val="2"/>
      <scheme val="major"/>
    </font>
    <font>
      <b/>
      <sz val="11"/>
      <color theme="1"/>
      <name val="Calibri Light"/>
      <family val="2"/>
      <scheme val="major"/>
    </font>
    <font>
      <sz val="9"/>
      <color indexed="81"/>
      <name val="Tahoma"/>
      <family val="2"/>
    </font>
    <font>
      <b/>
      <sz val="9"/>
      <color indexed="81"/>
      <name val="Tahoma"/>
      <family val="2"/>
    </font>
    <font>
      <sz val="11"/>
      <color rgb="FF000000"/>
      <name val="Calibri Light"/>
      <family val="2"/>
    </font>
    <font>
      <b/>
      <sz val="11"/>
      <color rgb="FF000000"/>
      <name val="Calibri Light"/>
      <family val="2"/>
    </font>
    <font>
      <b/>
      <sz val="11"/>
      <color rgb="FF000000"/>
      <name val="Calibri Light"/>
      <family val="2"/>
      <scheme val="major"/>
    </font>
    <font>
      <sz val="11"/>
      <color rgb="FF000000"/>
      <name val="Calibri Light"/>
      <family val="2"/>
      <scheme val="major"/>
    </font>
    <font>
      <b/>
      <sz val="11"/>
      <color rgb="FF000000"/>
      <name val="Calibri Light"/>
      <scheme val="major"/>
    </font>
    <font>
      <sz val="11"/>
      <color rgb="FF000000"/>
      <name val="Calibri Light"/>
      <scheme val="major"/>
    </font>
    <font>
      <sz val="11"/>
      <color rgb="FFFF0000"/>
      <name val="Calibri Light"/>
      <scheme val="major"/>
    </font>
    <font>
      <sz val="10"/>
      <color rgb="FFFF0000"/>
      <name val="Calibri Light"/>
      <family val="2"/>
      <scheme val="major"/>
    </font>
    <font>
      <sz val="11"/>
      <color rgb="FF000000"/>
      <name val="Calibri Light"/>
      <charset val="1"/>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59999389629810485"/>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
      <left/>
      <right/>
      <top style="thin">
        <color rgb="FF000000"/>
      </top>
      <bottom/>
      <diagonal/>
    </border>
    <border>
      <left/>
      <right/>
      <top style="medium">
        <color indexed="64"/>
      </top>
      <bottom/>
      <diagonal/>
    </border>
  </borders>
  <cellStyleXfs count="1">
    <xf numFmtId="0" fontId="0" fillId="0" borderId="0"/>
  </cellStyleXfs>
  <cellXfs count="67">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0" borderId="4" xfId="0" applyFont="1" applyBorder="1" applyAlignment="1">
      <alignment vertical="center" wrapText="1"/>
    </xf>
    <xf numFmtId="0" fontId="17" fillId="0" borderId="0" xfId="0" applyFont="1" applyAlignment="1">
      <alignment vertical="center" wrapText="1"/>
    </xf>
    <xf numFmtId="0" fontId="5" fillId="0" borderId="0" xfId="0" applyFont="1" applyAlignment="1">
      <alignment horizontal="left" wrapText="1"/>
    </xf>
    <xf numFmtId="164" fontId="1" fillId="0" borderId="0" xfId="0" applyNumberFormat="1" applyFont="1" applyAlignment="1">
      <alignment vertical="center" wrapText="1"/>
    </xf>
    <xf numFmtId="0" fontId="21" fillId="0" borderId="6" xfId="0" applyFont="1" applyBorder="1" applyAlignment="1">
      <alignment vertical="center"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24" fillId="0" borderId="0" xfId="0" applyFont="1" applyAlignment="1">
      <alignment vertical="center" wrapText="1"/>
    </xf>
    <xf numFmtId="0" fontId="26" fillId="0" borderId="0" xfId="0" applyFont="1" applyAlignment="1">
      <alignment vertical="center" wrapText="1"/>
    </xf>
    <xf numFmtId="164" fontId="28" fillId="0" borderId="0" xfId="0" applyNumberFormat="1" applyFont="1" applyAlignment="1">
      <alignment vertical="center" wrapText="1"/>
    </xf>
    <xf numFmtId="0" fontId="21" fillId="0" borderId="0" xfId="0" applyFont="1" applyAlignment="1">
      <alignment vertical="center"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5" fillId="0" borderId="0" xfId="0" applyFont="1" applyAlignment="1">
      <alignment horizontal="left"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5" fillId="0" borderId="0" xfId="0" applyFont="1" applyAlignment="1">
      <alignment horizontal="center" wrapText="1"/>
    </xf>
    <xf numFmtId="0" fontId="1" fillId="0" borderId="7" xfId="0" applyFont="1" applyBorder="1" applyAlignment="1">
      <alignment horizontal="center" wrapText="1"/>
    </xf>
    <xf numFmtId="0" fontId="1" fillId="0" borderId="0" xfId="0" applyFont="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29" fillId="0" borderId="0" xfId="0" applyFont="1"/>
    <xf numFmtId="0" fontId="24" fillId="0" borderId="0" xfId="0" applyFont="1" applyFill="1" applyAlignment="1">
      <alignment vertical="center" wrapText="1"/>
    </xf>
    <xf numFmtId="0" fontId="21" fillId="0" borderId="0" xfId="0" applyFont="1" applyBorder="1" applyAlignment="1">
      <alignment wrapText="1"/>
    </xf>
    <xf numFmtId="0" fontId="21" fillId="0" borderId="0" xfId="0" applyFont="1" applyFill="1" applyBorder="1" applyAlignment="1">
      <alignment wrapText="1"/>
    </xf>
    <xf numFmtId="164" fontId="0" fillId="0" borderId="0" xfId="0" applyNumberFormat="1"/>
    <xf numFmtId="0" fontId="0" fillId="0" borderId="0" xfId="0" pivotButton="1"/>
    <xf numFmtId="0" fontId="3" fillId="0" borderId="0" xfId="0" applyFont="1" applyFill="1" applyAlignment="1">
      <alignment vertical="center" wrapText="1"/>
    </xf>
    <xf numFmtId="0" fontId="17" fillId="0" borderId="0" xfId="0" applyFont="1" applyFill="1" applyAlignment="1">
      <alignment vertical="center" wrapText="1"/>
    </xf>
    <xf numFmtId="0" fontId="22" fillId="0" borderId="0" xfId="0" applyFont="1" applyFill="1" applyAlignment="1">
      <alignment vertical="center" wrapText="1"/>
    </xf>
    <xf numFmtId="0" fontId="1" fillId="0" borderId="0" xfId="0" applyFont="1" applyFill="1" applyAlignment="1">
      <alignment vertical="center" wrapText="1"/>
    </xf>
    <xf numFmtId="164" fontId="1" fillId="0" borderId="0" xfId="0" applyNumberFormat="1" applyFont="1" applyFill="1" applyAlignment="1">
      <alignment vertical="center" wrapText="1"/>
    </xf>
    <xf numFmtId="164" fontId="28" fillId="0" borderId="0" xfId="0" applyNumberFormat="1" applyFont="1" applyFill="1" applyAlignment="1">
      <alignment vertical="center" wrapText="1"/>
    </xf>
    <xf numFmtId="0" fontId="26" fillId="0" borderId="0" xfId="0" applyFont="1" applyFill="1" applyAlignment="1">
      <alignment vertical="center" wrapText="1"/>
    </xf>
    <xf numFmtId="0" fontId="1" fillId="0" borderId="0" xfId="0" applyFont="1" applyFill="1" applyAlignment="1">
      <alignment wrapText="1"/>
    </xf>
    <xf numFmtId="0" fontId="21" fillId="0" borderId="6" xfId="0" applyFont="1" applyFill="1" applyBorder="1" applyAlignment="1">
      <alignment vertical="center" wrapText="1"/>
    </xf>
  </cellXfs>
  <cellStyles count="1">
    <cellStyle name="Normal" xfId="0" builtinId="0"/>
  </cellStyles>
  <dxfs count="81">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64"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105833</xdr:colOff>
      <xdr:row>2</xdr:row>
      <xdr:rowOff>21169</xdr:rowOff>
    </xdr:from>
    <xdr:to>
      <xdr:col>6</xdr:col>
      <xdr:colOff>211667</xdr:colOff>
      <xdr:row>3</xdr:row>
      <xdr:rowOff>254010</xdr:rowOff>
    </xdr:to>
    <xdr:pic>
      <xdr:nvPicPr>
        <xdr:cNvPr id="2" name="Image 1">
          <a:extLst>
            <a:ext uri="{FF2B5EF4-FFF2-40B4-BE49-F238E27FC236}">
              <a16:creationId xmlns:a16="http://schemas.microsoft.com/office/drawing/2014/main" id="{D5509CB4-FBAC-5054-3C05-B80018D7E7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166" y="465669"/>
          <a:ext cx="2656418" cy="514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omsoftware.sharepoint.com/sites/Production/Documents%20partages/15%20COGITEL%20-%20Altea%20Packaging/01%20COGITEL%20Phase%201/2%20Besoins/MD203-%20Exigences%20Cogitel%20Digitalisation%20usine%20V2.2.xlsx" TargetMode="External"/><Relationship Id="rId1" Type="http://schemas.openxmlformats.org/officeDocument/2006/relationships/externalLinkPath" Target="/sites/Production/Documents%20partages/15%20COGITEL%20-%20Altea%20Packaging/01%20COGITEL%20Phase%201/2%20Besoins/MD203-%20Exigences%20Cogitel%20Digitalisation%20usine%20V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stion Exigences"/>
      <sheetName val="Modifs Doc"/>
      <sheetName val="Params"/>
      <sheetName val="MD203- Exigences Cogitel Digita"/>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39.720846296295" createdVersion="8" refreshedVersion="8" minRefreshableVersion="3" recordCount="31" xr:uid="{3C9CAF68-E1E1-49BC-98DF-2AE1C9ACD986}">
  <cacheSource type="worksheet">
    <worksheetSource name="Tableau3"/>
  </cacheSource>
  <cacheFields count="36">
    <cacheField name="ID" numFmtId="0">
      <sharedItems/>
    </cacheField>
    <cacheField name="Exigence" numFmtId="0">
      <sharedItems/>
    </cacheField>
    <cacheField name="Nature" numFmtId="0">
      <sharedItems/>
    </cacheField>
    <cacheField name="Catégorie" numFmtId="0">
      <sharedItems/>
    </cacheField>
    <cacheField name="Exigence indéfiée pendant la phase" numFmtId="0">
      <sharedItems/>
    </cacheField>
    <cacheField name="Description de l'exigence" numFmtId="0">
      <sharedItems/>
    </cacheField>
    <cacheField name="Source" numFmtId="0">
      <sharedItems containsBlank="1"/>
    </cacheField>
    <cacheField name="Description de la solution ADDIXO" numFmtId="0">
      <sharedItems longText="1"/>
    </cacheField>
    <cacheField name="GAP globale avec la solution standard" numFmtId="0">
      <sharedItems count="7">
        <s v="Standard"/>
        <s v="Gestion de production avec deux unités"/>
        <s v="environnement spécifique Cogitel"/>
        <s v="OF multilignes en série "/>
        <s v="Assurer la traçabilité palettes et bobines"/>
        <s v="Assurer le contrôle de la qualité des palettes et bobines "/>
        <s v="Assurer la traçabilité palettes et bobines " u="1"/>
      </sharedItems>
    </cacheField>
    <cacheField name="Écart entre exigence client et la solution proposée - préciser aussi les limites et hypothèses si applicable" numFmtId="0">
      <sharedItems containsBlank="1"/>
    </cacheField>
    <cacheField name="Validation Interne" numFmtId="0">
      <sharedItems containsBlank="1"/>
    </cacheField>
    <cacheField name="Colonne1" numFmtId="0">
      <sharedItems containsNonDate="0" containsString="0" containsBlank="1"/>
    </cacheField>
    <cacheField name="Colonne2" numFmtId="0">
      <sharedItems containsNonDate="0" containsString="0" containsBlank="1"/>
    </cacheField>
    <cacheField name="Colonne3" numFmtId="0">
      <sharedItems containsNonDate="0" containsString="0" containsBlank="1"/>
    </cacheField>
    <cacheField name="Colonne4" numFmtId="0">
      <sharedItems containsNonDate="0" containsString="0" containsBlank="1"/>
    </cacheField>
    <cacheField name="Colonne5" numFmtId="0">
      <sharedItems containsBlank="1"/>
    </cacheField>
    <cacheField name="Colonne6" numFmtId="0">
      <sharedItems containsBlank="1"/>
    </cacheField>
    <cacheField name="Colonne7" numFmtId="0">
      <sharedItems containsBlank="1"/>
    </cacheField>
    <cacheField name="Colonne8" numFmtId="0">
      <sharedItems containsNonDate="0" containsString="0" containsBlank="1"/>
    </cacheField>
    <cacheField name="Colonne9" numFmtId="0">
      <sharedItems containsNonDate="0" containsString="0" containsBlank="1"/>
    </cacheField>
    <cacheField name="Colonne10" numFmtId="0">
      <sharedItems containsNonDate="0" containsString="0" containsBlank="1"/>
    </cacheField>
    <cacheField name="Colonne11" numFmtId="0">
      <sharedItems containsNonDate="0" containsString="0" containsBlank="1"/>
    </cacheField>
    <cacheField name="Colonne12" numFmtId="0">
      <sharedItems containsNonDate="0" containsString="0" containsBlank="1"/>
    </cacheField>
    <cacheField name="Colonne13" numFmtId="0">
      <sharedItems containsNonDate="0" containsString="0" containsBlank="1"/>
    </cacheField>
    <cacheField name="Colonne14" numFmtId="0">
      <sharedItems containsNonDate="0" containsString="0" containsBlank="1"/>
    </cacheField>
    <cacheField name="Validation Interne par:" numFmtId="0">
      <sharedItems containsBlank="1"/>
    </cacheField>
    <cacheField name="Statut Client" numFmtId="0">
      <sharedItems containsBlank="1"/>
    </cacheField>
    <cacheField name="HJ Dev" numFmtId="164">
      <sharedItems containsSemiMixedTypes="0" containsString="0" containsNumber="1" minValue="0" maxValue="16"/>
    </cacheField>
    <cacheField name="HJ Analyse et test" numFmtId="0">
      <sharedItems containsSemiMixedTypes="0" containsString="0" containsNumber="1" minValue="0" maxValue="12"/>
    </cacheField>
    <cacheField name="Total HJ" numFmtId="164">
      <sharedItems containsSemiMixedTypes="0" containsString="0" containsNumber="1" minValue="0" maxValue="28"/>
    </cacheField>
    <cacheField name="Description comment la conception de la solution prend en compte l'exigence client" numFmtId="0">
      <sharedItems containsNonDate="0" containsString="0" containsBlank="1"/>
    </cacheField>
    <cacheField name="Conception réalisée par:" numFmtId="0">
      <sharedItems containsNonDate="0" containsString="0" containsBlank="1"/>
    </cacheField>
    <cacheField name="Revue conception réalisée par" numFmtId="0">
      <sharedItems containsNonDate="0" containsString="0" containsBlank="1"/>
    </cacheField>
    <cacheField name="Vérification de la conception réalisée par" numFmtId="0">
      <sharedItems containsNonDate="0" containsString="0" containsBlank="1"/>
    </cacheField>
    <cacheField name="Preuve de vérification " numFmtId="0">
      <sharedItems containsNonDate="0" containsString="0" containsBlank="1"/>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E001"/>
    <s v="Configuration de l'usine "/>
    <s v="Fonctionnelle"/>
    <s v="SF-Fonctionnelle"/>
    <s v="Commerciale"/>
    <s v="Configurer les données de l'usine "/>
    <m/>
    <s v="La solution offre un Module Core permettant la configuration complète de l'usine:_x000a_- Modélisation hiérarchique de l'usine: Sites, ateliers, lignes, postes, machines._x000a_- Gestion des produits et des palettes._x000a_- Gestion des unités._x000a_- Gestion des défaut qualité et des pannes machines._x000a_- Gestion des utilisateurs et des autorisations: Rôles et accès contrôlés._x000a_- Gestion des équipes: Production, qualité, maintenance._x000a_- Planification des lignes et des équipes: Cycles, équipes, calendrier de travail._x000a_- Configuration des panels._x000a_- Configuration des imprimantes._x000a_ etc."/>
    <x v="0"/>
    <m/>
    <s v="Validée"/>
    <m/>
    <m/>
    <m/>
    <m/>
    <m/>
    <m/>
    <m/>
    <m/>
    <m/>
    <m/>
    <m/>
    <m/>
    <m/>
    <m/>
    <s v="Mahdi B."/>
    <s v="Non validée par client"/>
    <n v="0"/>
    <n v="0"/>
    <n v="0"/>
    <m/>
    <m/>
    <m/>
    <m/>
    <m/>
    <m/>
  </r>
  <r>
    <s v="E002"/>
    <s v="Configuration des produits "/>
    <s v="Fonctionnelle"/>
    <s v="SF-Fonctionnelle"/>
    <s v="Commerciale"/>
    <s v="Configurer les produits en poids, en métrage linéaire et en pièce"/>
    <m/>
    <s v="Adaptation_x000a_Permettre au niveau de la configuration des produits :_x000a_- L'ajout d'une nouvelle unité de mesure (ex. kg, mètres, pièces) pour chaque produit. Pour chaque unité, l'utilisateur saisit une valeur spécifique avec des tolérances ._x000a_- L'ajout d'un taux de conversion entre les unités sélectionnées_x000a_- L'ajout de la capacité maximale et minimale par palette en nombre de bobines filles."/>
    <x v="1"/>
    <s v="Hypothèse :  Métrage min et max , poids min et max  , capacité palette min et max sont différents pour chaque produit"/>
    <s v="Validée"/>
    <m/>
    <m/>
    <m/>
    <m/>
    <e v="#REF!"/>
    <e v="#REF!"/>
    <e v="#REF!"/>
    <m/>
    <m/>
    <m/>
    <m/>
    <m/>
    <m/>
    <m/>
    <s v="Mahdi B."/>
    <s v="Non validée par client"/>
    <n v="2"/>
    <n v="1.5"/>
    <n v="3.5"/>
    <m/>
    <m/>
    <m/>
    <m/>
    <m/>
    <m/>
  </r>
  <r>
    <s v="E003"/>
    <s v="Chargement des données via des fichiers CSV"/>
    <s v="Fonctionnelle"/>
    <s v="SF-Fonctionnelle"/>
    <s v="Commerciale"/>
    <s v="Charger les données à partir des fichiers csv"/>
    <m/>
    <s v="La solution comprend un module &quot;Intégration SI&quot; permettant l'intégration automatisée de données: Chargement automatique de données depuis des fichiers CSV ou des systèmes d'information clients. En supportant les entités produits, utilisateurs et outillages, avec une gestion détaillée des erreurs d'intégration. _x000a_Adaptation : Adapter le fichier pour supporter deux unités avec les tolérancespour chaque produit"/>
    <x v="1"/>
    <m/>
    <s v="Validée"/>
    <m/>
    <m/>
    <m/>
    <m/>
    <e v="#REF!"/>
    <e v="#REF!"/>
    <e v="#REF!"/>
    <m/>
    <m/>
    <m/>
    <m/>
    <m/>
    <m/>
    <m/>
    <s v="Mahdi B."/>
    <s v="Non validée par client"/>
    <n v="0.5"/>
    <n v="0.375"/>
    <n v="0.875"/>
    <m/>
    <m/>
    <m/>
    <m/>
    <m/>
    <m/>
  </r>
  <r>
    <s v="E004"/>
    <s v="Lecture des produits , matières et nomenclatures  à partir du sage X3"/>
    <s v="Fonctionnelle"/>
    <s v="SF-Fonctionnelle"/>
    <s v="Commerciale"/>
    <s v="Intégration et mis à jour des produits, matières et nomenclatures à partir du sage X3 via API"/>
    <m/>
    <s v="Adaptation : _x000a_Le module &quot;Intégration SI&quot; de la solution permet d'intégrer via webservice , des produits, matières et nomenclatures à partir du sage X3 manuellement ou automatiquement selon une fréquence choisie par le client ._x000a_Le module &quot;Intégration SI&quot; de la solution permet l’importation des produits, nomenclatures et matières à partir du Sage X3 via webservice . L’intégration peut être réalisée soit manuellement, soit automatiquement, selon une fréquence définie par le client. En cas d’incompatibilité des champs transmis, la solution génère une alerte précisant les champs incorrects ou manquants, afin de garantir le succès de l’intégration."/>
    <x v="2"/>
    <s v="Cette exigences nécessite un travail de collaboration entre l'équipe MOMSOFT  et le fournisseur ERP du Client."/>
    <m/>
    <m/>
    <m/>
    <m/>
    <m/>
    <e v="#REF!"/>
    <e v="#REF!"/>
    <e v="#REF!"/>
    <m/>
    <m/>
    <m/>
    <m/>
    <m/>
    <m/>
    <m/>
    <m/>
    <m/>
    <n v="4"/>
    <n v="3"/>
    <n v="7"/>
    <m/>
    <m/>
    <m/>
    <m/>
    <m/>
    <m/>
  </r>
  <r>
    <s v="E005"/>
    <s v="Lecture des OF à partir de sage X3"/>
    <s v="Fonctionnelle"/>
    <s v="SF-Fonctionnelle"/>
    <s v="Commerciale"/>
    <s v="Automatiser l'intégration  des OF à partir de Sage X3 via API"/>
    <m/>
    <s v="Adaptation : _x000a_Le module &quot;Intégration SI&quot; permet la lecture des Ordres de fabrication à partir de Sage X3 en utilisant les webservices._x000a_La lecture des OF peut s'effectuer automatiquement en fonction d'une fréquence choisie par le client ou en utilisant l'interface Intégration des OF pour un chargement à sa convenance."/>
    <x v="2"/>
    <s v="Cette exigences nécessite un travail de collaboration entre l'équipe MOMSOFT  et le fournisseur ERP du Client."/>
    <s v="Validée"/>
    <m/>
    <m/>
    <m/>
    <m/>
    <e v="#REF!"/>
    <e v="#REF!"/>
    <e v="#REF!"/>
    <m/>
    <m/>
    <m/>
    <m/>
    <m/>
    <m/>
    <m/>
    <s v="Mahdi B."/>
    <s v="Non validée par client"/>
    <n v="3"/>
    <n v="2.25"/>
    <n v="5.25"/>
    <m/>
    <m/>
    <m/>
    <m/>
    <m/>
    <m/>
  </r>
  <r>
    <s v="E006"/>
    <s v="Gestion des Ordres de Fabrication"/>
    <s v="Fonctionnelle"/>
    <s v="SF-Fonctionnelle"/>
    <s v="Commerciale"/>
    <s v="Ajustement de la planification et gestion centralisée des OF"/>
    <m/>
    <s v="La solution offre un module &quot;Gestion des OF&quot; , offrant les fonctionnalités suivantes :_x000a_- Lancement simultané des OF sur plusieurs lignes de production en parallèle._x000a_- Gestion et suivi des statuts des OF: planifié, lancé, suspendu, changement de série, fermé._x000a_- Mise à jour en temps réel des statuts des OF._x000a_- Workflow paramétrable pour valider les changements de statut._x000a_- Ajustement dynamique de la planification en réponse aux aléas de production._x000a_- Gestion des changements de série._x000a_Adaptation : _x000a_- Gestion des OF en série, incluant une configuration pour une ligne dédiée à la sortie de production, _x000a_-Saisie des quantités objectifs en poids ou en métrage."/>
    <x v="3"/>
    <m/>
    <s v="Validée"/>
    <m/>
    <m/>
    <m/>
    <m/>
    <e v="#REF!"/>
    <e v="#REF!"/>
    <e v="#REF!"/>
    <m/>
    <m/>
    <m/>
    <m/>
    <m/>
    <m/>
    <m/>
    <s v="Mahdi B."/>
    <s v="Non validée par client"/>
    <n v="6"/>
    <n v="4.5"/>
    <n v="10.5"/>
    <m/>
    <m/>
    <m/>
    <m/>
    <m/>
    <m/>
  </r>
  <r>
    <s v="E007"/>
    <s v="Planification des opération "/>
    <s v="Fonctionnelle"/>
    <s v="SF-Fonctionnelle"/>
    <s v="Commerciale"/>
    <s v="Visualisation des planifications en temps réel"/>
    <m/>
    <s v="La solution offre un module de planification des opérations permettant de consulter en temps réel l'état des OF. Les utilisateurs peuvent visualiser les OF en cours, leur avancement, ainsi que la disponibilité des lignes et ressources associées, avec mises à jour automatiques pour refléter les ajustements ou imprévus en production."/>
    <x v="0"/>
    <m/>
    <s v="Validée"/>
    <m/>
    <m/>
    <m/>
    <m/>
    <e v="#REF!"/>
    <e v="#REF!"/>
    <e v="#REF!"/>
    <m/>
    <m/>
    <m/>
    <m/>
    <m/>
    <m/>
    <m/>
    <s v="Mahdi B."/>
    <s v="Non validée par client"/>
    <n v="0"/>
    <n v="0"/>
    <n v="0"/>
    <m/>
    <m/>
    <m/>
    <m/>
    <m/>
    <m/>
  </r>
  <r>
    <s v="E008"/>
    <s v="Fiche OK démarrage "/>
    <s v="Fonctionnelle"/>
    <s v="SF-Fonctionnelle"/>
    <s v="Commerciale"/>
    <s v="Génération des fiches de démarrage au lancement e l'OF"/>
    <m/>
    <s v="la solution permet le contrôle de la qualité produit et process , comprenant les fonctionnalités : _x000a_- Configuration des critères de contrôle :_x000a_   Définition des critères de mesure des produits (dimensions, aspects, etc.)_x000a_   Gestion des tolérances et spécifications par critère_x000a_  Gestion des paramètres et réglages machines_x000a_- Génération automatique des contrôles :_x000a_   Des fiches de contrôle produit et réglages machines au démarrage._x000a_-Validation et Traçabilité  : _x000a_  Workflow de validation à multi-niveaux des contrôles (validation régleur , validation qualiticien ..) ._x000a_   Archivage des résultats de contrôle"/>
    <x v="0"/>
    <m/>
    <s v="Validée"/>
    <m/>
    <m/>
    <m/>
    <m/>
    <e v="#REF!"/>
    <e v="#REF!"/>
    <e v="#REF!"/>
    <m/>
    <m/>
    <m/>
    <m/>
    <m/>
    <m/>
    <m/>
    <s v="Mahdi B."/>
    <s v="Non validée par client"/>
    <n v="0"/>
    <n v="0"/>
    <n v="0"/>
    <m/>
    <m/>
    <m/>
    <m/>
    <m/>
    <m/>
  </r>
  <r>
    <s v="E009"/>
    <s v="Instruction de travail par référence produit "/>
    <s v="Fonctionnelle"/>
    <s v="SF-Fonctionnelle"/>
    <s v="Commerciale"/>
    <s v="Chargement , affectation et visualisions des fiches d'instruction par produits "/>
    <m/>
    <s v="La solution offre un module &quot;Instruction de travail&quot; qui permet :_x000a_-Chargement : Importation des fichiers d'instructions._x000a_- Catégorisation : Classification par processus qualité, maintenance ou production._x000a_-Affectation : Attribution des instructions par ligne et produit._x000a_- Gestion des Versions : Centralisation et gestion du versionnage des documents._x000a_-Accessibilité : Accès en temps réel aux instructions pour les opérateurs et l'équipe qualité à partir de l'OF."/>
    <x v="0"/>
    <m/>
    <s v="Validée"/>
    <m/>
    <m/>
    <m/>
    <m/>
    <e v="#REF!"/>
    <e v="#REF!"/>
    <e v="#REF!"/>
    <m/>
    <m/>
    <m/>
    <m/>
    <m/>
    <m/>
    <m/>
    <s v="Mahdi B."/>
    <s v="Non validée par client"/>
    <n v="0"/>
    <n v="0"/>
    <n v="0"/>
    <m/>
    <m/>
    <m/>
    <m/>
    <m/>
    <m/>
  </r>
  <r>
    <s v="E010"/>
    <s v="Récupération du poids des bobines à partir des balances "/>
    <s v="Fonctionnelle"/>
    <s v="SF-Fonctionnelle"/>
    <s v="Commerciale"/>
    <s v="Récupération du poids  des bobines à partir des balances "/>
    <m/>
    <s v="Adaptation :_x000a_Récupération automatique des données : Intégration avec la balance pour récupérer automatiquement le poids de chaque bobine produite."/>
    <x v="2"/>
    <s v="Hypothèse : Ces informations seront récupérées à partir d'un fichier sur le serveur."/>
    <s v="Validée"/>
    <m/>
    <m/>
    <m/>
    <m/>
    <e v="#REF!"/>
    <e v="#REF!"/>
    <e v="#REF!"/>
    <m/>
    <m/>
    <m/>
    <m/>
    <m/>
    <m/>
    <m/>
    <s v="Mahdi B."/>
    <s v="Non validée par client"/>
    <n v="5"/>
    <n v="3.75"/>
    <n v="8.75"/>
    <m/>
    <m/>
    <m/>
    <m/>
    <m/>
    <m/>
  </r>
  <r>
    <s v="E011"/>
    <s v="Génération et impression étiquette bobine fille"/>
    <s v="Fonctionnelle"/>
    <s v="SF-Fonctionnelle"/>
    <s v="Commerciale"/>
    <s v="Validation de la quantité produite (bobine fille) en poids et mètre linéaire et déclenchement de l'impression étiquette bobine fille"/>
    <m/>
    <s v="Adaptation : _x000a_La solution permet de :_x000a_- Afficher le poids récupéré de la balance de la bobine fille_x000a_- Introduire le métrage linéaire du bobine fille _x000a_- Valider le poids et le métrage linéaire selon le taux de conversion : Contrôle du métrage pour s'assurer que le métrage et poids récupéré ne soit pas inférieur au métrage et poids exigés, tel que défini dans la configuration du produit et affichage d'une alerte en cas de non-conformité ._x000a_- Générer une étiquette pour la bobine fille _x000a_"/>
    <x v="2"/>
    <m/>
    <m/>
    <m/>
    <m/>
    <m/>
    <m/>
    <e v="#REF!"/>
    <e v="#REF!"/>
    <e v="#REF!"/>
    <m/>
    <m/>
    <m/>
    <m/>
    <m/>
    <m/>
    <m/>
    <m/>
    <m/>
    <n v="3"/>
    <n v="2.25"/>
    <n v="5.25"/>
    <m/>
    <m/>
    <m/>
    <m/>
    <m/>
    <m/>
  </r>
  <r>
    <s v="E012"/>
    <s v="Réimpression étiquette bobine fille"/>
    <s v="Fonctionnelle"/>
    <s v="SF-Fonctionnelle"/>
    <s v="Commerciale"/>
    <s v="Réimpression étiquette bobine fille"/>
    <m/>
    <s v="Adaptation : _x000a_La solution permet d'enregistrer et d'imprimer directement l'étiquette de la bobine fille ou de la réimprimer ."/>
    <x v="2"/>
    <s v="Cette exigence nécessite l'envoi d'une signale d'impression du panel à l'imprimante"/>
    <m/>
    <m/>
    <m/>
    <m/>
    <m/>
    <e v="#REF!"/>
    <e v="#REF!"/>
    <e v="#REF!"/>
    <m/>
    <m/>
    <m/>
    <m/>
    <m/>
    <m/>
    <m/>
    <m/>
    <m/>
    <n v="1"/>
    <n v="0.75"/>
    <n v="1.75"/>
    <m/>
    <m/>
    <m/>
    <m/>
    <m/>
    <m/>
  </r>
  <r>
    <s v="E013"/>
    <s v=" Fiche Machine : Déclaration de production en utilisant plusieurs unités ( par bobine fille et par palette )"/>
    <s v="Fonctionnelle"/>
    <s v="SF-Fonctionnelle"/>
    <s v="Commerciale"/>
    <s v="Déclaration des quantités produite et non-conforme en Kg, en mètre et en pièces (pour les sleeveuses) par bobine et par palette."/>
    <m/>
    <s v="Adaptation :_x000a_La solution proposée permettra de crée une fiche machine par opérateur et par shift permet  :_x000a_- Le suivi  de la consommation de la bobine mère : Tracer la consommation de la bobine mère en temps réel, avec possibilité d'ajouter une nouvelle bobine mère en cours de production. L'opérateur doit saisir la référence et les informations relatives à la bobine mère avant de commencer la production._x000a_- L'enregistrement automatiquement les quantités (selon les unités du produits) pour chaque bobine produite._x000a_- La génération automatique des palettes au démarrage de production_x000a_- La gestion automatique et manuelle des palettes : remplissage et clôture _x000a_- La déclaration manuelle des non-conformités par bobine, avec un suivi des défauts qualité et du lieu de détection _x000a_- La gestion  des déchets déclarés  et  non déclarés. _x000a_- La gestion des restes non consommés de la bobine mère ._x000a_- Un workflow de validation_x000a_- Un accès limité de modification _x000a_"/>
    <x v="4"/>
    <m/>
    <s v="Validée"/>
    <m/>
    <m/>
    <m/>
    <m/>
    <e v="#REF!"/>
    <e v="#REF!"/>
    <e v="#REF!"/>
    <m/>
    <m/>
    <m/>
    <m/>
    <m/>
    <m/>
    <m/>
    <s v="Mahdi B."/>
    <s v="Non validée par client"/>
    <n v="16"/>
    <n v="12"/>
    <n v="28"/>
    <m/>
    <m/>
    <m/>
    <m/>
    <m/>
    <m/>
  </r>
  <r>
    <s v="E014"/>
    <s v="Suivi de la qualité : Fiche d'auto-contrôle "/>
    <s v="Fonctionnelle"/>
    <s v="SF-Fonctionnelle"/>
    <s v="Commerciale"/>
    <s v="Digitaliser la génération et le remplissage des fiches de contrôle par bobine fille"/>
    <m/>
    <s v="La fiche suivi de la solution permet de :_x000a_- Générer automatiquement ou manuellement des fiches de suivi dédiées aux opérateurs , sous forme de check-lists, basées sur des critères qualité définis pour chaque bobine, avec les résultats (conforme/non conforme) et les valeurs associées._x000a_- Afficher des instructions pour les inspections à réaliser et suivre un workflow de validation des fiches de suivi._x000a_- Historiser et suivre toutes les fiches de suivi pour assurer une traçabilité complète._x000a_Adaptation : Ajouter des champs dans la fiche d'auto-contrôle pour identification de la matière (bobine mère ) , bobine fille et palette._x000a_Adapter la génération de la fiche d'auto-contrôle à la génération de l'étiquette bobine fille ."/>
    <x v="5"/>
    <m/>
    <m/>
    <m/>
    <m/>
    <m/>
    <m/>
    <e v="#REF!"/>
    <e v="#REF!"/>
    <e v="#REF!"/>
    <m/>
    <m/>
    <m/>
    <m/>
    <m/>
    <m/>
    <m/>
    <m/>
    <m/>
    <n v="2"/>
    <n v="1.5"/>
    <n v="3.5"/>
    <m/>
    <m/>
    <m/>
    <m/>
    <m/>
    <m/>
  </r>
  <r>
    <s v="E015"/>
    <s v="Gestion des fiches de passation"/>
    <s v="Fonctionnelle"/>
    <s v="SF-Fonctionnelle"/>
    <s v="Commerciale"/>
    <s v="Gérer le changement de responsabilité en utilisant les fiches de passation"/>
    <m/>
    <s v="Adaptation : La solution permet de générer automatiquement des fiches de passation contenant toutes les informations relatives au shift. La validation de ces fiches est nécessaire pour contrôler le changement de responsabilité."/>
    <x v="4"/>
    <m/>
    <m/>
    <m/>
    <m/>
    <m/>
    <m/>
    <e v="#REF!"/>
    <e v="#REF!"/>
    <e v="#REF!"/>
    <m/>
    <m/>
    <m/>
    <m/>
    <m/>
    <m/>
    <m/>
    <m/>
    <m/>
    <n v="3"/>
    <n v="2.25"/>
    <n v="5.25"/>
    <m/>
    <m/>
    <m/>
    <m/>
    <m/>
    <m/>
  </r>
  <r>
    <s v="E016"/>
    <s v="Génération et impression des étiquette pour les palettes "/>
    <s v="Fonctionnelle"/>
    <s v="SF-Fonctionnelle"/>
    <s v="Commerciale"/>
    <s v="Génération et impression d'étiquettes automatique à la fermeture de palette"/>
    <m/>
    <s v="Adaptation  : Une fois qu'une palette est clôturée, la solution génère automatiquement une étiquette contenant les informations essentielles (Code à barre , code produit, poids, mètre linéaire, etc.). "/>
    <x v="4"/>
    <m/>
    <s v="Validée"/>
    <m/>
    <m/>
    <m/>
    <m/>
    <e v="#REF!"/>
    <e v="#REF!"/>
    <e v="#REF!"/>
    <m/>
    <m/>
    <m/>
    <m/>
    <m/>
    <m/>
    <m/>
    <s v="Mahdi B."/>
    <s v="Non validée par client"/>
    <n v="3"/>
    <n v="2.25"/>
    <n v="5.25"/>
    <m/>
    <m/>
    <m/>
    <m/>
    <m/>
    <m/>
  </r>
  <r>
    <s v="E017"/>
    <s v="Fiche de contrôle: Libération"/>
    <s v="Fonctionnelle"/>
    <s v="SF-Fonctionnelle"/>
    <s v="Commerciale"/>
    <s v="Génération automatique et manuelle des fiches de contrôle  (libération ) à la clôture de la palette"/>
    <m/>
    <s v="Adaptation :_x000a_La solution propose de créer automatiquement à la clôture de la palette ou manuellement les fiches de contrôle (libération)  sous forme de check-list, contenant tous les critères à contrôler par palette ._x000a_ - Gestion des statuts des palettes ( libérée , en attente de libération , en attente d'analyse, Libérée avec dérogation , bloquée )_x000a_- Envoie d'une notification au magasinier une fois le statut de la palette est libérée ou libérée avec dérogation ._x000a_L'accès à ces fiches est limité aux agents qualité, avec une historisation complète et un suivi de toutes les fiches d'inspection pour assurer une traçabilité totale._x000a_De plus, la solution intègre un workflow de validation ."/>
    <x v="5"/>
    <m/>
    <m/>
    <m/>
    <m/>
    <m/>
    <m/>
    <e v="#REF!"/>
    <e v="#REF!"/>
    <e v="#REF!"/>
    <m/>
    <m/>
    <m/>
    <m/>
    <m/>
    <m/>
    <m/>
    <m/>
    <m/>
    <n v="6"/>
    <n v="4.5"/>
    <n v="10.5"/>
    <m/>
    <m/>
    <m/>
    <m/>
    <m/>
    <m/>
  </r>
  <r>
    <s v="E018"/>
    <s v="Pré-déclaration de la palette dans Sage X3"/>
    <s v="Fonctionnelle"/>
    <s v="SF-Fonctionnelle"/>
    <s v="Commerciale"/>
    <s v="Envoi de la palette au sage X3 avec un statut défini"/>
    <m/>
    <s v="Adaptation :_x000a_Envoi de la palette vers sage X3 avec un statut &quot;en attente de libération&quot; ."/>
    <x v="2"/>
    <s v="Cette exigence nécessite un travail de collaboration entre l'équipe MOMSOFT et le fournisseur ERP du Client."/>
    <m/>
    <m/>
    <m/>
    <m/>
    <m/>
    <e v="#REF!"/>
    <e v="#REF!"/>
    <e v="#REF!"/>
    <m/>
    <m/>
    <m/>
    <m/>
    <m/>
    <m/>
    <m/>
    <m/>
    <m/>
    <n v="3"/>
    <n v="2.25"/>
    <n v="5.25"/>
    <m/>
    <m/>
    <m/>
    <m/>
    <m/>
    <m/>
  </r>
  <r>
    <s v="E019"/>
    <s v="Suivi de la production et qualité en utilisant deux unités "/>
    <s v="Fonctionnelle"/>
    <s v="SF-Fonctionnelle"/>
    <s v="Commerciale"/>
    <s v="Suivi et historisation de la production et qualité par poids et mètre linéaire "/>
    <m/>
    <s v="Adaptation : La solution permet de suivre et d'historiser la production et la qualité par OF, par shift, et par bobine. Des colonnes supplémentaires sont proposées pour afficher les quantités en poids et en mètres linéaires."/>
    <x v="1"/>
    <m/>
    <s v="Validée"/>
    <m/>
    <m/>
    <m/>
    <m/>
    <e v="#REF!"/>
    <e v="#REF!"/>
    <e v="#REF!"/>
    <m/>
    <m/>
    <m/>
    <m/>
    <m/>
    <m/>
    <m/>
    <s v="Mahdi B."/>
    <s v="Non validée par client"/>
    <n v="5"/>
    <n v="3.75"/>
    <n v="8.75"/>
    <m/>
    <m/>
    <m/>
    <m/>
    <m/>
    <m/>
  </r>
  <r>
    <s v="E020"/>
    <s v="Gestion des Rework  "/>
    <s v="Fonctionnelle"/>
    <s v="SF-Fonctionnelle"/>
    <s v="Commerciale"/>
    <s v="Création des ordres de Rework"/>
    <m/>
    <s v=" Adaptation : La solution proposée permet de crée et gérer   des OF de Rework avec le même code OF  dès la déclaration d'un incident de qualité nécessitant un traitement. Les OF de Rework seront marqués pour les identifier."/>
    <x v="5"/>
    <m/>
    <s v="Validée"/>
    <m/>
    <m/>
    <m/>
    <m/>
    <e v="#REF!"/>
    <e v="#REF!"/>
    <e v="#REF!"/>
    <m/>
    <m/>
    <m/>
    <m/>
    <m/>
    <m/>
    <m/>
    <s v="Mahdi B."/>
    <s v="Non validée par client"/>
    <n v="4"/>
    <n v="3"/>
    <n v="7"/>
    <m/>
    <m/>
    <m/>
    <m/>
    <m/>
    <m/>
  </r>
  <r>
    <s v="E021"/>
    <s v="Fiche de réception magasin"/>
    <s v="Fonctionnelle"/>
    <s v="SF-Fonctionnelle"/>
    <s v="Commerciale"/>
    <s v="Génération automatique de la fiche de contrôle par palette"/>
    <m/>
    <s v="Adaptation : _x000a_La solution permet de générer automatiquement ou manuellement une fiche de contrôle après libération d’une palette, afin de la valider avant le conditionnement. _x000a_Cette fiche dédié au magasinier , se présente sous la forme d’une check-list de contrôle, avec des paramètres configurables._x000a_Elle permet également de vérifier le taux de conversion réel par rapport au taux théorique._x000a_De plus, la solution inclut un workflow de validation et garantit une historisation complète des fiches."/>
    <x v="5"/>
    <m/>
    <m/>
    <m/>
    <m/>
    <m/>
    <m/>
    <e v="#REF!"/>
    <e v="#REF!"/>
    <e v="#REF!"/>
    <m/>
    <m/>
    <m/>
    <m/>
    <m/>
    <m/>
    <m/>
    <m/>
    <m/>
    <n v="4"/>
    <n v="3"/>
    <n v="7"/>
    <m/>
    <m/>
    <m/>
    <m/>
    <m/>
    <m/>
  </r>
  <r>
    <s v="E022"/>
    <s v="Certificat d'analyse laboratoire"/>
    <s v="Fonctionnelle"/>
    <s v="SF-Fonctionnelle"/>
    <s v="Commerciale"/>
    <s v="Création et consultation des certificats d'analyse laboratoire"/>
    <m/>
    <s v="Adaptation : _x000a_La solution permet de créer , consulter et imprimer des certificat d'analyse laboratoire contenant une synthèse des contrôles réalisés par critère ."/>
    <x v="5"/>
    <m/>
    <m/>
    <m/>
    <m/>
    <m/>
    <m/>
    <e v="#REF!"/>
    <e v="#REF!"/>
    <e v="#REF!"/>
    <m/>
    <m/>
    <m/>
    <m/>
    <m/>
    <m/>
    <m/>
    <m/>
    <m/>
    <n v="5"/>
    <n v="3.75"/>
    <n v="8.75"/>
    <m/>
    <m/>
    <m/>
    <m/>
    <m/>
    <m/>
  </r>
  <r>
    <s v="E023"/>
    <s v="Génération et impression de la deuxième  étiquette pour les palettes "/>
    <s v="Fonctionnelle"/>
    <s v="SF-Fonctionnelle"/>
    <s v="Commerciale"/>
    <s v="Génération et impression d'étiquettes automatique à la validation de la fiche de réception magasin "/>
    <m/>
    <s v="Adaptation  : Une fois qu'une fiche de réception magasin est validée par le magasinier ,  la solution permet de générer et imprimer une deuxième  étiquette contenant les informations essentielles (Code à barre , code produit, poids, mètre linéaire, etc.). "/>
    <x v="4"/>
    <m/>
    <m/>
    <m/>
    <m/>
    <m/>
    <m/>
    <e v="#REF!"/>
    <e v="#REF!"/>
    <e v="#REF!"/>
    <m/>
    <m/>
    <m/>
    <m/>
    <m/>
    <m/>
    <m/>
    <m/>
    <m/>
    <n v="2"/>
    <n v="1.5"/>
    <n v="3.5"/>
    <m/>
    <m/>
    <m/>
    <m/>
    <m/>
    <m/>
  </r>
  <r>
    <s v="E024"/>
    <s v="Confirmation collage étiquette "/>
    <s v="Fonctionnelle"/>
    <s v="SF-Fonctionnelle"/>
    <s v="Commerciale"/>
    <s v="Scan des deux étiquettes, de comparer leurs données"/>
    <m/>
    <s v="Adaptation  : La solution exige de scanner les deux étiquettes, de vérifier la correspondance des données et d'informer l'utilisateur en cas de divergence, avant de déplacer la palette vers le stock."/>
    <x v="4"/>
    <m/>
    <m/>
    <m/>
    <m/>
    <m/>
    <m/>
    <e v="#REF!"/>
    <e v="#REF!"/>
    <e v="#REF!"/>
    <m/>
    <m/>
    <m/>
    <m/>
    <m/>
    <m/>
    <m/>
    <m/>
    <m/>
    <n v="2"/>
    <n v="1.5"/>
    <n v="3.5"/>
    <m/>
    <m/>
    <m/>
    <m/>
    <m/>
    <m/>
  </r>
  <r>
    <s v="E025"/>
    <s v="Confirmation de la déclaration finale de la production pour l'ERP"/>
    <s v="Fonctionnelle"/>
    <s v="SF-Fonctionnelle"/>
    <s v="Commerciale"/>
    <s v="Déclaration finale de la production dans l'ERP "/>
    <m/>
    <s v="Adaptation : La solution exige aux utilisateurs de confirmer la déclaration de production au niveau de l'ERP."/>
    <x v="2"/>
    <m/>
    <m/>
    <m/>
    <m/>
    <m/>
    <m/>
    <e v="#REF!"/>
    <e v="#REF!"/>
    <e v="#REF!"/>
    <m/>
    <m/>
    <m/>
    <m/>
    <m/>
    <m/>
    <m/>
    <m/>
    <m/>
    <n v="1"/>
    <n v="0.75"/>
    <n v="1.75"/>
    <m/>
    <m/>
    <m/>
    <m/>
    <m/>
    <m/>
  </r>
  <r>
    <s v="E026"/>
    <s v="Écriture vers Sage X3 par Palette"/>
    <s v="Fonctionnelle"/>
    <s v="SF-Fonctionnelle"/>
    <s v="Commerciale"/>
    <s v="Retour des données des OF vers sage X3"/>
    <m/>
    <s v="Adaptation : La solution permet d'automatiser le retour des données des OF vers Sage X3 via webservices , les données envoyées inclut la quantité produite par palette en poids et en  mètres linéaires avec un statut &quot;en stock&quot;. "/>
    <x v="2"/>
    <s v="Cette adaptation nécessite la collaboration avec l'intégrateur ERP de client ."/>
    <s v="Validée"/>
    <m/>
    <m/>
    <m/>
    <m/>
    <e v="#REF!"/>
    <e v="#REF!"/>
    <e v="#REF!"/>
    <m/>
    <m/>
    <m/>
    <m/>
    <m/>
    <m/>
    <m/>
    <s v="Mahdi B."/>
    <s v="Non validée par client"/>
    <n v="2"/>
    <n v="1.5"/>
    <n v="3.5"/>
    <m/>
    <m/>
    <m/>
    <m/>
    <m/>
    <m/>
  </r>
  <r>
    <s v="E027"/>
    <s v="Gestion et suivi des arrêts  "/>
    <s v="Fonctionnelle"/>
    <s v="SF-Fonctionnelle"/>
    <s v="Commerciale"/>
    <s v="Suivi des arrêts de production"/>
    <m/>
    <s v="La solution permet d'arrêter manuellement la production, en précisant les causes d'arrêt configurées. Elle offre un suivi détaillé de la durée d'arrêt et de l'occurrence des différentes causes."/>
    <x v="0"/>
    <m/>
    <s v="Validée"/>
    <m/>
    <m/>
    <m/>
    <m/>
    <e v="#REF!"/>
    <e v="#REF!"/>
    <e v="#REF!"/>
    <m/>
    <m/>
    <m/>
    <m/>
    <m/>
    <m/>
    <m/>
    <s v="Mahdi B."/>
    <s v="Non validée par client"/>
    <n v="0"/>
    <n v="0"/>
    <n v="0"/>
    <m/>
    <m/>
    <m/>
    <m/>
    <m/>
    <m/>
  </r>
  <r>
    <s v="E028"/>
    <s v="Compte Rendu OF"/>
    <s v="Fonctionnelle"/>
    <s v="SF-Fonctionnelle"/>
    <s v="Commerciale"/>
    <s v="Récapitulation de données de l'OF dans un compte rendu"/>
    <m/>
    <s v="La solution offre une interface &quot;Résumé OF&quot; contenant tous les données concernant l'OF : Production , Qualité , maintenance prêt à imprimer ._x000a_Adaptation : Adapter les détails de production par shift de l'OF pour inclure les informations depuis la fiche machines ."/>
    <x v="4"/>
    <m/>
    <m/>
    <m/>
    <m/>
    <m/>
    <m/>
    <e v="#REF!"/>
    <e v="#REF!"/>
    <e v="#REF!"/>
    <m/>
    <m/>
    <m/>
    <m/>
    <m/>
    <m/>
    <m/>
    <m/>
    <m/>
    <n v="2"/>
    <n v="1.5"/>
    <n v="3.5"/>
    <m/>
    <m/>
    <m/>
    <m/>
    <m/>
    <m/>
  </r>
  <r>
    <s v="E029"/>
    <s v="Suivi de la production en temps réel "/>
    <s v="Fonctionnelle"/>
    <s v="SF-Fonctionnelle"/>
    <s v="Commerciale"/>
    <s v="Suivi en temps réel des KPIs , des durées d'arrêts et des quantités en poids et en mètre linéaire"/>
    <s v="Suivi en temps réel des KPIs et des quantités par poids et par mètre linéaire"/>
    <s v="La solution offre une supervision de production en temps réel avec le module &quot;Vue 360°&quot; permettant de  : _x000a_• Visualiser l'état des lignes en temps réel avec codification couleur paramétrable._x000a_•Suivie des indicateurs clés de performance (KPI): TRS équipe et OF ,Taux de performance, disponibilité et qualité _x000a_•Suivre la progression des OF._x000a_•Analyser des arrêts: Durées, causes et nombre d'occurrences._x000a_•Visualiser la production et non-conformité en temps réel: Production totale et horaire par équipe , Non-conformité totale et horaire par équipe avec catégorisation par défaut qualité._x000a_Adaptation : ajouter l'option de visualiser la progression de l'OF , la quantité totale produite , la non-conformité en poids et en métrage."/>
    <x v="1"/>
    <m/>
    <s v="Validée"/>
    <m/>
    <m/>
    <m/>
    <m/>
    <e v="#REF!"/>
    <e v="#REF!"/>
    <e v="#REF!"/>
    <m/>
    <m/>
    <m/>
    <m/>
    <m/>
    <m/>
    <m/>
    <s v="Mahdi B."/>
    <s v="Non validée par client"/>
    <n v="4"/>
    <n v="3"/>
    <n v="7"/>
    <m/>
    <m/>
    <m/>
    <m/>
    <m/>
    <m/>
  </r>
  <r>
    <s v="E030"/>
    <s v="Tableau de bord qualité "/>
    <s v="Fonctionnelle"/>
    <s v="SF-Fonctionnelle"/>
    <s v="Commerciale"/>
    <s v="Analyse des données  historique de la qualité en poids et en mètre linéaire : Rebut et Rework"/>
    <m/>
    <s v="La solution offre un tableau de bord qualité fournissant une vue multiniveaux de la non-conformité , les défauts et leurs occurrence , un Pareto des défaut _x000a_Adaptation : _x000a_-Ajouter l'option de visualiser les quantités non conforme en poids et en métrage  _x000a_- Ajouter un chart pour visualiser le taux de Rework  et de déchet par poids et par mètre linéaire"/>
    <x v="1"/>
    <m/>
    <s v="Validée"/>
    <m/>
    <m/>
    <m/>
    <m/>
    <e v="#REF!"/>
    <e v="#REF!"/>
    <e v="#REF!"/>
    <m/>
    <m/>
    <m/>
    <m/>
    <m/>
    <m/>
    <m/>
    <s v="Mahdi B."/>
    <s v="Non validée par client"/>
    <n v="3"/>
    <n v="2.25"/>
    <n v="5.25"/>
    <m/>
    <m/>
    <m/>
    <m/>
    <m/>
    <m/>
  </r>
  <r>
    <s v="E031"/>
    <s v="Tableau de bord production"/>
    <s v="Fonctionnelle"/>
    <s v="SF-Fonctionnelle"/>
    <s v="Commerciale"/>
    <s v="Analyser l'évolution des indicateurs clés au cours du temps des lignes de production ."/>
    <m/>
    <s v="la solution offre un tableau de bord fournissant une vue multi-niveaux de la production en utilisant des indicateurs clés :  TRS, Quantité produite vs Quantité planifiée, Temps d'arrêt vs temps de production, etc._x000a_Adaptation : _x000a_-Ajouter l'option de visualiser les indicateurs en poids et en mètre linéaires_x000a_"/>
    <x v="1"/>
    <m/>
    <s v="Validée"/>
    <m/>
    <m/>
    <m/>
    <m/>
    <e v="#REF!"/>
    <e v="#REF!"/>
    <e v="#REF!"/>
    <m/>
    <m/>
    <m/>
    <m/>
    <m/>
    <m/>
    <m/>
    <s v="Mahdi B."/>
    <s v="Non validée par client"/>
    <n v="3"/>
    <n v="2.25"/>
    <n v="5.25"/>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10F1B1-6F7C-4E3D-9B46-530B3FF35971}" name="PivotTable1" cacheId="53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8" firstHeaderRow="1" firstDataRow="1" firstDataCol="1"/>
  <pivotFields count="3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4"/>
        <item m="1" x="6"/>
        <item x="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7">
    <i>
      <x/>
    </i>
    <i>
      <x v="2"/>
    </i>
    <i>
      <x v="3"/>
    </i>
    <i>
      <x v="4"/>
    </i>
    <i>
      <x v="5"/>
    </i>
    <i>
      <x v="6"/>
    </i>
    <i t="grand">
      <x/>
    </i>
  </rowItems>
  <colItems count="1">
    <i/>
  </colItems>
  <dataFields count="1">
    <dataField name="Sum of Total HJ" fld="2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K44" totalsRowCount="1" headerRowDxfId="80" dataDxfId="79">
  <autoFilter ref="B12:AK43" xr:uid="{DDEA2C8B-EE0D-4C55-9256-CCC64E002CE6}"/>
  <tableColumns count="36">
    <tableColumn id="1" xr3:uid="{E467E0EE-CDAA-4FF5-85A8-CDC0B23A5AD9}" name="ID" dataDxfId="77" totalsRowDxfId="78"/>
    <tableColumn id="2" xr3:uid="{E53952AC-4972-47BD-8B1D-C7EF23088D0D}" name="Exigence" dataDxfId="75" totalsRowDxfId="76"/>
    <tableColumn id="8" xr3:uid="{B2D0BC2C-C803-4015-8FA6-70F84517BDB2}" name="Nature" dataDxfId="73" totalsRowDxfId="74"/>
    <tableColumn id="7" xr3:uid="{24F2F0ED-022E-4EC1-91D8-BFE0E4F2FD36}" name="Catégorie" dataDxfId="71" totalsRowDxfId="72"/>
    <tableColumn id="10" xr3:uid="{1FF81CF1-6D35-421C-8767-9E7FA06FEE6A}" name="Exigence indéfiée pendant la phase" dataDxfId="69" totalsRowDxfId="70"/>
    <tableColumn id="3" xr3:uid="{E7621A68-9552-4853-96A5-92A226EA42DD}" name="Description de l'exigence" dataDxfId="67" totalsRowDxfId="68"/>
    <tableColumn id="9" xr3:uid="{E6EEEC82-3576-4980-94B3-1423906CE531}" name="Source" dataDxfId="65" totalsRowDxfId="66"/>
    <tableColumn id="16" xr3:uid="{1441554A-79F9-4040-9CF5-AEBFF7ADF7D1}" name="Description de la solution ADDIXO" dataDxfId="63" totalsRowDxfId="64"/>
    <tableColumn id="37" xr3:uid="{8DB13F40-C417-49C4-A215-49E7FA96B38A}" name="GAP globale avec la solution standard" totalsRowDxfId="62"/>
    <tableColumn id="17" xr3:uid="{D1BC9C86-C3CE-417F-AC83-FC4786A7656D}" name="Écart entre exigence client et la solution proposée - préciser aussi les limites et hypothèses si applicable" dataDxfId="60" totalsRowDxfId="61"/>
    <tableColumn id="5" xr3:uid="{2649C3B7-E8B9-44F9-8883-E5BB6F91B4B1}" name="Validation Interne" dataDxfId="58" totalsRowDxfId="59"/>
    <tableColumn id="19" xr3:uid="{1684315C-4BF1-4202-9296-395A9CBBCF5B}" name="Colonne1" dataDxfId="56" totalsRowDxfId="57"/>
    <tableColumn id="23" xr3:uid="{B6C3130B-09EF-45AC-BADA-90DC4AA315FC}" name="Colonne2" dataDxfId="54" totalsRowDxfId="55"/>
    <tableColumn id="24" xr3:uid="{ED6C4BB9-0261-4756-9E2F-D66985E18ED3}" name="Colonne3" dataDxfId="52" totalsRowDxfId="53"/>
    <tableColumn id="25" xr3:uid="{78150193-1C14-44BE-96A3-D80FFAA537A1}" name="Colonne4" dataDxfId="50" totalsRowDxfId="51"/>
    <tableColumn id="26" xr3:uid="{675E0A2C-BB54-404C-AA93-815EC984D2D6}" name="Colonne5" dataDxfId="48" totalsRowDxfId="49">
      <calculatedColumnFormula>[1]!Tableau32[[#This Row],[HJ Dev]]*(25%+25%)</calculatedColumnFormula>
    </tableColumn>
    <tableColumn id="27" xr3:uid="{CBA3FCD9-30EA-4D19-BD7E-D0C0216A2D2C}" name="Colonne6" dataDxfId="46" totalsRowDxfId="47">
      <calculatedColumnFormula>[1]!Tableau32[[#This Row],[HJ Analyse et test]]+[1]!Tableau32[[#This Row],[HJ Dev]]</calculatedColumnFormula>
    </tableColumn>
    <tableColumn id="28" xr3:uid="{64F4902E-4937-4A74-910C-13A5511F7340}" name="Colonne7" dataDxfId="44" totalsRowDxfId="45">
      <calculatedColumnFormula>[1]!Tableau32[[#This Row],[Total HJ]]*8</calculatedColumnFormula>
    </tableColumn>
    <tableColumn id="29" xr3:uid="{D26DE321-3DF3-4A2C-8283-3F62F92E87F7}" name="Colonne8" dataDxfId="42" totalsRowDxfId="43"/>
    <tableColumn id="30" xr3:uid="{5434348C-D2DE-493F-94CA-198AB6E4DAB4}" name="Colonne9" dataDxfId="40" totalsRowDxfId="41"/>
    <tableColumn id="31" xr3:uid="{06456D23-93D7-4397-815B-7D05CC6463D2}" name="Colonne10" dataDxfId="38" totalsRowDxfId="39"/>
    <tableColumn id="32" xr3:uid="{FB8D074E-F786-450E-8A8C-7D77D212C0ED}" name="Colonne11" dataDxfId="36" totalsRowDxfId="37"/>
    <tableColumn id="33" xr3:uid="{8C68935C-FF3F-4366-B375-B488B353BA68}" name="Colonne12" dataDxfId="34" totalsRowDxfId="35"/>
    <tableColumn id="34" xr3:uid="{78D71331-AEFF-45A6-96F8-D15DAA307F14}" name="Colonne13" dataDxfId="32" totalsRowDxfId="33"/>
    <tableColumn id="35" xr3:uid="{A9FCD645-19CA-4DCD-93DF-19C36E49D180}" name="Colonne14"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custom" dataDxfId="24" totalsRowDxfId="25">
      <totalsRowFormula>SUBTOTAL(109,AC13:AC43)</totalsRowFormula>
    </tableColumn>
    <tableColumn id="21" xr3:uid="{818C68C5-1CC3-4DC9-9BB8-2CB7816ABE9F}" name="HJ Analyse et test" totalsRowFunction="custom" dataDxfId="22" totalsRowDxfId="23">
      <calculatedColumnFormula>Tableau3[[#This Row],[HJ Dev]]*(75%)</calculatedColumnFormula>
      <totalsRowFormula>SUBTOTAL(109,AD13:AD43)</totalsRowFormula>
    </tableColumn>
    <tableColumn id="20" xr3:uid="{81CB5860-4285-4425-ABF9-C91F3323BF25}" name="Total HJ" totalsRowFunction="custom" dataDxfId="20" totalsRowDxfId="21">
      <calculatedColumnFormula>Tableau3[[#This Row],[HJ Dev]]+Tableau3[[#This Row],[HJ Analyse et test]]</calculatedColumnFormula>
      <totalsRowFormula>SUBTOTAL(109,AE13:AE43)</totalsRow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K44"/>
  <sheetViews>
    <sheetView tabSelected="1" topLeftCell="A38" zoomScale="70" zoomScaleNormal="70" workbookViewId="0">
      <selection activeCell="J41" sqref="J41"/>
    </sheetView>
  </sheetViews>
  <sheetFormatPr defaultColWidth="11.42578125" defaultRowHeight="12.75" customHeight="1"/>
  <cols>
    <col min="1" max="1" width="11.42578125" style="1"/>
    <col min="2" max="2" width="6.140625" style="1" customWidth="1"/>
    <col min="3" max="3" width="30.42578125" style="1" customWidth="1"/>
    <col min="4" max="4" width="16.140625" style="1" hidden="1" customWidth="1"/>
    <col min="5" max="5" width="15.5703125" style="1" hidden="1" customWidth="1"/>
    <col min="6" max="6" width="24.5703125" style="1" hidden="1" customWidth="1"/>
    <col min="7" max="7" width="56.5703125" style="1" customWidth="1"/>
    <col min="8" max="8" width="18.42578125" style="1" hidden="1" customWidth="1"/>
    <col min="9" max="10" width="87.140625" style="1" customWidth="1"/>
    <col min="11" max="11" width="72.5703125" style="1" customWidth="1"/>
    <col min="12" max="26" width="10.5703125" style="1" hidden="1" customWidth="1"/>
    <col min="27" max="27" width="12" style="1" hidden="1" customWidth="1"/>
    <col min="28" max="28" width="12.85546875" style="1" hidden="1" customWidth="1"/>
    <col min="29" max="29" width="9.140625" style="1" customWidth="1"/>
    <col min="30" max="30" width="14.85546875" style="1" customWidth="1"/>
    <col min="31" max="31" width="10.140625" style="1" customWidth="1"/>
    <col min="32" max="32" width="33.140625" style="1" customWidth="1"/>
    <col min="33" max="33" width="15.42578125" style="1" customWidth="1"/>
    <col min="34" max="34" width="14.85546875" style="1" customWidth="1"/>
    <col min="35" max="35" width="17.42578125" style="1" customWidth="1"/>
    <col min="36" max="36" width="24.140625" style="1" customWidth="1"/>
    <col min="37" max="37" width="9" style="1" customWidth="1"/>
    <col min="38" max="38" width="5.5703125" style="1" customWidth="1"/>
    <col min="39" max="40" width="11.42578125" style="1" customWidth="1"/>
    <col min="41" max="16384" width="11.42578125" style="1"/>
  </cols>
  <sheetData>
    <row r="1" spans="2:37"/>
    <row r="2" spans="2:37" ht="21.75" customHeight="1">
      <c r="B2" s="39" t="s">
        <v>0</v>
      </c>
      <c r="C2" s="40"/>
      <c r="D2" s="40"/>
      <c r="E2" s="40"/>
      <c r="F2" s="40"/>
      <c r="G2" s="40"/>
      <c r="H2" s="40"/>
      <c r="I2" s="40"/>
      <c r="J2" s="40"/>
      <c r="K2" s="40"/>
      <c r="L2" s="40"/>
      <c r="M2" s="40"/>
      <c r="N2" s="40"/>
      <c r="O2" s="40"/>
      <c r="P2" s="40"/>
      <c r="Q2" s="40"/>
      <c r="R2" s="40"/>
      <c r="S2" s="40"/>
      <c r="T2" s="40"/>
      <c r="U2" s="40"/>
      <c r="V2" s="40"/>
      <c r="W2" s="40"/>
      <c r="X2" s="40"/>
      <c r="Y2" s="40"/>
      <c r="Z2" s="40"/>
      <c r="AA2" s="40"/>
      <c r="AB2" s="41"/>
      <c r="AC2" s="43" t="s">
        <v>1</v>
      </c>
      <c r="AD2" s="44"/>
      <c r="AE2" s="45"/>
      <c r="AF2" s="37" t="s">
        <v>2</v>
      </c>
      <c r="AG2" s="38"/>
      <c r="AH2" s="38"/>
      <c r="AI2" s="38"/>
      <c r="AJ2" s="38"/>
      <c r="AK2" s="38"/>
    </row>
    <row r="3" spans="2:37" ht="21.75" customHeight="1">
      <c r="B3" s="47"/>
      <c r="C3" s="47"/>
      <c r="D3" s="47"/>
      <c r="E3" s="8"/>
      <c r="F3" s="8"/>
      <c r="G3" s="8"/>
      <c r="H3" s="8"/>
      <c r="I3" s="8"/>
      <c r="J3" s="8"/>
    </row>
    <row r="4" spans="2:37" ht="21.75" customHeight="1">
      <c r="B4" s="48"/>
      <c r="C4" s="48"/>
      <c r="D4" s="48"/>
    </row>
    <row r="5" spans="2:37" ht="19.5" customHeight="1">
      <c r="C5" s="3" t="s">
        <v>3</v>
      </c>
      <c r="D5" s="42" t="s">
        <v>4</v>
      </c>
      <c r="E5" s="42"/>
      <c r="F5" s="42"/>
      <c r="G5" s="42"/>
      <c r="H5" s="42"/>
      <c r="I5" s="42"/>
      <c r="J5" s="27"/>
    </row>
    <row r="6" spans="2:37" ht="23.45" customHeight="1">
      <c r="C6" s="3" t="s">
        <v>5</v>
      </c>
      <c r="D6" s="46" t="s">
        <v>6</v>
      </c>
      <c r="E6" s="46"/>
      <c r="F6" s="27"/>
      <c r="G6" s="27"/>
      <c r="H6" s="27"/>
      <c r="I6" s="27"/>
      <c r="J6" s="27"/>
    </row>
    <row r="7" spans="2:37" ht="16.5">
      <c r="C7" s="3" t="s">
        <v>7</v>
      </c>
      <c r="D7" s="27"/>
      <c r="E7" s="27"/>
      <c r="F7" s="27"/>
      <c r="G7" s="27"/>
      <c r="H7" s="27"/>
      <c r="I7" s="27"/>
      <c r="J7" s="27"/>
    </row>
    <row r="8" spans="2:37" ht="16.5">
      <c r="C8" s="3" t="s">
        <v>8</v>
      </c>
      <c r="D8" s="27"/>
      <c r="E8" s="27"/>
      <c r="F8" s="27"/>
      <c r="G8" s="27"/>
      <c r="H8" s="27"/>
      <c r="I8" s="27"/>
      <c r="J8" s="27"/>
    </row>
    <row r="9" spans="2:37" ht="20.25">
      <c r="C9" s="9" t="s">
        <v>9</v>
      </c>
      <c r="D9" s="9" t="s">
        <v>10</v>
      </c>
      <c r="E9" s="9"/>
      <c r="F9" s="9"/>
      <c r="I9" s="22" t="s">
        <v>11</v>
      </c>
      <c r="J9" s="22"/>
    </row>
    <row r="10" spans="2:37">
      <c r="C10" s="9" t="s">
        <v>12</v>
      </c>
      <c r="D10" s="9" t="s">
        <v>13</v>
      </c>
      <c r="E10" s="9"/>
      <c r="F10" s="9"/>
    </row>
    <row r="11" spans="2:37" s="10" customFormat="1" ht="54" customHeight="1"/>
    <row r="12" spans="2:37" s="10" customFormat="1" ht="61.5" customHeight="1">
      <c r="B12" s="30" t="s">
        <v>14</v>
      </c>
      <c r="C12" s="31" t="s">
        <v>15</v>
      </c>
      <c r="D12" s="31" t="s">
        <v>16</v>
      </c>
      <c r="E12" s="31" t="s">
        <v>17</v>
      </c>
      <c r="F12" s="31" t="s">
        <v>18</v>
      </c>
      <c r="G12" s="31" t="s">
        <v>19</v>
      </c>
      <c r="H12" s="31" t="s">
        <v>20</v>
      </c>
      <c r="I12" s="31" t="s">
        <v>21</v>
      </c>
      <c r="J12" s="31" t="s">
        <v>22</v>
      </c>
      <c r="K12" s="31" t="s">
        <v>23</v>
      </c>
      <c r="L12" s="31" t="s">
        <v>24</v>
      </c>
      <c r="M12" s="31" t="s">
        <v>25</v>
      </c>
      <c r="N12" s="31" t="s">
        <v>26</v>
      </c>
      <c r="O12" s="31" t="s">
        <v>27</v>
      </c>
      <c r="P12" s="31" t="s">
        <v>28</v>
      </c>
      <c r="Q12" s="31" t="s">
        <v>29</v>
      </c>
      <c r="R12" s="31" t="s">
        <v>30</v>
      </c>
      <c r="S12" s="31" t="s">
        <v>31</v>
      </c>
      <c r="T12" s="31" t="s">
        <v>32</v>
      </c>
      <c r="U12" s="31" t="s">
        <v>33</v>
      </c>
      <c r="V12" s="31" t="s">
        <v>34</v>
      </c>
      <c r="W12" s="31" t="s">
        <v>35</v>
      </c>
      <c r="X12" s="31" t="s">
        <v>36</v>
      </c>
      <c r="Y12" s="31" t="s">
        <v>37</v>
      </c>
      <c r="Z12" s="31" t="s">
        <v>38</v>
      </c>
      <c r="AA12" s="31" t="s">
        <v>39</v>
      </c>
      <c r="AB12" s="32" t="s">
        <v>40</v>
      </c>
      <c r="AC12" s="16" t="s">
        <v>41</v>
      </c>
      <c r="AD12" s="16" t="s">
        <v>42</v>
      </c>
      <c r="AE12" s="16" t="s">
        <v>43</v>
      </c>
      <c r="AF12" s="17" t="s">
        <v>44</v>
      </c>
      <c r="AG12" s="18" t="s">
        <v>45</v>
      </c>
      <c r="AH12" s="18" t="s">
        <v>46</v>
      </c>
      <c r="AI12" s="18" t="s">
        <v>47</v>
      </c>
      <c r="AJ12" s="18" t="s">
        <v>48</v>
      </c>
      <c r="AK12" s="19" t="s">
        <v>49</v>
      </c>
    </row>
    <row r="13" spans="2:37" s="10" customFormat="1" ht="176.1" customHeight="1">
      <c r="B13" s="24" t="s">
        <v>50</v>
      </c>
      <c r="C13" s="24" t="s">
        <v>51</v>
      </c>
      <c r="D13" s="24" t="s">
        <v>52</v>
      </c>
      <c r="E13" s="24" t="s">
        <v>53</v>
      </c>
      <c r="F13" s="24" t="s">
        <v>54</v>
      </c>
      <c r="G13" s="26" t="s">
        <v>55</v>
      </c>
      <c r="H13" s="24"/>
      <c r="I13" s="26" t="s">
        <v>56</v>
      </c>
      <c r="J13" s="26" t="s">
        <v>57</v>
      </c>
      <c r="K13" s="26"/>
      <c r="L13" s="26" t="s">
        <v>58</v>
      </c>
      <c r="M13" s="24"/>
      <c r="N13" s="24"/>
      <c r="O13" s="24"/>
      <c r="P13" s="24"/>
      <c r="Q13" s="24"/>
      <c r="R13" s="24"/>
      <c r="S13" s="24"/>
      <c r="AA13" s="10" t="s">
        <v>59</v>
      </c>
      <c r="AB13" s="10" t="s">
        <v>60</v>
      </c>
      <c r="AC13" s="28">
        <v>0</v>
      </c>
      <c r="AD13" s="10">
        <f>Tableau3[[#This Row],[HJ Dev]]*(75%)</f>
        <v>0</v>
      </c>
      <c r="AE13" s="28">
        <f>Tableau3[[#This Row],[HJ Dev]]+Tableau3[[#This Row],[HJ Analyse et test]]</f>
        <v>0</v>
      </c>
    </row>
    <row r="14" spans="2:37" s="10" customFormat="1" ht="135.75" customHeight="1">
      <c r="B14" s="24" t="s">
        <v>61</v>
      </c>
      <c r="C14" s="24" t="s">
        <v>62</v>
      </c>
      <c r="D14" s="24" t="s">
        <v>52</v>
      </c>
      <c r="E14" s="24" t="s">
        <v>53</v>
      </c>
      <c r="F14" s="24" t="s">
        <v>54</v>
      </c>
      <c r="G14" s="26" t="s">
        <v>63</v>
      </c>
      <c r="H14" s="24"/>
      <c r="I14" s="34" t="s">
        <v>64</v>
      </c>
      <c r="J14" s="26" t="s">
        <v>65</v>
      </c>
      <c r="K14" s="26" t="s">
        <v>66</v>
      </c>
      <c r="L14" s="26" t="s">
        <v>58</v>
      </c>
      <c r="M14" s="24"/>
      <c r="N14" s="24"/>
      <c r="O14" s="24"/>
      <c r="P14" s="24"/>
      <c r="Q14" s="24" t="e">
        <f>[1]!Tableau32[[#This Row],[HJ Dev]]*(25%+25%)</f>
        <v>#REF!</v>
      </c>
      <c r="R14" s="24" t="e">
        <f>[1]!Tableau32[[#This Row],[HJ Analyse et test]]+[1]!Tableau32[[#This Row],[HJ Dev]]</f>
        <v>#REF!</v>
      </c>
      <c r="S14" s="24" t="e">
        <f>[1]!Tableau32[[#This Row],[Total HJ]]*8</f>
        <v>#REF!</v>
      </c>
      <c r="AA14" s="10" t="s">
        <v>59</v>
      </c>
      <c r="AB14" s="10" t="s">
        <v>60</v>
      </c>
      <c r="AC14" s="28">
        <v>2</v>
      </c>
      <c r="AD14" s="10">
        <f>Tableau3[[#This Row],[HJ Dev]]*(75%)</f>
        <v>1.5</v>
      </c>
      <c r="AE14" s="28">
        <f>Tableau3[[#This Row],[HJ Dev]]+Tableau3[[#This Row],[HJ Analyse et test]]</f>
        <v>3.5</v>
      </c>
    </row>
    <row r="15" spans="2:37" s="10" customFormat="1" ht="117" customHeight="1">
      <c r="B15" s="24" t="s">
        <v>67</v>
      </c>
      <c r="C15" s="24" t="s">
        <v>68</v>
      </c>
      <c r="D15" s="24" t="s">
        <v>52</v>
      </c>
      <c r="E15" s="24" t="s">
        <v>53</v>
      </c>
      <c r="F15" s="24" t="s">
        <v>54</v>
      </c>
      <c r="G15" s="26" t="s">
        <v>69</v>
      </c>
      <c r="H15" s="24"/>
      <c r="I15" s="34" t="s">
        <v>70</v>
      </c>
      <c r="J15" s="26" t="s">
        <v>65</v>
      </c>
      <c r="K15" s="26"/>
      <c r="L15" s="26" t="s">
        <v>58</v>
      </c>
      <c r="M15" s="24"/>
      <c r="N15" s="24"/>
      <c r="O15" s="24"/>
      <c r="P15" s="24"/>
      <c r="Q15" s="24" t="e">
        <f>[1]!Tableau32[[#This Row],[HJ Dev]]*(25%+25%)</f>
        <v>#REF!</v>
      </c>
      <c r="R15" s="24" t="e">
        <f>[1]!Tableau32[[#This Row],[HJ Analyse et test]]+[1]!Tableau32[[#This Row],[HJ Dev]]</f>
        <v>#REF!</v>
      </c>
      <c r="S15" s="24" t="e">
        <f>[1]!Tableau32[[#This Row],[Total HJ]]*8</f>
        <v>#REF!</v>
      </c>
      <c r="AA15" s="10" t="s">
        <v>59</v>
      </c>
      <c r="AB15" s="10" t="s">
        <v>60</v>
      </c>
      <c r="AC15" s="28">
        <v>0.5</v>
      </c>
      <c r="AD15" s="10">
        <f>Tableau3[[#This Row],[HJ Dev]]*(75%)</f>
        <v>0.375</v>
      </c>
      <c r="AE15" s="28">
        <f>Tableau3[[#This Row],[HJ Dev]]+Tableau3[[#This Row],[HJ Analyse et test]]</f>
        <v>0.875</v>
      </c>
    </row>
    <row r="16" spans="2:37" s="10" customFormat="1" ht="165" customHeight="1">
      <c r="B16" s="24" t="s">
        <v>71</v>
      </c>
      <c r="C16" s="24" t="s">
        <v>72</v>
      </c>
      <c r="D16" s="24" t="s">
        <v>52</v>
      </c>
      <c r="E16" s="24" t="s">
        <v>53</v>
      </c>
      <c r="F16" s="24" t="s">
        <v>54</v>
      </c>
      <c r="G16" s="26" t="s">
        <v>73</v>
      </c>
      <c r="H16" s="24"/>
      <c r="I16" s="33" t="s">
        <v>74</v>
      </c>
      <c r="J16" s="33" t="s">
        <v>75</v>
      </c>
      <c r="K16" s="26" t="s">
        <v>76</v>
      </c>
      <c r="L16" s="26"/>
      <c r="M16" s="24"/>
      <c r="N16" s="24"/>
      <c r="O16" s="24"/>
      <c r="P16" s="24"/>
      <c r="Q16" s="10" t="e">
        <f>[1]!Tableau32[[#This Row],[HJ Dev]]*(25%+25%)</f>
        <v>#REF!</v>
      </c>
      <c r="R16" s="10" t="e">
        <f>[1]!Tableau32[[#This Row],[HJ Analyse et test]]+[1]!Tableau32[[#This Row],[HJ Dev]]</f>
        <v>#REF!</v>
      </c>
      <c r="S16" s="10" t="e">
        <f>[1]!Tableau32[[#This Row],[Total HJ]]*8</f>
        <v>#REF!</v>
      </c>
      <c r="AC16" s="28">
        <v>4</v>
      </c>
      <c r="AD16" s="10">
        <f>Tableau3[[#This Row],[HJ Dev]]*(75%)</f>
        <v>3</v>
      </c>
      <c r="AE16" s="28">
        <f>Tableau3[[#This Row],[HJ Dev]]+Tableau3[[#This Row],[HJ Analyse et test]]</f>
        <v>7</v>
      </c>
    </row>
    <row r="17" spans="2:31" s="10" customFormat="1" ht="111" customHeight="1">
      <c r="B17" s="24" t="s">
        <v>77</v>
      </c>
      <c r="C17" s="24" t="s">
        <v>78</v>
      </c>
      <c r="D17" s="24" t="s">
        <v>52</v>
      </c>
      <c r="E17" s="24" t="s">
        <v>53</v>
      </c>
      <c r="F17" s="24" t="s">
        <v>54</v>
      </c>
      <c r="G17" s="26" t="s">
        <v>79</v>
      </c>
      <c r="H17" s="24"/>
      <c r="I17" s="26" t="s">
        <v>80</v>
      </c>
      <c r="J17" s="26" t="s">
        <v>75</v>
      </c>
      <c r="K17" s="26" t="s">
        <v>76</v>
      </c>
      <c r="L17" s="26" t="s">
        <v>58</v>
      </c>
      <c r="M17" s="24"/>
      <c r="N17" s="24"/>
      <c r="O17" s="24"/>
      <c r="P17" s="24"/>
      <c r="Q17" s="24" t="e">
        <f>[1]!Tableau32[[#This Row],[HJ Dev]]*(25%+25%)</f>
        <v>#REF!</v>
      </c>
      <c r="R17" s="24" t="e">
        <f>[1]!Tableau32[[#This Row],[HJ Analyse et test]]+[1]!Tableau32[[#This Row],[HJ Dev]]</f>
        <v>#REF!</v>
      </c>
      <c r="S17" s="24" t="e">
        <f>[1]!Tableau32[[#This Row],[Total HJ]]*8</f>
        <v>#REF!</v>
      </c>
      <c r="AA17" s="10" t="s">
        <v>59</v>
      </c>
      <c r="AB17" s="10" t="s">
        <v>60</v>
      </c>
      <c r="AC17" s="28">
        <v>3</v>
      </c>
      <c r="AD17" s="10">
        <f>Tableau3[[#This Row],[HJ Dev]]*(75%)</f>
        <v>2.25</v>
      </c>
      <c r="AE17" s="28">
        <f>Tableau3[[#This Row],[HJ Dev]]+Tableau3[[#This Row],[HJ Analyse et test]]</f>
        <v>5.25</v>
      </c>
    </row>
    <row r="18" spans="2:31" s="10" customFormat="1" ht="182.25">
      <c r="B18" s="24" t="s">
        <v>81</v>
      </c>
      <c r="C18" s="24" t="s">
        <v>82</v>
      </c>
      <c r="D18" s="24" t="s">
        <v>52</v>
      </c>
      <c r="E18" s="24" t="s">
        <v>53</v>
      </c>
      <c r="F18" s="24" t="s">
        <v>54</v>
      </c>
      <c r="G18" s="26" t="s">
        <v>83</v>
      </c>
      <c r="H18" s="24"/>
      <c r="I18" s="34" t="s">
        <v>84</v>
      </c>
      <c r="J18" s="26" t="s">
        <v>85</v>
      </c>
      <c r="K18" s="26"/>
      <c r="L18" s="26" t="s">
        <v>58</v>
      </c>
      <c r="M18" s="24"/>
      <c r="N18" s="24"/>
      <c r="O18" s="24"/>
      <c r="P18" s="24"/>
      <c r="Q18" s="24" t="e">
        <f>[1]!Tableau32[[#This Row],[HJ Dev]]*(25%+25%)</f>
        <v>#REF!</v>
      </c>
      <c r="R18" s="24" t="e">
        <f>[1]!Tableau32[[#This Row],[HJ Analyse et test]]+[1]!Tableau32[[#This Row],[HJ Dev]]</f>
        <v>#REF!</v>
      </c>
      <c r="S18" s="24" t="e">
        <f>[1]!Tableau32[[#This Row],[Total HJ]]*8</f>
        <v>#REF!</v>
      </c>
      <c r="AA18" s="10" t="s">
        <v>59</v>
      </c>
      <c r="AB18" s="10" t="s">
        <v>60</v>
      </c>
      <c r="AC18" s="28">
        <v>6</v>
      </c>
      <c r="AD18" s="10">
        <f>Tableau3[[#This Row],[HJ Dev]]*(75%)</f>
        <v>4.5</v>
      </c>
      <c r="AE18" s="28">
        <f>Tableau3[[#This Row],[HJ Dev]]+Tableau3[[#This Row],[HJ Analyse et test]]</f>
        <v>10.5</v>
      </c>
    </row>
    <row r="19" spans="2:31" s="10" customFormat="1" ht="84" customHeight="1">
      <c r="B19" s="24" t="s">
        <v>86</v>
      </c>
      <c r="C19" s="24" t="s">
        <v>87</v>
      </c>
      <c r="D19" s="24" t="s">
        <v>52</v>
      </c>
      <c r="E19" s="24" t="s">
        <v>53</v>
      </c>
      <c r="F19" s="24" t="s">
        <v>54</v>
      </c>
      <c r="G19" s="26" t="s">
        <v>88</v>
      </c>
      <c r="H19" s="24"/>
      <c r="I19" s="26" t="s">
        <v>89</v>
      </c>
      <c r="J19" s="26" t="s">
        <v>57</v>
      </c>
      <c r="K19" s="26"/>
      <c r="L19" s="26" t="s">
        <v>58</v>
      </c>
      <c r="M19" s="24"/>
      <c r="N19" s="24"/>
      <c r="O19" s="24"/>
      <c r="P19" s="24"/>
      <c r="Q19" s="24" t="e">
        <f>[1]!Tableau32[[#This Row],[HJ Dev]]*(25%+25%)</f>
        <v>#REF!</v>
      </c>
      <c r="R19" s="24" t="e">
        <f>[1]!Tableau32[[#This Row],[HJ Analyse et test]]+[1]!Tableau32[[#This Row],[HJ Dev]]</f>
        <v>#REF!</v>
      </c>
      <c r="S19" s="24" t="e">
        <f>[1]!Tableau32[[#This Row],[Total HJ]]*8</f>
        <v>#REF!</v>
      </c>
      <c r="AA19" s="10" t="s">
        <v>59</v>
      </c>
      <c r="AB19" s="10" t="s">
        <v>60</v>
      </c>
      <c r="AC19" s="28">
        <v>0</v>
      </c>
      <c r="AD19" s="10">
        <f>Tableau3[[#This Row],[HJ Dev]]*(75%)</f>
        <v>0</v>
      </c>
      <c r="AE19" s="28">
        <f>Tableau3[[#This Row],[HJ Dev]]+Tableau3[[#This Row],[HJ Analyse et test]]</f>
        <v>0</v>
      </c>
    </row>
    <row r="20" spans="2:31" s="10" customFormat="1" ht="189.95" customHeight="1">
      <c r="B20" s="24" t="s">
        <v>90</v>
      </c>
      <c r="C20" s="24" t="s">
        <v>91</v>
      </c>
      <c r="D20" s="24" t="s">
        <v>52</v>
      </c>
      <c r="E20" s="24" t="s">
        <v>53</v>
      </c>
      <c r="F20" s="24" t="s">
        <v>54</v>
      </c>
      <c r="G20" s="26" t="s">
        <v>92</v>
      </c>
      <c r="H20" s="24"/>
      <c r="I20" s="34" t="s">
        <v>93</v>
      </c>
      <c r="J20" s="26" t="s">
        <v>57</v>
      </c>
      <c r="K20" s="26"/>
      <c r="L20" s="26" t="s">
        <v>58</v>
      </c>
      <c r="M20" s="24"/>
      <c r="N20" s="24"/>
      <c r="O20" s="24"/>
      <c r="P20" s="24"/>
      <c r="Q20" s="24" t="e">
        <f>[1]!Tableau32[[#This Row],[HJ Dev]]*(25%+25%)</f>
        <v>#REF!</v>
      </c>
      <c r="R20" s="24" t="e">
        <f>[1]!Tableau32[[#This Row],[HJ Analyse et test]]+[1]!Tableau32[[#This Row],[HJ Dev]]</f>
        <v>#REF!</v>
      </c>
      <c r="S20" s="24" t="e">
        <f>[1]!Tableau32[[#This Row],[Total HJ]]*8</f>
        <v>#REF!</v>
      </c>
      <c r="AA20" s="10" t="s">
        <v>59</v>
      </c>
      <c r="AB20" s="10" t="s">
        <v>60</v>
      </c>
      <c r="AC20" s="28">
        <v>0</v>
      </c>
      <c r="AD20" s="10">
        <f>Tableau3[[#This Row],[HJ Dev]]*(75%)</f>
        <v>0</v>
      </c>
      <c r="AE20" s="28">
        <f>Tableau3[[#This Row],[HJ Dev]]+Tableau3[[#This Row],[HJ Analyse et test]]</f>
        <v>0</v>
      </c>
    </row>
    <row r="21" spans="2:31" s="10" customFormat="1" ht="170.45" customHeight="1">
      <c r="B21" s="24" t="s">
        <v>94</v>
      </c>
      <c r="C21" s="24" t="s">
        <v>95</v>
      </c>
      <c r="D21" s="24" t="s">
        <v>52</v>
      </c>
      <c r="E21" s="24" t="s">
        <v>53</v>
      </c>
      <c r="F21" s="24" t="s">
        <v>54</v>
      </c>
      <c r="G21" s="26" t="s">
        <v>96</v>
      </c>
      <c r="H21" s="24"/>
      <c r="I21" s="26" t="s">
        <v>97</v>
      </c>
      <c r="J21" s="26" t="s">
        <v>57</v>
      </c>
      <c r="K21" s="26"/>
      <c r="L21" s="26" t="s">
        <v>58</v>
      </c>
      <c r="M21" s="24"/>
      <c r="N21" s="24"/>
      <c r="O21" s="24"/>
      <c r="P21" s="24"/>
      <c r="Q21" s="24" t="e">
        <f>[1]!Tableau32[[#This Row],[HJ Dev]]*(25%+25%)</f>
        <v>#REF!</v>
      </c>
      <c r="R21" s="24" t="e">
        <f>[1]!Tableau32[[#This Row],[HJ Analyse et test]]+[1]!Tableau32[[#This Row],[HJ Dev]]</f>
        <v>#REF!</v>
      </c>
      <c r="S21" s="24" t="e">
        <f>[1]!Tableau32[[#This Row],[Total HJ]]*8</f>
        <v>#REF!</v>
      </c>
      <c r="AA21" s="10" t="s">
        <v>59</v>
      </c>
      <c r="AB21" s="10" t="s">
        <v>60</v>
      </c>
      <c r="AC21" s="28">
        <v>0</v>
      </c>
      <c r="AD21" s="10">
        <f>Tableau3[[#This Row],[HJ Dev]]*(75%)</f>
        <v>0</v>
      </c>
      <c r="AE21" s="28">
        <f>Tableau3[[#This Row],[HJ Dev]]+Tableau3[[#This Row],[HJ Analyse et test]]</f>
        <v>0</v>
      </c>
    </row>
    <row r="22" spans="2:31" s="61" customFormat="1" ht="175.5" customHeight="1">
      <c r="B22" s="24" t="s">
        <v>98</v>
      </c>
      <c r="C22" s="58" t="s">
        <v>99</v>
      </c>
      <c r="D22" s="58" t="s">
        <v>52</v>
      </c>
      <c r="E22" s="58" t="s">
        <v>53</v>
      </c>
      <c r="F22" s="58" t="s">
        <v>54</v>
      </c>
      <c r="G22" s="59" t="s">
        <v>100</v>
      </c>
      <c r="H22" s="58"/>
      <c r="I22" s="60" t="s">
        <v>101</v>
      </c>
      <c r="J22" s="53" t="s">
        <v>102</v>
      </c>
      <c r="K22" s="59" t="s">
        <v>103</v>
      </c>
      <c r="L22" s="59" t="s">
        <v>58</v>
      </c>
      <c r="M22" s="58"/>
      <c r="N22" s="58"/>
      <c r="O22" s="58"/>
      <c r="P22" s="58"/>
      <c r="Q22" s="61" t="e">
        <f>[1]!Tableau32[[#This Row],[HJ Dev]]*(25%+25%)</f>
        <v>#REF!</v>
      </c>
      <c r="R22" s="61" t="e">
        <f>[1]!Tableau32[[#This Row],[HJ Analyse et test]]+[1]!Tableau32[[#This Row],[HJ Dev]]</f>
        <v>#REF!</v>
      </c>
      <c r="S22" s="61" t="e">
        <f>[1]!Tableau32[[#This Row],[Total HJ]]*8</f>
        <v>#REF!</v>
      </c>
      <c r="AA22" s="61" t="s">
        <v>59</v>
      </c>
      <c r="AB22" s="61" t="s">
        <v>60</v>
      </c>
      <c r="AC22" s="62">
        <v>5</v>
      </c>
      <c r="AD22" s="61">
        <f>Tableau3[[#This Row],[HJ Dev]]*(75%)</f>
        <v>3.75</v>
      </c>
      <c r="AE22" s="62">
        <f>Tableau3[[#This Row],[HJ Dev]]+Tableau3[[#This Row],[HJ Analyse et test]]</f>
        <v>8.75</v>
      </c>
    </row>
    <row r="23" spans="2:31" s="61" customFormat="1" ht="140.44999999999999" customHeight="1">
      <c r="B23" s="24" t="s">
        <v>104</v>
      </c>
      <c r="C23" s="58" t="s">
        <v>105</v>
      </c>
      <c r="D23" s="58" t="s">
        <v>52</v>
      </c>
      <c r="E23" s="58" t="s">
        <v>53</v>
      </c>
      <c r="F23" s="58" t="s">
        <v>54</v>
      </c>
      <c r="G23" s="59" t="s">
        <v>106</v>
      </c>
      <c r="H23" s="58"/>
      <c r="I23" s="53" t="s">
        <v>107</v>
      </c>
      <c r="J23" s="53" t="s">
        <v>102</v>
      </c>
      <c r="K23" s="59"/>
      <c r="L23" s="59"/>
      <c r="M23" s="58"/>
      <c r="N23" s="58"/>
      <c r="O23" s="58"/>
      <c r="P23" s="58"/>
      <c r="Q23" s="61" t="e">
        <f>[1]!Tableau32[[#This Row],[HJ Dev]]*(25%+25%)</f>
        <v>#REF!</v>
      </c>
      <c r="R23" s="61" t="e">
        <f>[1]!Tableau32[[#This Row],[HJ Analyse et test]]+[1]!Tableau32[[#This Row],[HJ Dev]]</f>
        <v>#REF!</v>
      </c>
      <c r="S23" s="61" t="e">
        <f>[1]!Tableau32[[#This Row],[Total HJ]]*8</f>
        <v>#REF!</v>
      </c>
      <c r="AC23" s="63">
        <v>3</v>
      </c>
      <c r="AD23" s="61">
        <f>Tableau3[[#This Row],[HJ Dev]]*(75%)</f>
        <v>2.25</v>
      </c>
      <c r="AE23" s="62">
        <f>Tableau3[[#This Row],[HJ Dev]]+Tableau3[[#This Row],[HJ Analyse et test]]</f>
        <v>5.25</v>
      </c>
    </row>
    <row r="24" spans="2:31" s="61" customFormat="1" ht="140.44999999999999" customHeight="1">
      <c r="B24" s="24" t="s">
        <v>108</v>
      </c>
      <c r="C24" s="58" t="s">
        <v>109</v>
      </c>
      <c r="D24" s="58" t="s">
        <v>52</v>
      </c>
      <c r="E24" s="58" t="s">
        <v>53</v>
      </c>
      <c r="F24" s="58" t="s">
        <v>54</v>
      </c>
      <c r="G24" s="59" t="s">
        <v>109</v>
      </c>
      <c r="H24" s="58"/>
      <c r="I24" s="53" t="s">
        <v>110</v>
      </c>
      <c r="J24" s="53" t="s">
        <v>102</v>
      </c>
      <c r="K24" s="59" t="s">
        <v>111</v>
      </c>
      <c r="L24" s="59"/>
      <c r="M24" s="58"/>
      <c r="N24" s="58"/>
      <c r="O24" s="58"/>
      <c r="P24" s="58"/>
      <c r="Q24" s="61" t="e">
        <f>[1]!Tableau32[[#This Row],[HJ Dev]]*(25%+25%)</f>
        <v>#REF!</v>
      </c>
      <c r="R24" s="61" t="e">
        <f>[1]!Tableau32[[#This Row],[HJ Analyse et test]]+[1]!Tableau32[[#This Row],[HJ Dev]]</f>
        <v>#REF!</v>
      </c>
      <c r="S24" s="61" t="e">
        <f>[1]!Tableau32[[#This Row],[Total HJ]]*8</f>
        <v>#REF!</v>
      </c>
      <c r="AC24" s="62">
        <v>1</v>
      </c>
      <c r="AD24" s="61">
        <f>Tableau3[[#This Row],[HJ Dev]]*(75%)</f>
        <v>0.75</v>
      </c>
      <c r="AE24" s="62">
        <f>Tableau3[[#This Row],[HJ Dev]]+Tableau3[[#This Row],[HJ Analyse et test]]</f>
        <v>1.75</v>
      </c>
    </row>
    <row r="25" spans="2:31" s="10" customFormat="1" ht="275.10000000000002" customHeight="1">
      <c r="B25" s="24" t="s">
        <v>112</v>
      </c>
      <c r="C25" s="24" t="s">
        <v>113</v>
      </c>
      <c r="D25" s="24" t="s">
        <v>52</v>
      </c>
      <c r="E25" s="24" t="s">
        <v>53</v>
      </c>
      <c r="F25" s="24" t="s">
        <v>54</v>
      </c>
      <c r="G25" s="26" t="s">
        <v>114</v>
      </c>
      <c r="H25" s="24"/>
      <c r="I25" s="33" t="s">
        <v>115</v>
      </c>
      <c r="J25" s="33" t="s">
        <v>116</v>
      </c>
      <c r="K25" s="26"/>
      <c r="L25" s="26" t="s">
        <v>58</v>
      </c>
      <c r="M25" s="24"/>
      <c r="N25" s="24"/>
      <c r="O25" s="24"/>
      <c r="P25" s="24"/>
      <c r="Q25" s="10" t="e">
        <f>[1]!Tableau32[[#This Row],[HJ Dev]]*(25%+25%)</f>
        <v>#REF!</v>
      </c>
      <c r="R25" s="10" t="e">
        <f>[1]!Tableau32[[#This Row],[HJ Analyse et test]]+[1]!Tableau32[[#This Row],[HJ Dev]]</f>
        <v>#REF!</v>
      </c>
      <c r="S25" s="10" t="e">
        <f>[1]!Tableau32[[#This Row],[Total HJ]]*8</f>
        <v>#REF!</v>
      </c>
      <c r="AA25" s="10" t="s">
        <v>59</v>
      </c>
      <c r="AB25" s="10" t="s">
        <v>60</v>
      </c>
      <c r="AC25" s="28">
        <v>16</v>
      </c>
      <c r="AD25" s="10">
        <f>Tableau3[[#This Row],[HJ Dev]]*(75%)</f>
        <v>12</v>
      </c>
      <c r="AE25" s="28">
        <f>Tableau3[[#This Row],[HJ Dev]]+Tableau3[[#This Row],[HJ Analyse et test]]</f>
        <v>28</v>
      </c>
    </row>
    <row r="26" spans="2:31" s="10" customFormat="1" ht="174.6" customHeight="1">
      <c r="B26" s="24" t="s">
        <v>117</v>
      </c>
      <c r="C26" s="24" t="s">
        <v>118</v>
      </c>
      <c r="D26" s="24" t="s">
        <v>52</v>
      </c>
      <c r="E26" s="24" t="s">
        <v>53</v>
      </c>
      <c r="F26" s="24" t="s">
        <v>54</v>
      </c>
      <c r="G26" s="26" t="s">
        <v>119</v>
      </c>
      <c r="H26" s="24"/>
      <c r="I26" s="64" t="s">
        <v>120</v>
      </c>
      <c r="J26" s="33" t="s">
        <v>121</v>
      </c>
      <c r="K26" s="26"/>
      <c r="L26" s="26"/>
      <c r="M26" s="24"/>
      <c r="N26" s="24"/>
      <c r="O26" s="24"/>
      <c r="P26" s="24"/>
      <c r="Q26" s="10" t="e">
        <f>[1]!Tableau32[[#This Row],[HJ Dev]]*(25%+25%)</f>
        <v>#REF!</v>
      </c>
      <c r="R26" s="10" t="e">
        <f>[1]!Tableau32[[#This Row],[HJ Analyse et test]]+[1]!Tableau32[[#This Row],[HJ Dev]]</f>
        <v>#REF!</v>
      </c>
      <c r="S26" s="10" t="e">
        <f>[1]!Tableau32[[#This Row],[Total HJ]]*8</f>
        <v>#REF!</v>
      </c>
      <c r="AC26" s="28">
        <v>2</v>
      </c>
      <c r="AD26" s="10">
        <f>Tableau3[[#This Row],[HJ Dev]]*(75%)</f>
        <v>1.5</v>
      </c>
      <c r="AE26" s="28">
        <f>Tableau3[[#This Row],[HJ Dev]]+Tableau3[[#This Row],[HJ Analyse et test]]</f>
        <v>3.5</v>
      </c>
    </row>
    <row r="27" spans="2:31" s="10" customFormat="1" ht="84" customHeight="1">
      <c r="B27" s="24" t="s">
        <v>122</v>
      </c>
      <c r="C27" s="24" t="s">
        <v>123</v>
      </c>
      <c r="D27" s="24" t="s">
        <v>52</v>
      </c>
      <c r="E27" s="24" t="s">
        <v>53</v>
      </c>
      <c r="F27" s="24" t="s">
        <v>54</v>
      </c>
      <c r="G27" s="26" t="s">
        <v>124</v>
      </c>
      <c r="H27" s="24"/>
      <c r="I27" s="33" t="s">
        <v>125</v>
      </c>
      <c r="J27" s="52" t="s">
        <v>116</v>
      </c>
      <c r="K27" s="26"/>
      <c r="L27" s="26"/>
      <c r="M27" s="24"/>
      <c r="N27" s="24"/>
      <c r="O27" s="24"/>
      <c r="P27" s="24"/>
      <c r="Q27" s="10" t="e">
        <f>[1]!Tableau32[[#This Row],[HJ Dev]]*(25%+25%)</f>
        <v>#REF!</v>
      </c>
      <c r="R27" s="10" t="e">
        <f>[1]!Tableau32[[#This Row],[HJ Analyse et test]]+[1]!Tableau32[[#This Row],[HJ Dev]]</f>
        <v>#REF!</v>
      </c>
      <c r="S27" s="10" t="e">
        <f>[1]!Tableau32[[#This Row],[Total HJ]]*8</f>
        <v>#REF!</v>
      </c>
      <c r="AC27" s="35">
        <v>3</v>
      </c>
      <c r="AD27" s="10">
        <f>Tableau3[[#This Row],[HJ Dev]]*(75%)</f>
        <v>2.25</v>
      </c>
      <c r="AE27" s="28">
        <f>Tableau3[[#This Row],[HJ Dev]]+Tableau3[[#This Row],[HJ Analyse et test]]</f>
        <v>5.25</v>
      </c>
    </row>
    <row r="28" spans="2:31" s="10" customFormat="1" ht="119.1" customHeight="1">
      <c r="B28" s="24" t="s">
        <v>126</v>
      </c>
      <c r="C28" s="24" t="s">
        <v>127</v>
      </c>
      <c r="D28" s="24" t="s">
        <v>52</v>
      </c>
      <c r="E28" s="24" t="s">
        <v>53</v>
      </c>
      <c r="F28" s="24" t="s">
        <v>54</v>
      </c>
      <c r="G28" s="26" t="s">
        <v>128</v>
      </c>
      <c r="H28" s="24"/>
      <c r="I28" s="33" t="s">
        <v>129</v>
      </c>
      <c r="J28" s="52" t="s">
        <v>116</v>
      </c>
      <c r="K28" s="26"/>
      <c r="L28" s="26" t="s">
        <v>58</v>
      </c>
      <c r="M28" s="24"/>
      <c r="N28" s="24"/>
      <c r="O28" s="24"/>
      <c r="P28" s="24"/>
      <c r="Q28" s="24" t="e">
        <f>[1]!Tableau32[[#This Row],[HJ Dev]]*(25%+25%)</f>
        <v>#REF!</v>
      </c>
      <c r="R28" s="24" t="e">
        <f>[1]!Tableau32[[#This Row],[HJ Analyse et test]]+[1]!Tableau32[[#This Row],[HJ Dev]]</f>
        <v>#REF!</v>
      </c>
      <c r="S28" s="24" t="e">
        <f>[1]!Tableau32[[#This Row],[Total HJ]]*8</f>
        <v>#REF!</v>
      </c>
      <c r="AA28" s="10" t="s">
        <v>59</v>
      </c>
      <c r="AB28" s="10" t="s">
        <v>60</v>
      </c>
      <c r="AC28" s="28">
        <v>3</v>
      </c>
      <c r="AD28" s="10">
        <f>Tableau3[[#This Row],[HJ Dev]]*(75%)</f>
        <v>2.25</v>
      </c>
      <c r="AE28" s="28">
        <f>Tableau3[[#This Row],[HJ Dev]]+Tableau3[[#This Row],[HJ Analyse et test]]</f>
        <v>5.25</v>
      </c>
    </row>
    <row r="29" spans="2:31" s="10" customFormat="1" ht="153.94999999999999" customHeight="1">
      <c r="B29" s="24" t="s">
        <v>130</v>
      </c>
      <c r="C29" s="24" t="s">
        <v>131</v>
      </c>
      <c r="D29" s="24" t="s">
        <v>52</v>
      </c>
      <c r="E29" s="24" t="s">
        <v>53</v>
      </c>
      <c r="F29" s="24" t="s">
        <v>54</v>
      </c>
      <c r="G29" s="26" t="s">
        <v>132</v>
      </c>
      <c r="H29" s="24"/>
      <c r="I29" s="34" t="s">
        <v>133</v>
      </c>
      <c r="J29" s="33" t="s">
        <v>121</v>
      </c>
      <c r="K29" s="26"/>
      <c r="L29" s="26"/>
      <c r="M29" s="24"/>
      <c r="N29" s="24"/>
      <c r="O29" s="24"/>
      <c r="P29" s="24"/>
      <c r="Q29" s="10" t="e">
        <f>[1]!Tableau32[[#This Row],[HJ Dev]]*(25%+25%)</f>
        <v>#REF!</v>
      </c>
      <c r="R29" s="10" t="e">
        <f>[1]!Tableau32[[#This Row],[HJ Analyse et test]]+[1]!Tableau32[[#This Row],[HJ Dev]]</f>
        <v>#REF!</v>
      </c>
      <c r="S29" s="10" t="e">
        <f>[1]!Tableau32[[#This Row],[Total HJ]]*8</f>
        <v>#REF!</v>
      </c>
      <c r="AC29" s="28">
        <v>6</v>
      </c>
      <c r="AD29" s="10">
        <f>Tableau3[[#This Row],[HJ Dev]]*(75%)</f>
        <v>4.5</v>
      </c>
      <c r="AE29" s="28">
        <f>Tableau3[[#This Row],[HJ Dev]]+Tableau3[[#This Row],[HJ Analyse et test]]</f>
        <v>10.5</v>
      </c>
    </row>
    <row r="30" spans="2:31" s="10" customFormat="1" ht="153.94999999999999" customHeight="1">
      <c r="B30" s="24" t="s">
        <v>134</v>
      </c>
      <c r="C30" s="24" t="s">
        <v>135</v>
      </c>
      <c r="D30" s="24" t="s">
        <v>52</v>
      </c>
      <c r="E30" s="24" t="s">
        <v>53</v>
      </c>
      <c r="F30" s="24" t="s">
        <v>54</v>
      </c>
      <c r="G30" s="26" t="s">
        <v>136</v>
      </c>
      <c r="H30" s="24"/>
      <c r="I30" s="26" t="s">
        <v>137</v>
      </c>
      <c r="J30" s="53" t="s">
        <v>102</v>
      </c>
      <c r="K30" s="36" t="s">
        <v>138</v>
      </c>
      <c r="L30" s="26"/>
      <c r="M30" s="24"/>
      <c r="N30" s="24"/>
      <c r="O30" s="24"/>
      <c r="P30" s="24"/>
      <c r="Q30" s="10" t="e">
        <f>[1]!Tableau32[[#This Row],[HJ Dev]]*(25%+25%)</f>
        <v>#REF!</v>
      </c>
      <c r="R30" s="10" t="e">
        <f>[1]!Tableau32[[#This Row],[HJ Analyse et test]]+[1]!Tableau32[[#This Row],[HJ Dev]]</f>
        <v>#REF!</v>
      </c>
      <c r="S30" s="10" t="e">
        <f>[1]!Tableau32[[#This Row],[Total HJ]]*8</f>
        <v>#REF!</v>
      </c>
      <c r="AC30" s="28">
        <v>3</v>
      </c>
      <c r="AD30" s="10">
        <f>Tableau3[[#This Row],[HJ Dev]]*(75%)</f>
        <v>2.25</v>
      </c>
      <c r="AE30" s="28">
        <f>Tableau3[[#This Row],[HJ Dev]]+Tableau3[[#This Row],[HJ Analyse et test]]</f>
        <v>5.25</v>
      </c>
    </row>
    <row r="31" spans="2:31" s="10" customFormat="1" ht="99" customHeight="1">
      <c r="B31" s="24" t="s">
        <v>139</v>
      </c>
      <c r="C31" s="24" t="s">
        <v>140</v>
      </c>
      <c r="D31" s="24" t="s">
        <v>52</v>
      </c>
      <c r="E31" s="24" t="s">
        <v>53</v>
      </c>
      <c r="F31" s="24" t="s">
        <v>54</v>
      </c>
      <c r="G31" s="26" t="s">
        <v>141</v>
      </c>
      <c r="H31" s="24"/>
      <c r="I31" s="34" t="s">
        <v>142</v>
      </c>
      <c r="J31" s="26" t="s">
        <v>65</v>
      </c>
      <c r="K31" s="26"/>
      <c r="L31" s="26" t="s">
        <v>58</v>
      </c>
      <c r="M31" s="24"/>
      <c r="N31" s="24"/>
      <c r="O31" s="24"/>
      <c r="P31" s="24"/>
      <c r="Q31" s="24" t="e">
        <f>[1]!Tableau32[[#This Row],[HJ Dev]]*(25%+25%)</f>
        <v>#REF!</v>
      </c>
      <c r="R31" s="24" t="e">
        <f>[1]!Tableau32[[#This Row],[HJ Analyse et test]]+[1]!Tableau32[[#This Row],[HJ Dev]]</f>
        <v>#REF!</v>
      </c>
      <c r="S31" s="24" t="e">
        <f>[1]!Tableau32[[#This Row],[Total HJ]]*8</f>
        <v>#REF!</v>
      </c>
      <c r="AA31" s="10" t="s">
        <v>59</v>
      </c>
      <c r="AB31" s="10" t="s">
        <v>60</v>
      </c>
      <c r="AC31" s="35">
        <v>5</v>
      </c>
      <c r="AD31" s="10">
        <f>Tableau3[[#This Row],[HJ Dev]]*(75%)</f>
        <v>3.75</v>
      </c>
      <c r="AE31" s="28">
        <f>Tableau3[[#This Row],[HJ Dev]]+Tableau3[[#This Row],[HJ Analyse et test]]</f>
        <v>8.75</v>
      </c>
    </row>
    <row r="32" spans="2:31" s="10" customFormat="1" ht="84" customHeight="1">
      <c r="B32" s="24" t="s">
        <v>143</v>
      </c>
      <c r="C32" s="24" t="s">
        <v>144</v>
      </c>
      <c r="D32" s="24" t="s">
        <v>52</v>
      </c>
      <c r="E32" s="24" t="s">
        <v>53</v>
      </c>
      <c r="F32" s="24" t="s">
        <v>54</v>
      </c>
      <c r="G32" s="26" t="s">
        <v>145</v>
      </c>
      <c r="H32" s="24"/>
      <c r="I32" s="34" t="s">
        <v>146</v>
      </c>
      <c r="J32" s="33" t="s">
        <v>121</v>
      </c>
      <c r="K32" s="26"/>
      <c r="L32" s="26" t="s">
        <v>58</v>
      </c>
      <c r="M32" s="24"/>
      <c r="N32" s="24"/>
      <c r="O32" s="24"/>
      <c r="P32" s="24"/>
      <c r="Q32" s="24" t="e">
        <f>[1]!Tableau32[[#This Row],[HJ Dev]]*(25%+25%)</f>
        <v>#REF!</v>
      </c>
      <c r="R32" s="24" t="e">
        <f>[1]!Tableau32[[#This Row],[HJ Analyse et test]]+[1]!Tableau32[[#This Row],[HJ Dev]]</f>
        <v>#REF!</v>
      </c>
      <c r="S32" s="24" t="e">
        <f>[1]!Tableau32[[#This Row],[Total HJ]]*8</f>
        <v>#REF!</v>
      </c>
      <c r="AA32" s="10" t="s">
        <v>59</v>
      </c>
      <c r="AB32" s="10" t="s">
        <v>60</v>
      </c>
      <c r="AC32" s="28">
        <v>4</v>
      </c>
      <c r="AD32" s="10">
        <f>Tableau3[[#This Row],[HJ Dev]]*(75%)</f>
        <v>3</v>
      </c>
      <c r="AE32" s="28">
        <f>Tableau3[[#This Row],[HJ Dev]]+Tableau3[[#This Row],[HJ Analyse et test]]</f>
        <v>7</v>
      </c>
    </row>
    <row r="33" spans="2:37" s="61" customFormat="1" ht="239.1" customHeight="1">
      <c r="B33" s="24" t="s">
        <v>147</v>
      </c>
      <c r="C33" s="58" t="s">
        <v>148</v>
      </c>
      <c r="D33" s="58" t="s">
        <v>52</v>
      </c>
      <c r="E33" s="58" t="s">
        <v>53</v>
      </c>
      <c r="F33" s="58" t="s">
        <v>54</v>
      </c>
      <c r="G33" s="59" t="s">
        <v>149</v>
      </c>
      <c r="H33" s="58"/>
      <c r="I33" s="59" t="s">
        <v>150</v>
      </c>
      <c r="J33" s="53" t="s">
        <v>121</v>
      </c>
      <c r="K33" s="59"/>
      <c r="L33" s="59"/>
      <c r="M33" s="58"/>
      <c r="N33" s="58"/>
      <c r="O33" s="58"/>
      <c r="P33" s="58"/>
      <c r="Q33" s="61" t="e">
        <f>[1]!Tableau32[[#This Row],[HJ Dev]]*(25%+25%)</f>
        <v>#REF!</v>
      </c>
      <c r="R33" s="61" t="e">
        <f>[1]!Tableau32[[#This Row],[HJ Analyse et test]]+[1]!Tableau32[[#This Row],[HJ Dev]]</f>
        <v>#REF!</v>
      </c>
      <c r="S33" s="61" t="e">
        <f>[1]!Tableau32[[#This Row],[Total HJ]]*8</f>
        <v>#REF!</v>
      </c>
      <c r="AC33" s="62">
        <v>4</v>
      </c>
      <c r="AD33" s="61">
        <f>Tableau3[[#This Row],[HJ Dev]]*(75%)</f>
        <v>3</v>
      </c>
      <c r="AE33" s="62">
        <f>Tableau3[[#This Row],[HJ Dev]]+Tableau3[[#This Row],[HJ Analyse et test]]</f>
        <v>7</v>
      </c>
    </row>
    <row r="34" spans="2:37" s="10" customFormat="1" ht="146.1" customHeight="1">
      <c r="B34" s="24" t="s">
        <v>151</v>
      </c>
      <c r="C34" s="24" t="s">
        <v>152</v>
      </c>
      <c r="D34" s="24" t="s">
        <v>52</v>
      </c>
      <c r="E34" s="24" t="s">
        <v>53</v>
      </c>
      <c r="F34" s="24" t="s">
        <v>54</v>
      </c>
      <c r="G34" s="26" t="s">
        <v>153</v>
      </c>
      <c r="H34" s="24"/>
      <c r="I34" s="33" t="s">
        <v>154</v>
      </c>
      <c r="J34" s="33" t="s">
        <v>121</v>
      </c>
      <c r="K34" s="26"/>
      <c r="L34" s="26"/>
      <c r="M34" s="24"/>
      <c r="N34" s="24"/>
      <c r="O34" s="24"/>
      <c r="P34" s="24"/>
      <c r="Q34" s="10" t="e">
        <f>[1]!Tableau32[[#This Row],[HJ Dev]]*(25%+25%)</f>
        <v>#REF!</v>
      </c>
      <c r="R34" s="10" t="e">
        <f>[1]!Tableau32[[#This Row],[HJ Analyse et test]]+[1]!Tableau32[[#This Row],[HJ Dev]]</f>
        <v>#REF!</v>
      </c>
      <c r="S34" s="10" t="e">
        <f>[1]!Tableau32[[#This Row],[Total HJ]]*8</f>
        <v>#REF!</v>
      </c>
      <c r="AC34" s="28">
        <v>5</v>
      </c>
      <c r="AD34" s="10">
        <f>Tableau3[[#This Row],[HJ Dev]]*(75%)</f>
        <v>3.75</v>
      </c>
      <c r="AE34" s="28">
        <f>Tableau3[[#This Row],[HJ Dev]]+Tableau3[[#This Row],[HJ Analyse et test]]</f>
        <v>8.75</v>
      </c>
    </row>
    <row r="35" spans="2:37" s="10" customFormat="1" ht="96.95" customHeight="1">
      <c r="B35" s="24" t="s">
        <v>155</v>
      </c>
      <c r="C35" s="24" t="s">
        <v>156</v>
      </c>
      <c r="D35" s="24" t="s">
        <v>52</v>
      </c>
      <c r="E35" s="24" t="s">
        <v>53</v>
      </c>
      <c r="F35" s="24" t="s">
        <v>54</v>
      </c>
      <c r="G35" s="26" t="s">
        <v>157</v>
      </c>
      <c r="H35" s="24"/>
      <c r="I35" s="33" t="s">
        <v>158</v>
      </c>
      <c r="J35" s="52" t="s">
        <v>116</v>
      </c>
      <c r="K35" s="26"/>
      <c r="L35" s="26"/>
      <c r="M35" s="24"/>
      <c r="N35" s="24"/>
      <c r="O35" s="24"/>
      <c r="P35" s="24"/>
      <c r="Q35" s="10" t="e">
        <f>[1]!Tableau32[[#This Row],[HJ Dev]]*(25%+25%)</f>
        <v>#REF!</v>
      </c>
      <c r="R35" s="10" t="e">
        <f>[1]!Tableau32[[#This Row],[HJ Analyse et test]]+[1]!Tableau32[[#This Row],[HJ Dev]]</f>
        <v>#REF!</v>
      </c>
      <c r="S35" s="10" t="e">
        <f>[1]!Tableau32[[#This Row],[Total HJ]]*8</f>
        <v>#REF!</v>
      </c>
      <c r="AC35" s="28">
        <v>2</v>
      </c>
      <c r="AD35" s="10">
        <f>Tableau3[[#This Row],[HJ Dev]]*(75%)</f>
        <v>1.5</v>
      </c>
      <c r="AE35" s="28">
        <f>Tableau3[[#This Row],[HJ Dev]]+Tableau3[[#This Row],[HJ Analyse et test]]</f>
        <v>3.5</v>
      </c>
    </row>
    <row r="36" spans="2:37" ht="50.25">
      <c r="B36" s="24" t="s">
        <v>159</v>
      </c>
      <c r="C36" s="24" t="s">
        <v>160</v>
      </c>
      <c r="D36" s="24" t="s">
        <v>52</v>
      </c>
      <c r="E36" s="24" t="s">
        <v>53</v>
      </c>
      <c r="F36" s="24" t="s">
        <v>54</v>
      </c>
      <c r="G36" s="26" t="s">
        <v>161</v>
      </c>
      <c r="H36" s="24"/>
      <c r="I36" s="33" t="s">
        <v>162</v>
      </c>
      <c r="J36" s="52" t="s">
        <v>116</v>
      </c>
      <c r="K36" s="26"/>
      <c r="L36" s="26"/>
      <c r="M36" s="24"/>
      <c r="N36" s="24"/>
      <c r="O36" s="24"/>
      <c r="P36" s="24"/>
      <c r="Q36" s="10" t="e">
        <f>[1]!Tableau32[[#This Row],[HJ Dev]]*(25%+25%)</f>
        <v>#REF!</v>
      </c>
      <c r="R36" s="10" t="e">
        <f>[1]!Tableau32[[#This Row],[HJ Analyse et test]]+[1]!Tableau32[[#This Row],[HJ Dev]]</f>
        <v>#REF!</v>
      </c>
      <c r="S36" s="10" t="e">
        <f>[1]!Tableau32[[#This Row],[Total HJ]]*8</f>
        <v>#REF!</v>
      </c>
      <c r="T36" s="10"/>
      <c r="U36" s="10"/>
      <c r="V36" s="10"/>
      <c r="W36" s="10"/>
      <c r="X36" s="10"/>
      <c r="Y36" s="10"/>
      <c r="Z36" s="10"/>
      <c r="AA36" s="10"/>
      <c r="AB36" s="10"/>
      <c r="AC36" s="28">
        <v>2</v>
      </c>
      <c r="AD36" s="10">
        <f>Tableau3[[#This Row],[HJ Dev]]*(75%)</f>
        <v>1.5</v>
      </c>
      <c r="AE36" s="28">
        <f>Tableau3[[#This Row],[HJ Dev]]+Tableau3[[#This Row],[HJ Analyse et test]]</f>
        <v>3.5</v>
      </c>
      <c r="AF36" s="10"/>
      <c r="AG36" s="10"/>
      <c r="AH36" s="10"/>
      <c r="AI36" s="10"/>
      <c r="AJ36" s="10"/>
      <c r="AK36" s="10"/>
    </row>
    <row r="37" spans="2:37" ht="50.25">
      <c r="B37" s="24" t="s">
        <v>163</v>
      </c>
      <c r="C37" s="24" t="s">
        <v>164</v>
      </c>
      <c r="D37" s="24" t="s">
        <v>52</v>
      </c>
      <c r="E37" s="24" t="s">
        <v>53</v>
      </c>
      <c r="F37" s="24" t="s">
        <v>54</v>
      </c>
      <c r="G37" s="26" t="s">
        <v>165</v>
      </c>
      <c r="H37" s="24"/>
      <c r="I37" s="33" t="s">
        <v>166</v>
      </c>
      <c r="J37" s="55" t="s">
        <v>102</v>
      </c>
      <c r="K37" s="26"/>
      <c r="L37" s="26"/>
      <c r="M37" s="24"/>
      <c r="N37" s="24"/>
      <c r="O37" s="24"/>
      <c r="P37" s="24"/>
      <c r="Q37" s="10" t="e">
        <f>[1]!Tableau32[[#This Row],[HJ Dev]]*(25%+25%)</f>
        <v>#REF!</v>
      </c>
      <c r="R37" s="10" t="e">
        <f>[1]!Tableau32[[#This Row],[HJ Analyse et test]]+[1]!Tableau32[[#This Row],[HJ Dev]]</f>
        <v>#REF!</v>
      </c>
      <c r="S37" s="10" t="e">
        <f>[1]!Tableau32[[#This Row],[Total HJ]]*8</f>
        <v>#REF!</v>
      </c>
      <c r="T37" s="10"/>
      <c r="U37" s="10"/>
      <c r="V37" s="10"/>
      <c r="W37" s="10"/>
      <c r="X37" s="10"/>
      <c r="Y37" s="10"/>
      <c r="Z37" s="10"/>
      <c r="AA37" s="10"/>
      <c r="AB37" s="10"/>
      <c r="AC37" s="28">
        <v>1</v>
      </c>
      <c r="AD37" s="10">
        <f>Tableau3[[#This Row],[HJ Dev]]*(75%)</f>
        <v>0.75</v>
      </c>
      <c r="AE37" s="28">
        <f>Tableau3[[#This Row],[HJ Dev]]+Tableau3[[#This Row],[HJ Analyse et test]]</f>
        <v>1.75</v>
      </c>
      <c r="AF37" s="10"/>
      <c r="AG37" s="10"/>
      <c r="AH37" s="10"/>
      <c r="AI37" s="10"/>
      <c r="AJ37" s="10"/>
      <c r="AK37" s="10"/>
    </row>
    <row r="38" spans="2:37" s="65" customFormat="1" ht="50.25">
      <c r="B38" s="24" t="s">
        <v>167</v>
      </c>
      <c r="C38" s="58" t="s">
        <v>168</v>
      </c>
      <c r="D38" s="58" t="s">
        <v>52</v>
      </c>
      <c r="E38" s="58" t="s">
        <v>53</v>
      </c>
      <c r="F38" s="58" t="s">
        <v>54</v>
      </c>
      <c r="G38" s="59" t="s">
        <v>169</v>
      </c>
      <c r="H38" s="58"/>
      <c r="I38" s="53" t="s">
        <v>170</v>
      </c>
      <c r="J38" s="55" t="s">
        <v>102</v>
      </c>
      <c r="K38" s="59" t="s">
        <v>171</v>
      </c>
      <c r="L38" s="59" t="s">
        <v>58</v>
      </c>
      <c r="M38" s="58"/>
      <c r="N38" s="58"/>
      <c r="O38" s="58"/>
      <c r="P38" s="58"/>
      <c r="Q38" s="58" t="e">
        <f>[1]!Tableau32[[#This Row],[HJ Dev]]*(25%+25%)</f>
        <v>#REF!</v>
      </c>
      <c r="R38" s="58" t="e">
        <f>[1]!Tableau32[[#This Row],[HJ Analyse et test]]+[1]!Tableau32[[#This Row],[HJ Dev]]</f>
        <v>#REF!</v>
      </c>
      <c r="S38" s="58" t="e">
        <f>[1]!Tableau32[[#This Row],[Total HJ]]*8</f>
        <v>#REF!</v>
      </c>
      <c r="T38" s="61"/>
      <c r="U38" s="61"/>
      <c r="V38" s="61"/>
      <c r="W38" s="61"/>
      <c r="X38" s="61"/>
      <c r="Y38" s="61"/>
      <c r="Z38" s="61"/>
      <c r="AA38" s="61" t="s">
        <v>59</v>
      </c>
      <c r="AB38" s="61" t="s">
        <v>60</v>
      </c>
      <c r="AC38" s="62">
        <v>2</v>
      </c>
      <c r="AD38" s="61">
        <f>Tableau3[[#This Row],[HJ Dev]]*(75%)</f>
        <v>1.5</v>
      </c>
      <c r="AE38" s="62">
        <f>Tableau3[[#This Row],[HJ Dev]]+Tableau3[[#This Row],[HJ Analyse et test]]</f>
        <v>3.5</v>
      </c>
      <c r="AF38" s="61"/>
      <c r="AG38" s="61"/>
      <c r="AH38" s="61"/>
      <c r="AI38" s="61"/>
      <c r="AJ38" s="61"/>
      <c r="AK38" s="61"/>
    </row>
    <row r="39" spans="2:37" ht="50.25">
      <c r="B39" s="24" t="s">
        <v>172</v>
      </c>
      <c r="C39" s="24" t="s">
        <v>173</v>
      </c>
      <c r="D39" s="24" t="s">
        <v>52</v>
      </c>
      <c r="E39" s="24" t="s">
        <v>53</v>
      </c>
      <c r="F39" s="24" t="s">
        <v>54</v>
      </c>
      <c r="G39" s="26" t="s">
        <v>174</v>
      </c>
      <c r="H39" s="24"/>
      <c r="I39" s="26" t="s">
        <v>175</v>
      </c>
      <c r="J39" s="26" t="s">
        <v>57</v>
      </c>
      <c r="K39" s="26"/>
      <c r="L39" s="26" t="s">
        <v>58</v>
      </c>
      <c r="M39" s="24"/>
      <c r="N39" s="24"/>
      <c r="O39" s="24"/>
      <c r="P39" s="24"/>
      <c r="Q39" s="24" t="e">
        <f>[1]!Tableau32[[#This Row],[HJ Dev]]*(25%+25%)</f>
        <v>#REF!</v>
      </c>
      <c r="R39" s="24" t="e">
        <f>[1]!Tableau32[[#This Row],[HJ Analyse et test]]+[1]!Tableau32[[#This Row],[HJ Dev]]</f>
        <v>#REF!</v>
      </c>
      <c r="S39" s="24" t="e">
        <f>[1]!Tableau32[[#This Row],[Total HJ]]*8</f>
        <v>#REF!</v>
      </c>
      <c r="T39" s="10"/>
      <c r="U39" s="10"/>
      <c r="V39" s="10"/>
      <c r="W39" s="10"/>
      <c r="X39" s="10"/>
      <c r="Y39" s="10"/>
      <c r="Z39" s="10"/>
      <c r="AA39" s="10" t="s">
        <v>59</v>
      </c>
      <c r="AB39" s="10" t="s">
        <v>60</v>
      </c>
      <c r="AC39" s="28">
        <v>0</v>
      </c>
      <c r="AD39" s="10">
        <f>Tableau3[[#This Row],[HJ Dev]]*(75%)</f>
        <v>0</v>
      </c>
      <c r="AE39" s="28">
        <f>Tableau3[[#This Row],[HJ Dev]]+Tableau3[[#This Row],[HJ Analyse et test]]</f>
        <v>0</v>
      </c>
      <c r="AF39" s="10"/>
      <c r="AG39" s="10"/>
      <c r="AH39" s="10"/>
      <c r="AI39" s="10"/>
      <c r="AJ39" s="10"/>
      <c r="AK39" s="10"/>
    </row>
    <row r="40" spans="2:37" ht="66.75">
      <c r="B40" s="24" t="s">
        <v>176</v>
      </c>
      <c r="C40" s="24" t="s">
        <v>177</v>
      </c>
      <c r="D40" s="24" t="s">
        <v>52</v>
      </c>
      <c r="E40" s="24" t="s">
        <v>53</v>
      </c>
      <c r="F40" s="24" t="s">
        <v>54</v>
      </c>
      <c r="G40" s="26" t="s">
        <v>178</v>
      </c>
      <c r="H40" s="24"/>
      <c r="I40" s="34" t="s">
        <v>179</v>
      </c>
      <c r="J40" s="52" t="s">
        <v>116</v>
      </c>
      <c r="K40" s="26"/>
      <c r="L40" s="26"/>
      <c r="M40" s="24"/>
      <c r="N40" s="24"/>
      <c r="O40" s="24"/>
      <c r="P40" s="24"/>
      <c r="Q40" s="10" t="e">
        <f>[1]!Tableau32[[#This Row],[HJ Dev]]*(25%+25%)</f>
        <v>#REF!</v>
      </c>
      <c r="R40" s="10" t="e">
        <f>[1]!Tableau32[[#This Row],[HJ Analyse et test]]+[1]!Tableau32[[#This Row],[HJ Dev]]</f>
        <v>#REF!</v>
      </c>
      <c r="S40" s="10" t="e">
        <f>[1]!Tableau32[[#This Row],[Total HJ]]*8</f>
        <v>#REF!</v>
      </c>
      <c r="T40" s="10"/>
      <c r="U40" s="10"/>
      <c r="V40" s="10"/>
      <c r="W40" s="10"/>
      <c r="X40" s="10"/>
      <c r="Y40" s="10"/>
      <c r="Z40" s="10"/>
      <c r="AA40" s="10"/>
      <c r="AB40" s="10"/>
      <c r="AC40" s="28">
        <v>2</v>
      </c>
      <c r="AD40" s="10">
        <f>Tableau3[[#This Row],[HJ Dev]]*(75%)</f>
        <v>1.5</v>
      </c>
      <c r="AE40" s="28">
        <f>Tableau3[[#This Row],[HJ Dev]]+Tableau3[[#This Row],[HJ Analyse et test]]</f>
        <v>3.5</v>
      </c>
      <c r="AF40" s="10"/>
      <c r="AG40" s="10"/>
      <c r="AH40" s="10"/>
      <c r="AI40" s="10"/>
      <c r="AJ40" s="10"/>
      <c r="AK40" s="10"/>
    </row>
    <row r="41" spans="2:37" ht="227.45" customHeight="1">
      <c r="B41" s="24" t="s">
        <v>180</v>
      </c>
      <c r="C41" s="29" t="s">
        <v>181</v>
      </c>
      <c r="D41" s="24" t="s">
        <v>52</v>
      </c>
      <c r="E41" s="24" t="s">
        <v>53</v>
      </c>
      <c r="F41" s="24" t="s">
        <v>54</v>
      </c>
      <c r="G41" s="29" t="s">
        <v>182</v>
      </c>
      <c r="H41" s="29" t="s">
        <v>183</v>
      </c>
      <c r="I41" s="34" t="s">
        <v>184</v>
      </c>
      <c r="J41" s="54" t="s">
        <v>65</v>
      </c>
      <c r="K41" s="26"/>
      <c r="L41" s="26" t="s">
        <v>58</v>
      </c>
      <c r="M41" s="24"/>
      <c r="N41" s="24"/>
      <c r="O41" s="24"/>
      <c r="P41" s="24"/>
      <c r="Q41" s="10" t="e">
        <f>[1]!Tableau32[[#This Row],[HJ Dev]]*(25%+25%)</f>
        <v>#REF!</v>
      </c>
      <c r="R41" s="10" t="e">
        <f>[1]!Tableau32[[#This Row],[HJ Analyse et test]]+[1]!Tableau32[[#This Row],[HJ Dev]]</f>
        <v>#REF!</v>
      </c>
      <c r="S41" s="10" t="e">
        <f>[1]!Tableau32[[#This Row],[Total HJ]]*8</f>
        <v>#REF!</v>
      </c>
      <c r="T41" s="10"/>
      <c r="U41" s="10"/>
      <c r="V41" s="10"/>
      <c r="W41" s="10"/>
      <c r="X41" s="10"/>
      <c r="Y41" s="10"/>
      <c r="Z41" s="10"/>
      <c r="AA41" s="10" t="s">
        <v>59</v>
      </c>
      <c r="AB41" s="10" t="s">
        <v>60</v>
      </c>
      <c r="AC41" s="28">
        <v>4</v>
      </c>
      <c r="AD41" s="10">
        <f>Tableau3[[#This Row],[HJ Dev]]*(75%)</f>
        <v>3</v>
      </c>
      <c r="AE41" s="28">
        <f>Tableau3[[#This Row],[HJ Dev]]+Tableau3[[#This Row],[HJ Analyse et test]]</f>
        <v>7</v>
      </c>
      <c r="AF41" s="10"/>
      <c r="AG41" s="10"/>
      <c r="AH41" s="10"/>
      <c r="AI41" s="10"/>
      <c r="AJ41" s="10"/>
      <c r="AK41" s="10"/>
    </row>
    <row r="42" spans="2:37" s="65" customFormat="1" ht="114" customHeight="1">
      <c r="B42" s="24" t="s">
        <v>185</v>
      </c>
      <c r="C42" s="66" t="s">
        <v>186</v>
      </c>
      <c r="D42" s="58" t="s">
        <v>52</v>
      </c>
      <c r="E42" s="58" t="s">
        <v>53</v>
      </c>
      <c r="F42" s="58" t="s">
        <v>54</v>
      </c>
      <c r="G42" s="66" t="s">
        <v>187</v>
      </c>
      <c r="H42" s="66"/>
      <c r="I42" s="66" t="s">
        <v>188</v>
      </c>
      <c r="J42" s="55" t="s">
        <v>65</v>
      </c>
      <c r="K42" s="59"/>
      <c r="L42" s="59" t="s">
        <v>58</v>
      </c>
      <c r="M42" s="58"/>
      <c r="N42" s="58"/>
      <c r="O42" s="58"/>
      <c r="P42" s="58"/>
      <c r="Q42" s="61" t="e">
        <f>[1]!Tableau32[[#This Row],[HJ Dev]]*(25%+25%)</f>
        <v>#REF!</v>
      </c>
      <c r="R42" s="61" t="e">
        <f>[1]!Tableau32[[#This Row],[HJ Analyse et test]]+[1]!Tableau32[[#This Row],[HJ Dev]]</f>
        <v>#REF!</v>
      </c>
      <c r="S42" s="61" t="e">
        <f>[1]!Tableau32[[#This Row],[Total HJ]]*8</f>
        <v>#REF!</v>
      </c>
      <c r="T42" s="61"/>
      <c r="U42" s="61"/>
      <c r="V42" s="61"/>
      <c r="W42" s="61"/>
      <c r="X42" s="61"/>
      <c r="Y42" s="61"/>
      <c r="Z42" s="61"/>
      <c r="AA42" s="61" t="s">
        <v>59</v>
      </c>
      <c r="AB42" s="61" t="s">
        <v>60</v>
      </c>
      <c r="AC42" s="62">
        <v>3</v>
      </c>
      <c r="AD42" s="61">
        <f>Tableau3[[#This Row],[HJ Dev]]*(75%)</f>
        <v>2.25</v>
      </c>
      <c r="AE42" s="62">
        <f>Tableau3[[#This Row],[HJ Dev]]+Tableau3[[#This Row],[HJ Analyse et test]]</f>
        <v>5.25</v>
      </c>
      <c r="AF42" s="61"/>
      <c r="AG42" s="61"/>
      <c r="AH42" s="61"/>
      <c r="AI42" s="61"/>
      <c r="AJ42" s="61"/>
      <c r="AK42" s="61"/>
    </row>
    <row r="43" spans="2:37" s="65" customFormat="1" ht="121.5" customHeight="1">
      <c r="B43" s="24" t="s">
        <v>189</v>
      </c>
      <c r="C43" s="66" t="s">
        <v>190</v>
      </c>
      <c r="D43" s="58" t="s">
        <v>52</v>
      </c>
      <c r="E43" s="58" t="s">
        <v>53</v>
      </c>
      <c r="F43" s="58" t="s">
        <v>54</v>
      </c>
      <c r="G43" s="66" t="s">
        <v>191</v>
      </c>
      <c r="H43" s="66"/>
      <c r="I43" s="64" t="s">
        <v>192</v>
      </c>
      <c r="J43" s="55" t="s">
        <v>65</v>
      </c>
      <c r="K43" s="59"/>
      <c r="L43" s="59" t="s">
        <v>58</v>
      </c>
      <c r="M43" s="58"/>
      <c r="N43" s="58"/>
      <c r="O43" s="58"/>
      <c r="P43" s="58"/>
      <c r="Q43" s="58" t="e">
        <f>[1]!Tableau32[[#This Row],[HJ Dev]]*(25%+25%)</f>
        <v>#REF!</v>
      </c>
      <c r="R43" s="58" t="e">
        <f>[1]!Tableau32[[#This Row],[HJ Analyse et test]]+[1]!Tableau32[[#This Row],[HJ Dev]]</f>
        <v>#REF!</v>
      </c>
      <c r="S43" s="58" t="e">
        <f>[1]!Tableau32[[#This Row],[Total HJ]]*8</f>
        <v>#REF!</v>
      </c>
      <c r="T43" s="61"/>
      <c r="U43" s="61"/>
      <c r="V43" s="61"/>
      <c r="W43" s="61"/>
      <c r="X43" s="61"/>
      <c r="Y43" s="61"/>
      <c r="Z43" s="61"/>
      <c r="AA43" s="61" t="s">
        <v>59</v>
      </c>
      <c r="AB43" s="61" t="s">
        <v>60</v>
      </c>
      <c r="AC43" s="62">
        <v>3</v>
      </c>
      <c r="AD43" s="61">
        <f>Tableau3[[#This Row],[HJ Dev]]*(75%)</f>
        <v>2.25</v>
      </c>
      <c r="AE43" s="62">
        <f>Tableau3[[#This Row],[HJ Dev]]+Tableau3[[#This Row],[HJ Analyse et test]]</f>
        <v>5.25</v>
      </c>
      <c r="AF43" s="61"/>
      <c r="AG43" s="61"/>
      <c r="AH43" s="61"/>
      <c r="AI43" s="61"/>
      <c r="AJ43" s="61"/>
      <c r="AK43" s="61"/>
    </row>
    <row r="44" spans="2:37">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f>SUBTOTAL(109,AC13:AC43)</f>
        <v>94.5</v>
      </c>
      <c r="AD44" s="10">
        <f>SUBTOTAL(109,AD13:AD43)</f>
        <v>70.875</v>
      </c>
      <c r="AE44" s="25">
        <f>SUBTOTAL(109,AE13:AE43)</f>
        <v>165.375</v>
      </c>
      <c r="AF44" s="10"/>
      <c r="AG44" s="10"/>
      <c r="AH44" s="10"/>
      <c r="AI44" s="10"/>
      <c r="AJ44" s="10"/>
      <c r="AK44" s="10"/>
    </row>
  </sheetData>
  <mergeCells count="6">
    <mergeCell ref="AF2:AK2"/>
    <mergeCell ref="B2:AB2"/>
    <mergeCell ref="D5:I5"/>
    <mergeCell ref="AC2:AE2"/>
    <mergeCell ref="D6:E6"/>
    <mergeCell ref="B3:D4"/>
  </mergeCells>
  <phoneticPr fontId="2" type="noConversion"/>
  <dataValidations count="2">
    <dataValidation type="decimal" operator="greaterThanOrEqual" allowBlank="1" showInputMessage="1" showErrorMessage="1" sqref="AD13:AE13 AC13:AC43" xr:uid="{AE768ACE-E087-44E4-A709-BFAF8B9446F7}">
      <formula1>0</formula1>
    </dataValidation>
    <dataValidation type="whole" operator="greaterThanOrEqual" allowBlank="1" showInputMessage="1" showErrorMessage="1" sqref="P13:S43 AE14:AE43" xr:uid="{10E2E794-3894-4CC1-AB1A-9BB5BF41EABB}">
      <formula1>0</formula1>
    </dataValidation>
  </dataValidations>
  <pageMargins left="0.7" right="0.7" top="0.75" bottom="0.75" header="0.3" footer="0.3"/>
  <pageSetup paperSize="9" scale="74"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57EEE19D-B0F4-47CC-B7E3-B1470446B2E6}">
          <x14:formula1>
            <xm:f>Params!$B$3:$B$8</xm:f>
          </x14:formula1>
          <xm:sqref>D13:D43</xm:sqref>
        </x14:dataValidation>
        <x14:dataValidation type="list" allowBlank="1" showInputMessage="1" showErrorMessage="1" xr:uid="{9D4ED8CA-0432-41F4-A501-C44532B178DB}">
          <x14:formula1>
            <xm:f>Params!$H$14:$H$19</xm:f>
          </x14:formula1>
          <xm:sqref>E13:E43</xm:sqref>
        </x14:dataValidation>
        <x14:dataValidation type="list" allowBlank="1" showInputMessage="1" showErrorMessage="1" xr:uid="{FA978F80-7E5C-424E-9777-F280C57E27CC}">
          <x14:formula1>
            <xm:f>Params!$C$3:$C$7</xm:f>
          </x14:formula1>
          <xm:sqref>F13:F43</xm:sqref>
        </x14:dataValidation>
        <x14:dataValidation type="list" allowBlank="1" showInputMessage="1" showErrorMessage="1" xr:uid="{EEAE817C-A869-4F83-BC36-7B714A6F7B15}">
          <x14:formula1>
            <xm:f>Params!$G$3:$G$4</xm:f>
          </x14:formula1>
          <xm:sqref>L13:L43</xm:sqref>
        </x14:dataValidation>
        <x14:dataValidation type="list" allowBlank="1" showInputMessage="1" showErrorMessage="1" xr:uid="{79A4A5D3-E1BF-45F6-A99A-067585AB9CB9}">
          <x14:formula1>
            <xm:f>Params!$F$3:$F$4</xm:f>
          </x14:formula1>
          <xm:sqref>AB13:AB43</xm:sqref>
        </x14:dataValidation>
        <x14:dataValidation type="list" allowBlank="1" showInputMessage="1" showErrorMessage="1" xr:uid="{1F2CF1C1-BE35-4DC9-A975-F49F788F3D6A}">
          <x14:formula1>
            <xm:f>Params!$G$3:$G$6</xm:f>
          </x14:formula1>
          <xm:sqref>T13:Z43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1FAD-F745-41DE-80E7-A557BB25A712}">
  <dimension ref="A1:B8"/>
  <sheetViews>
    <sheetView workbookViewId="0">
      <selection activeCell="B10" sqref="B10"/>
    </sheetView>
  </sheetViews>
  <sheetFormatPr defaultRowHeight="12.75"/>
  <cols>
    <col min="1" max="1" width="48.5703125" bestFit="1" customWidth="1"/>
    <col min="2" max="2" width="15.42578125" bestFit="1" customWidth="1"/>
  </cols>
  <sheetData>
    <row r="1" spans="1:2">
      <c r="A1" s="57" t="s">
        <v>22</v>
      </c>
      <c r="B1" t="s">
        <v>193</v>
      </c>
    </row>
    <row r="2" spans="1:2">
      <c r="A2" t="s">
        <v>116</v>
      </c>
      <c r="B2" s="56">
        <v>49</v>
      </c>
    </row>
    <row r="3" spans="1:2">
      <c r="A3" t="s">
        <v>121</v>
      </c>
      <c r="B3" s="56">
        <v>36.75</v>
      </c>
    </row>
    <row r="4" spans="1:2">
      <c r="A4" t="s">
        <v>75</v>
      </c>
      <c r="B4" s="56">
        <v>38.5</v>
      </c>
    </row>
    <row r="5" spans="1:2">
      <c r="A5" t="s">
        <v>65</v>
      </c>
      <c r="B5" s="56">
        <v>30.625</v>
      </c>
    </row>
    <row r="6" spans="1:2">
      <c r="A6" t="s">
        <v>85</v>
      </c>
      <c r="B6" s="56">
        <v>10.5</v>
      </c>
    </row>
    <row r="7" spans="1:2">
      <c r="A7" t="s">
        <v>57</v>
      </c>
      <c r="B7" s="56">
        <v>0</v>
      </c>
    </row>
    <row r="8" spans="1:2">
      <c r="A8" t="s">
        <v>194</v>
      </c>
      <c r="B8" s="56">
        <v>165.375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workbookViewId="0">
      <selection activeCell="E14" sqref="E14"/>
    </sheetView>
  </sheetViews>
  <sheetFormatPr defaultColWidth="11.42578125" defaultRowHeight="14.45"/>
  <cols>
    <col min="1" max="1" width="16.5703125" style="2" customWidth="1"/>
    <col min="2" max="2" width="19.5703125" style="2" customWidth="1"/>
    <col min="3" max="3" width="11.42578125" style="2"/>
    <col min="4" max="4" width="67.85546875" style="2" customWidth="1"/>
    <col min="5" max="5" width="15.85546875" style="2" customWidth="1"/>
    <col min="6" max="6" width="21.140625" style="2" customWidth="1"/>
    <col min="7" max="7" width="16.5703125" style="2" customWidth="1"/>
    <col min="8" max="16384" width="11.42578125" style="2"/>
  </cols>
  <sheetData>
    <row r="2" spans="1:7" ht="15" thickBot="1"/>
    <row r="3" spans="1:7" ht="24" customHeight="1" thickBot="1">
      <c r="A3" s="2" t="s">
        <v>195</v>
      </c>
      <c r="B3" s="49" t="s">
        <v>0</v>
      </c>
      <c r="C3" s="50"/>
      <c r="D3" s="50"/>
      <c r="E3" s="50"/>
      <c r="F3" s="50"/>
      <c r="G3" s="51"/>
    </row>
    <row r="4" spans="1:7">
      <c r="B4" s="4"/>
      <c r="C4" s="5"/>
      <c r="D4" s="5"/>
      <c r="E4" s="5"/>
      <c r="F4" s="5"/>
      <c r="G4" s="5"/>
    </row>
    <row r="5" spans="1:7">
      <c r="B5" s="4" t="str">
        <f>'Gestion Exigences'!C5</f>
        <v>Client</v>
      </c>
      <c r="C5" s="13" t="str">
        <f>'Gestion Exigences'!D5</f>
        <v>COGITEL</v>
      </c>
      <c r="D5" s="5"/>
      <c r="E5" s="5"/>
      <c r="F5" s="5"/>
      <c r="G5" s="5"/>
    </row>
    <row r="6" spans="1:7">
      <c r="B6" s="4" t="str">
        <f>'Gestion Exigences'!C6</f>
        <v>Projet</v>
      </c>
      <c r="C6" s="13" t="str">
        <f>'Gestion Exigences'!D6</f>
        <v>Digitalisation Atelier Découpe</v>
      </c>
      <c r="D6" s="5"/>
      <c r="E6" s="5"/>
      <c r="F6" s="5"/>
      <c r="G6" s="5"/>
    </row>
    <row r="7" spans="1:7">
      <c r="B7" s="4" t="str">
        <f>'Gestion Exigences'!C7</f>
        <v>Réf BPA du Devis</v>
      </c>
      <c r="C7" s="13">
        <f>'Gestion Exigences'!D7</f>
        <v>0</v>
      </c>
      <c r="D7" s="5"/>
      <c r="E7" s="5"/>
      <c r="F7" s="5"/>
      <c r="G7" s="5"/>
    </row>
    <row r="8" spans="1:7">
      <c r="B8" s="4" t="str">
        <f>'Gestion Exigences'!C8</f>
        <v>Réf BPA du Projet</v>
      </c>
      <c r="C8" s="13">
        <f>'Gestion Exigences'!D8</f>
        <v>0</v>
      </c>
      <c r="D8" s="5"/>
      <c r="E8" s="5"/>
      <c r="F8" s="5"/>
      <c r="G8" s="5"/>
    </row>
    <row r="9" spans="1:7">
      <c r="B9" s="12" t="str">
        <f>'Gestion Exigences'!C9</f>
        <v>Réf Modèle Document</v>
      </c>
      <c r="C9" s="14" t="str">
        <f>'Gestion Exigences'!D9</f>
        <v>MD203</v>
      </c>
      <c r="D9" s="5"/>
      <c r="E9" s="5"/>
      <c r="F9" s="5"/>
      <c r="G9" s="5"/>
    </row>
    <row r="10" spans="1:7">
      <c r="B10" s="12" t="str">
        <f>'Gestion Exigences'!C10</f>
        <v>Version Modèle Document</v>
      </c>
      <c r="C10" s="14" t="str">
        <f>'Gestion Exigences'!D10</f>
        <v>V1.5</v>
      </c>
      <c r="D10" s="5"/>
      <c r="E10" s="5"/>
      <c r="F10" s="5"/>
      <c r="G10" s="5"/>
    </row>
    <row r="11" spans="1:7">
      <c r="B11" s="4"/>
      <c r="C11" s="5"/>
      <c r="D11" s="5"/>
      <c r="E11" s="5"/>
      <c r="F11" s="5"/>
      <c r="G11" s="5"/>
    </row>
    <row r="12" spans="1:7">
      <c r="B12" s="4"/>
      <c r="C12" s="5"/>
      <c r="D12" s="5"/>
      <c r="E12" s="5"/>
      <c r="F12" s="5"/>
      <c r="G12" s="5"/>
    </row>
    <row r="13" spans="1:7">
      <c r="B13" s="15" t="s">
        <v>196</v>
      </c>
      <c r="C13" s="15" t="s">
        <v>197</v>
      </c>
      <c r="D13" s="15" t="s">
        <v>198</v>
      </c>
      <c r="E13" s="15" t="s">
        <v>199</v>
      </c>
      <c r="F13" s="15" t="s">
        <v>200</v>
      </c>
      <c r="G13" s="15" t="s">
        <v>201</v>
      </c>
    </row>
    <row r="14" spans="1:7">
      <c r="B14" s="6" t="s">
        <v>202</v>
      </c>
      <c r="C14" s="7">
        <v>44741</v>
      </c>
      <c r="D14" s="21" t="s">
        <v>203</v>
      </c>
      <c r="E14" s="6" t="s">
        <v>204</v>
      </c>
      <c r="F14" s="20" t="s">
        <v>205</v>
      </c>
      <c r="G14" s="6" t="s">
        <v>206</v>
      </c>
    </row>
    <row r="15" spans="1:7">
      <c r="B15" s="2" t="s">
        <v>207</v>
      </c>
      <c r="C15" s="23">
        <v>44978</v>
      </c>
      <c r="D15" s="2" t="s">
        <v>208</v>
      </c>
      <c r="E15" s="6" t="s">
        <v>204</v>
      </c>
      <c r="F15" s="2" t="s">
        <v>59</v>
      </c>
      <c r="G15" s="2" t="s">
        <v>206</v>
      </c>
    </row>
    <row r="16" spans="1:7" ht="57.95">
      <c r="B16" s="2" t="s">
        <v>209</v>
      </c>
      <c r="C16" s="23">
        <v>45021</v>
      </c>
      <c r="D16" s="24" t="s">
        <v>210</v>
      </c>
      <c r="E16" s="6" t="s">
        <v>204</v>
      </c>
      <c r="F16" s="24" t="s">
        <v>211</v>
      </c>
      <c r="G16" s="24" t="s">
        <v>206</v>
      </c>
    </row>
  </sheetData>
  <mergeCells count="1">
    <mergeCell ref="B3:G3"/>
  </mergeCells>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J2" sqref="J2"/>
    </sheetView>
  </sheetViews>
  <sheetFormatPr defaultColWidth="11.42578125" defaultRowHeight="12.95"/>
  <cols>
    <col min="1" max="1" width="11.42578125" style="10"/>
    <col min="2" max="3" width="19.85546875" style="10" customWidth="1"/>
    <col min="4" max="4" width="21.5703125" style="10" customWidth="1"/>
    <col min="5" max="5" width="11.42578125" style="10"/>
    <col min="6" max="6" width="16.140625" style="10" customWidth="1"/>
    <col min="7" max="16384" width="11.42578125" style="10"/>
  </cols>
  <sheetData>
    <row r="2" spans="2:9" ht="30">
      <c r="B2" s="11" t="s">
        <v>16</v>
      </c>
      <c r="C2" s="11" t="s">
        <v>212</v>
      </c>
      <c r="D2" s="11" t="s">
        <v>20</v>
      </c>
      <c r="E2" s="11" t="s">
        <v>213</v>
      </c>
      <c r="F2" s="11" t="s">
        <v>40</v>
      </c>
      <c r="G2" s="11" t="s">
        <v>214</v>
      </c>
      <c r="H2" s="11" t="s">
        <v>17</v>
      </c>
      <c r="I2" s="10" t="s">
        <v>215</v>
      </c>
    </row>
    <row r="3" spans="2:9">
      <c r="B3" s="10" t="s">
        <v>52</v>
      </c>
      <c r="C3" s="10" t="s">
        <v>54</v>
      </c>
      <c r="D3" s="10" t="s">
        <v>216</v>
      </c>
      <c r="E3" s="10" t="s">
        <v>217</v>
      </c>
      <c r="F3" s="10" t="s">
        <v>218</v>
      </c>
      <c r="G3" s="10" t="s">
        <v>58</v>
      </c>
      <c r="H3" s="10" t="s">
        <v>219</v>
      </c>
      <c r="I3" s="10" t="s">
        <v>57</v>
      </c>
    </row>
    <row r="4" spans="2:9" ht="26.1">
      <c r="B4" s="10" t="s">
        <v>220</v>
      </c>
      <c r="C4" s="10" t="s">
        <v>221</v>
      </c>
      <c r="D4" s="10" t="s">
        <v>222</v>
      </c>
      <c r="E4" s="10" t="s">
        <v>223</v>
      </c>
      <c r="F4" s="10" t="s">
        <v>60</v>
      </c>
      <c r="G4" s="10" t="s">
        <v>224</v>
      </c>
      <c r="H4" s="10" t="s">
        <v>225</v>
      </c>
      <c r="I4" s="10" t="s">
        <v>226</v>
      </c>
    </row>
    <row r="5" spans="2:9">
      <c r="B5" s="10" t="s">
        <v>227</v>
      </c>
      <c r="C5" s="10" t="s">
        <v>228</v>
      </c>
      <c r="D5" s="10" t="s">
        <v>229</v>
      </c>
      <c r="E5" s="10" t="s">
        <v>230</v>
      </c>
      <c r="H5" s="10" t="s">
        <v>231</v>
      </c>
    </row>
    <row r="6" spans="2:9">
      <c r="B6" s="10" t="s">
        <v>232</v>
      </c>
      <c r="C6" s="10" t="s">
        <v>233</v>
      </c>
      <c r="D6" s="10" t="s">
        <v>234</v>
      </c>
      <c r="H6" s="10" t="s">
        <v>235</v>
      </c>
    </row>
    <row r="7" spans="2:9">
      <c r="B7" s="10" t="s">
        <v>236</v>
      </c>
      <c r="C7" s="10" t="s">
        <v>237</v>
      </c>
      <c r="D7" s="10" t="s">
        <v>238</v>
      </c>
      <c r="H7" s="10" t="s">
        <v>239</v>
      </c>
    </row>
    <row r="8" spans="2:9">
      <c r="B8" s="10" t="s">
        <v>240</v>
      </c>
      <c r="D8" s="10" t="s">
        <v>241</v>
      </c>
      <c r="H8" s="10" t="s">
        <v>242</v>
      </c>
    </row>
    <row r="9" spans="2:9">
      <c r="D9" s="10" t="s">
        <v>243</v>
      </c>
      <c r="H9" s="10" t="s">
        <v>244</v>
      </c>
    </row>
    <row r="10" spans="2:9">
      <c r="H10" s="10" t="s">
        <v>245</v>
      </c>
    </row>
    <row r="11" spans="2:9">
      <c r="H11" s="10" t="s">
        <v>246</v>
      </c>
    </row>
    <row r="13" spans="2:9">
      <c r="H13" s="10" t="s">
        <v>247</v>
      </c>
    </row>
    <row r="14" spans="2:9">
      <c r="H14" s="10" t="s">
        <v>248</v>
      </c>
    </row>
    <row r="15" spans="2:9" ht="26.1">
      <c r="H15" s="10" t="s">
        <v>53</v>
      </c>
    </row>
    <row r="16" spans="2:9" ht="39">
      <c r="H16" s="10" t="s">
        <v>249</v>
      </c>
    </row>
    <row r="17" spans="8:8" ht="26.1">
      <c r="H17" s="10" t="s">
        <v>250</v>
      </c>
    </row>
    <row r="18" spans="8:8">
      <c r="H18" s="10" t="s">
        <v>251</v>
      </c>
    </row>
    <row r="19" spans="8:8">
      <c r="H19" s="10" t="s">
        <v>252</v>
      </c>
    </row>
    <row r="21" spans="8:8">
      <c r="H21" s="10" t="s">
        <v>253</v>
      </c>
    </row>
    <row r="22" spans="8:8" ht="26.1">
      <c r="H22" s="10" t="s">
        <v>254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SharedWithUsers xmlns="43b908ec-9e92-424c-a4ad-3174bac6e888">
      <UserInfo>
        <DisplayName/>
        <AccountId xsi:nil="true"/>
        <AccountType/>
      </UserInfo>
    </SharedWithUsers>
    <MediaLengthInSeconds xmlns="5f2f9e80-f74a-40c7-b145-b94d8e4966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DFE22F-AA22-49BA-882A-171A1F60E62F}"/>
</file>

<file path=customXml/itemProps2.xml><?xml version="1.0" encoding="utf-8"?>
<ds:datastoreItem xmlns:ds="http://schemas.openxmlformats.org/officeDocument/2006/customXml" ds:itemID="{85503822-DF13-4051-A489-72B75648E37A}"/>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2024-12-13T16:18:32Z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Order">
    <vt:r8>206300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