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addixo.sharepoint.com/COM/Documents partages/01 Clients/Confiserie Triki/8 SF/10 Digitalisation site 1/2 Préparation Offre/"/>
    </mc:Choice>
  </mc:AlternateContent>
  <xr:revisionPtr revIDLastSave="263" documentId="8_{E9EFE21D-26E1-4772-89C6-A0ED8A8B2BAB}" xr6:coauthVersionLast="47" xr6:coauthVersionMax="47" xr10:uidLastSave="{D8FBAB98-5FA5-4DC2-8FBD-CE8143312402}"/>
  <bookViews>
    <workbookView xWindow="28680" yWindow="-120" windowWidth="29040" windowHeight="15840" tabRatio="620" xr2:uid="{00000000-000D-0000-FFFF-FFFF00000000}"/>
  </bookViews>
  <sheets>
    <sheet name="Gestion Exigences" sheetId="27" r:id="rId1"/>
    <sheet name="Modifs Doc" sheetId="29" r:id="rId2"/>
    <sheet name="Params" sheetId="30" r:id="rId3"/>
  </sheets>
  <definedNames>
    <definedName name="_xlnm.Print_Area" localSheetId="0">'Gestion Exigences'!$C$2:$I$14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3" i="27" l="1"/>
  <c r="AD23" i="27" s="1"/>
  <c r="AC22" i="27"/>
  <c r="AD22" i="27" s="1"/>
  <c r="AC24" i="27"/>
  <c r="AD24" i="27" s="1"/>
  <c r="AC13" i="27"/>
  <c r="AD13" i="27" s="1"/>
  <c r="AC14" i="27"/>
  <c r="AC15" i="27"/>
  <c r="AC16" i="27"/>
  <c r="AD16" i="27" s="1"/>
  <c r="AC17" i="27"/>
  <c r="AD17" i="27" s="1"/>
  <c r="AC18" i="27"/>
  <c r="AD18" i="27" s="1"/>
  <c r="AC19" i="27"/>
  <c r="AD19" i="27" s="1"/>
  <c r="AC20" i="27"/>
  <c r="AD20" i="27" s="1"/>
  <c r="AC21" i="27"/>
  <c r="AD21" i="27" s="1"/>
  <c r="AC25" i="27" l="1"/>
  <c r="AB25" i="27"/>
  <c r="AD14" i="27"/>
  <c r="C5" i="29"/>
  <c r="C6" i="29"/>
  <c r="C7" i="29"/>
  <c r="C8" i="29"/>
  <c r="C9" i="29"/>
  <c r="C10" i="29"/>
  <c r="B6" i="29"/>
  <c r="B7" i="29"/>
  <c r="B8" i="29"/>
  <c r="B9" i="29"/>
  <c r="B10" i="29"/>
  <c r="B5" i="29"/>
  <c r="AD15" i="27" l="1"/>
  <c r="AD25" i="27" s="1"/>
</calcChain>
</file>

<file path=xl/sharedStrings.xml><?xml version="1.0" encoding="utf-8"?>
<sst xmlns="http://schemas.openxmlformats.org/spreadsheetml/2006/main" count="255" uniqueCount="162">
  <si>
    <t>Gestion Exigences Projet</t>
  </si>
  <si>
    <t>Chiffrage Réalisation SF</t>
  </si>
  <si>
    <t>Revue et Vérification pendant la Conception</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</si>
  <si>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</si>
  <si>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</si>
  <si>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</si>
  <si>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</si>
  <si>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</si>
  <si>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</si>
  <si>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</si>
  <si>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</si>
  <si>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</si>
  <si>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</si>
  <si>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</si>
  <si>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</si>
  <si>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</si>
  <si>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</si>
  <si>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</si>
  <si>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</si>
  <si>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</si>
  <si>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</si>
  <si>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</si>
  <si>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</si>
  <si>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</si>
  <si>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</si>
  <si>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</si>
  <si>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</si>
  <si>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</si>
  <si>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</si>
  <si>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</si>
  <si>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</si>
  <si>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</si>
  <si>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</si>
  <si>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</si>
  <si>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</si>
  <si>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</si>
  <si>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</si>
  <si>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SF-Processus</t>
  </si>
  <si>
    <t>Commerciale</t>
  </si>
  <si>
    <t>Workshop/réunion client</t>
  </si>
  <si>
    <t>RAS</t>
  </si>
  <si>
    <t>Validée</t>
  </si>
  <si>
    <t>Mahdi B.</t>
  </si>
  <si>
    <t>E002</t>
  </si>
  <si>
    <t xml:space="preserve">Gérer un OF sur plusieurs lignes </t>
  </si>
  <si>
    <t>Permettre de lancer un seul OF sur plusieurs lignes</t>
  </si>
  <si>
    <t>SF-Connectivité Machine</t>
  </si>
  <si>
    <t>Permettre de détecter l'évènement de début réel de la production lors du passage des produits du enveloppeuse</t>
  </si>
  <si>
    <t>Permettre au niveau de la partie EDGE standard de la solution la détection et l'envoie du message début réel production.</t>
  </si>
  <si>
    <t>E009</t>
  </si>
  <si>
    <t>E010</t>
  </si>
  <si>
    <t>E011</t>
  </si>
  <si>
    <t>E012</t>
  </si>
  <si>
    <t>E013</t>
  </si>
  <si>
    <t>E014</t>
  </si>
  <si>
    <t>E015</t>
  </si>
  <si>
    <t>E016</t>
  </si>
  <si>
    <t>E017</t>
  </si>
  <si>
    <t>E018</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</si>
  <si>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</si>
  <si>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</si>
  <si>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</si>
  <si>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 xml:space="preserve">Suivre la date de première mesure du MSP </t>
  </si>
  <si>
    <t>Permettre d'ajouter la date de la premiére mesure au niveau de chaque fiche MSP</t>
  </si>
  <si>
    <t>Ajouter un champ "Date de la premiére mesure" au niveau de chaque fiche MSP</t>
  </si>
  <si>
    <t xml:space="preserve">Calculer l'etendu moyen </t>
  </si>
  <si>
    <t>Permettre d'ajouter l'etendu moyen au niveau de chaque fiche MSP</t>
  </si>
  <si>
    <t>Gérer les fiches de-conformité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</si>
  <si>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</si>
  <si>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</si>
  <si>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 xml:space="preserve">Suivre l'affectation des NC </t>
  </si>
  <si>
    <t>Permettre de choisir les lignes sur lesquelles sont affectées les NC</t>
  </si>
  <si>
    <t>Ajouter un champ avec bouton radio pour choisir les lignes sur lesquelles sont affectées les NC</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</si>
  <si>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</si>
  <si>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</si>
  <si>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</si>
  <si>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</si>
  <si>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</si>
  <si>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</si>
  <si>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</si>
  <si>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</si>
  <si>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</si>
  <si>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</si>
  <si>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</si>
  <si>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</si>
  <si>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</si>
  <si>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</si>
  <si>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</si>
  <si>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</si>
  <si>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</si>
  <si>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</si>
  <si>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</si>
  <si>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</si>
  <si>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</si>
  <si>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</si>
  <si>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</si>
  <si>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</si>
  <si>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</si>
  <si>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</si>
  <si>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</si>
  <si>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</si>
  <si>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</si>
  <si>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</si>
  <si>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</si>
  <si>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</si>
  <si>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</si>
  <si>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</si>
  <si>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</si>
  <si>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</si>
  <si>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</si>
  <si>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</si>
  <si>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</si>
  <si>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</si>
  <si>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</si>
  <si>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</si>
  <si>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</si>
  <si>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</si>
  <si>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</si>
  <si>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</si>
  <si>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</si>
  <si>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</si>
  <si>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</si>
  <si>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</si>
  <si>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</si>
  <si>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</si>
  <si>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</si>
  <si>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</si>
  <si>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</si>
  <si>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</si>
  <si>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</si>
  <si>
    <t>Permettre le choix de nombre de chiffre après la virgule pour la quantité produite par unité</t>
  </si>
  <si>
    <t>Gestion des sites</t>
  </si>
  <si>
    <t>gestion des sites</t>
  </si>
  <si>
    <t xml:space="preserve">Ajouter une entité " sites " sous le module configuration </t>
  </si>
  <si>
    <t>Permettre de gérer le même OF sur plusieurs ligne</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</si>
  <si>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</si>
  <si>
    <t>Détecter le début réel de la production cuisson, MEF, Dragéification</t>
  </si>
  <si>
    <t>Insérer matricule opérateur à la déclaration de production</t>
  </si>
  <si>
    <t>Ajouter une formule de cacul de la quantité produite en fonction de la vitesse linéaire</t>
  </si>
  <si>
    <t>Calcul de la quantité produite en fonction de la vitesse linéaire</t>
  </si>
  <si>
    <t>Ajouter un champ de recherche au niveau de la liste produit dans le modale d'ajout ou de la modification de l'OF</t>
  </si>
  <si>
    <t xml:space="preserve">Recherche produit </t>
  </si>
  <si>
    <t xml:space="preserve">Insérer un champ de recherche produit </t>
  </si>
  <si>
    <t>Colonne1</t>
  </si>
  <si>
    <t>Colonne2</t>
  </si>
  <si>
    <t>Colonne3</t>
  </si>
  <si>
    <t>Colonne4</t>
  </si>
  <si>
    <t>Colonne5</t>
  </si>
  <si>
    <t>Colonne6</t>
  </si>
  <si>
    <t>Colonne7</t>
  </si>
  <si>
    <t>Colonne8</t>
  </si>
  <si>
    <t>Colonne9</t>
  </si>
  <si>
    <t>Colonne10</t>
  </si>
  <si>
    <t>Colonne11</t>
  </si>
  <si>
    <t>Colonne12</t>
  </si>
  <si>
    <t>Colonne13</t>
  </si>
  <si>
    <t>Colonne14</t>
  </si>
  <si>
    <t>Ajouter la possibilité d'insérer la matricule opérateur à la déclaration de la production</t>
  </si>
  <si>
    <t>Ajouter une formule de calcul de la quantité produite en fonction de la vitesse linéaire ( Nbre de mètre linéaire * nbre de pièce par détection )</t>
  </si>
  <si>
    <t>Mise à jour des exigences : 
•Supprimer l'exigence E011</t>
  </si>
  <si>
    <t>Moatez D.</t>
  </si>
  <si>
    <t>V1.3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</si>
</sst>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8"/>
      <name val="Arial"/>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0" fillId="5" borderId="7" xfId="0" applyFont="1" applyFill="1" applyBorder="1" applyAlignment="1">
      <alignment wrapText="1"/>
    </xf>
    <xf numFmtId="0" fontId="1" fillId="0" borderId="8" xfId="0" applyFont="1" applyBorder="1" applyAlignment="1">
      <alignment vertical="center" wrapText="1"/>
    </xf>
    <xf numFmtId="0" fontId="1" fillId="0" borderId="9" xfId="0" applyFont="1" applyBorder="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right style="medium">
          <color indexed="64"/>
        </right>
        <vertical/>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style="medium">
          <color indexed="64"/>
        </left>
        <right/>
        <vertical/>
      </border>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25" totalsRowCount="1" headerRowDxfId="79" dataDxfId="78">
  <autoFilter ref="B12:AJ24" xr:uid="{DDEA2C8B-EE0D-4C55-9256-CCC64E002CE6}"/>
  <tableColumns count="35">
    <tableColumn id="1" xr3:uid="{E467E0EE-CDAA-4FF5-85A8-CDC0B23A5AD9}" name="ID" dataDxfId="69" totalsRowDxfId="34"/>
    <tableColumn id="2" xr3:uid="{E53952AC-4972-47BD-8B1D-C7EF23088D0D}" name="Exigence" dataDxfId="68" totalsRowDxfId="33"/>
    <tableColumn id="8" xr3:uid="{B2D0BC2C-C803-4015-8FA6-70F84517BDB2}" name="Nature" dataDxfId="67" totalsRowDxfId="32"/>
    <tableColumn id="7" xr3:uid="{24F2F0ED-022E-4EC1-91D8-BFE0E4F2FD36}" name="Catégorie" dataDxfId="66" totalsRowDxfId="31"/>
    <tableColumn id="10" xr3:uid="{1FF81CF1-6D35-421C-8767-9E7FA06FEE6A}" name="Exigence idenfiée pendant la phase" dataDxfId="65" totalsRowDxfId="30"/>
    <tableColumn id="3" xr3:uid="{E7621A68-9552-4853-96A5-92A226EA42DD}" name="Description de l'exigence" dataDxfId="64" totalsRowDxfId="29"/>
    <tableColumn id="9" xr3:uid="{E6EEEC82-3576-4980-94B3-1423906CE531}" name="Source" dataDxfId="63" totalsRowDxfId="28"/>
    <tableColumn id="16" xr3:uid="{1441554A-79F9-4040-9CF5-AEBFF7ADF7D1}" name="Desciption de la solution ADDIXO" dataDxfId="62" totalsRowDxfId="27"/>
    <tableColumn id="17" xr3:uid="{D1BC9C86-C3CE-417F-AC83-FC4786A7656D}" name="Ecart entre exigence client et la solution proposée - préciser aussi les limites et hypothèses si applicable" dataDxfId="61" totalsRowDxfId="26"/>
    <tableColumn id="5" xr3:uid="{2649C3B7-E8B9-44F9-8883-E5BB6F91B4B1}" name="Validation Interne" dataDxfId="60" totalsRowDxfId="25"/>
    <tableColumn id="19" xr3:uid="{1684315C-4BF1-4202-9296-395A9CBBCF5B}" name="Colonne1" dataDxfId="59" totalsRowDxfId="24"/>
    <tableColumn id="23" xr3:uid="{B6C3130B-09EF-45AC-BADA-90DC4AA315FC}" name="Colonne2" dataDxfId="58" totalsRowDxfId="23"/>
    <tableColumn id="24" xr3:uid="{ED6C4BB9-0261-4756-9E2F-D66985E18ED3}" name="Colonne3" dataDxfId="57" totalsRowDxfId="22"/>
    <tableColumn id="25" xr3:uid="{78150193-1C14-44BE-96A3-D80FFAA537A1}" name="Colonne4" dataDxfId="56" totalsRowDxfId="21"/>
    <tableColumn id="26" xr3:uid="{675E0A2C-BB54-404C-AA93-815EC984D2D6}" name="Colonne5" dataDxfId="55" totalsRowDxfId="20"/>
    <tableColumn id="27" xr3:uid="{CBA3FCD9-30EA-4D19-BD7E-D0C0216A2D2C}" name="Colonne6" dataDxfId="54" totalsRowDxfId="19"/>
    <tableColumn id="28" xr3:uid="{64F4902E-4937-4A74-910C-13A5511F7340}" name="Colonne7" dataDxfId="53" totalsRowDxfId="18"/>
    <tableColumn id="29" xr3:uid="{D26DE321-3DF3-4A2C-8283-3F62F92E87F7}" name="Colonne8" dataDxfId="52" totalsRowDxfId="17"/>
    <tableColumn id="30" xr3:uid="{5434348C-D2DE-493F-94CA-198AB6E4DAB4}" name="Colonne9" dataDxfId="51" totalsRowDxfId="16"/>
    <tableColumn id="31" xr3:uid="{06456D23-93D7-4397-815B-7D05CC6463D2}" name="Colonne10" dataDxfId="50" totalsRowDxfId="15"/>
    <tableColumn id="32" xr3:uid="{FB8D074E-F786-450E-8A8C-7D77D212C0ED}" name="Colonne11" dataDxfId="49" totalsRowDxfId="14"/>
    <tableColumn id="33" xr3:uid="{8C68935C-FF3F-4366-B375-B488B353BA68}" name="Colonne12" dataDxfId="48" totalsRowDxfId="13"/>
    <tableColumn id="34" xr3:uid="{78D71331-AEFF-45A6-96F8-D15DAA307F14}" name="Colonne13" dataDxfId="47" totalsRowDxfId="12"/>
    <tableColumn id="35" xr3:uid="{A9FCD645-19CA-4DCD-93DF-19C36E49D180}" name="Colonne14" dataDxfId="46" totalsRowDxfId="11"/>
    <tableColumn id="6" xr3:uid="{8CC493F8-0886-498D-AB98-B77300CC6510}" name="Validation Interne par:" dataDxfId="45" totalsRowDxfId="10"/>
    <tableColumn id="15" xr3:uid="{78231C60-0932-4386-925D-4C689A91C0E3}" name="Statut Client" dataDxfId="44" totalsRowDxfId="9"/>
    <tableColumn id="22" xr3:uid="{D944A0FD-E468-407F-91A6-BD8A29086A7B}" name="HJ Dev" totalsRowFunction="custom" dataDxfId="43" totalsRowDxfId="8">
      <totalsRowFormula>SUBTOTAL(109,AB13:AB24)</totalsRowFormula>
    </tableColumn>
    <tableColumn id="21" xr3:uid="{818C68C5-1CC3-4DC9-9BB8-2CB7816ABE9F}" name="HJ Analyse et test" totalsRowFunction="custom" dataDxfId="42" totalsRowDxfId="7">
      <calculatedColumnFormula>Tableau3[[#This Row],[HJ Dev]]*(25%+25%)</calculatedColumnFormula>
      <totalsRowFormula>SUBTOTAL(109,AC13:AC24)</totalsRowFormula>
    </tableColumn>
    <tableColumn id="20" xr3:uid="{81CB5860-4285-4425-ABF9-C91F3323BF25}" name="Total HJ" totalsRowFunction="custom" dataDxfId="41" totalsRowDxfId="6">
      <totalsRowFormula>SUBTOTAL(109,AD13:AD24)</totalsRowFormula>
    </tableColumn>
    <tableColumn id="11" xr3:uid="{20685332-73A9-4B9D-874E-F1C9F770405F}" name="Description comment la conception de la solution prend en compte l'exigence client" dataDxfId="40" totalsRowDxfId="5"/>
    <tableColumn id="12" xr3:uid="{36B390F4-625A-46E1-864B-7108903FFD96}" name="Conception réalisée par:" dataDxfId="39" totalsRowDxfId="4"/>
    <tableColumn id="13" xr3:uid="{9016419E-83A5-4950-AB28-EA27A0D72FAD}" name="Revue conception réalisée par" dataDxfId="38" totalsRowDxfId="3"/>
    <tableColumn id="14" xr3:uid="{B5F29B7E-09EB-43EF-BD3D-9ADF38F7CC12}" name="Vérification de la conception réalisée par" dataDxfId="37" totalsRowDxfId="2"/>
    <tableColumn id="18" xr3:uid="{0CA25C90-64D6-43D5-90C8-CE6D70CCA638}" name="Preuve de vérification " dataDxfId="36" totalsRowDxfId="1"/>
    <tableColumn id="4" xr3:uid="{B7406A3A-A365-4F76-9A20-372573D19BC9}" name="Notes" dataDxfId="35"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7" dataDxfId="76">
  <autoFilter ref="B13:G18" xr:uid="{96AD1385-A1F5-4391-ABC2-C9F250557626}"/>
  <tableColumns count="6">
    <tableColumn id="1" xr3:uid="{56DA355E-F205-482A-9CF1-CA3361A1D801}" name="Version" dataDxfId="75"/>
    <tableColumn id="2" xr3:uid="{C9D8A0D7-1D6E-479B-AF74-6D39D19E4653}" name="Date" dataDxfId="74"/>
    <tableColumn id="3" xr3:uid="{79109713-8A38-4162-A269-136157905B75}" name="Modifications" dataDxfId="73"/>
    <tableColumn id="4" xr3:uid="{AC928B3E-399C-4A3D-9FB5-9CD96F5D4745}" name="Auteur(s)" dataDxfId="72"/>
    <tableColumn id="5" xr3:uid="{0D0A428D-4F18-4D4E-A0CB-4D1A5057B6E9}" name="Vérificateur(s)" dataDxfId="71"/>
    <tableColumn id="6" xr3:uid="{D81EAB57-FBCA-44D9-8F45-58AF13AA08B6}" name="Approbateur" dataDxfId="7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27"/>
  <sheetViews>
    <sheetView tabSelected="1" topLeftCell="A12" zoomScale="110" zoomScaleNormal="110" workbookViewId="0">
      <selection activeCell="G27" sqref="G27"/>
    </sheetView>
  </sheetViews>
  <sheetFormatPr baseColWidth="10" defaultColWidth="11.453125" defaultRowHeight="13" x14ac:dyDescent="0.3"/>
  <cols>
    <col min="1" max="1" width="11.453125" style="1"/>
    <col min="2" max="2" width="6.1796875" style="1" customWidth="1"/>
    <col min="3" max="3" width="37" style="1" customWidth="1"/>
    <col min="4" max="4" width="14.453125" style="1" hidden="1" customWidth="1"/>
    <col min="5" max="5" width="12.453125" style="1" hidden="1" customWidth="1"/>
    <col min="6" max="6" width="18.7265625" style="1" hidden="1" customWidth="1"/>
    <col min="7" max="7" width="56.54296875" style="1" customWidth="1"/>
    <col min="8" max="8" width="18.453125" style="1" hidden="1" customWidth="1"/>
    <col min="9" max="9" width="83.7265625" style="1" customWidth="1"/>
    <col min="10" max="10" width="36.453125" style="1" customWidth="1"/>
    <col min="11" max="11" width="10.54296875" style="1" customWidth="1"/>
    <col min="12" max="25" width="10.54296875" style="1" hidden="1" customWidth="1"/>
    <col min="26" max="26" width="12" style="1" customWidth="1"/>
    <col min="27" max="27" width="12.7265625" style="1" customWidth="1"/>
    <col min="28" max="28" width="9.1796875" style="1" customWidth="1"/>
    <col min="29" max="29" width="14.81640625" style="1" customWidth="1"/>
    <col min="30" max="30" width="10.26953125" style="1" customWidth="1"/>
    <col min="31" max="31" width="33.26953125" style="1" customWidth="1"/>
    <col min="32" max="32" width="15.453125" style="1" customWidth="1"/>
    <col min="33" max="33" width="14.7265625" style="1" customWidth="1"/>
    <col min="34" max="34" width="17.453125" style="1" customWidth="1"/>
    <col min="35" max="35" width="24.1796875" style="1" customWidth="1"/>
    <col min="36" max="36" width="9" style="1" customWidth="1"/>
    <col min="37" max="37" width="5.54296875" style="1" customWidth="1"/>
    <col min="38" max="39" width="11.453125" style="1" customWidth="1"/>
    <col min="40" max="16384" width="11.453125" style="1"/>
  </cols>
  <sheetData>
    <row r="1" spans="2:36" ht="13.5" thickBot="1" x14ac:dyDescent="0.35"/>
    <row r="2" spans="2:36" ht="21.75" customHeight="1" thickBot="1" x14ac:dyDescent="0.5">
      <c r="B2" s="37" t="s">
        <v>0</v>
      </c>
      <c r="C2" s="38"/>
      <c r="D2" s="38"/>
      <c r="E2" s="38"/>
      <c r="F2" s="38"/>
      <c r="G2" s="38"/>
      <c r="H2" s="38"/>
      <c r="I2" s="38"/>
      <c r="J2" s="38"/>
      <c r="K2" s="38"/>
      <c r="L2" s="38"/>
      <c r="M2" s="38"/>
      <c r="N2" s="38"/>
      <c r="O2" s="38"/>
      <c r="P2" s="38"/>
      <c r="Q2" s="38"/>
      <c r="R2" s="38"/>
      <c r="S2" s="38"/>
      <c r="T2" s="38"/>
      <c r="U2" s="38"/>
      <c r="V2" s="38"/>
      <c r="W2" s="38"/>
      <c r="X2" s="38"/>
      <c r="Y2" s="38"/>
      <c r="Z2" s="38"/>
      <c r="AA2" s="39"/>
      <c r="AB2" s="40" t="s">
        <v>1</v>
      </c>
      <c r="AC2" s="41"/>
      <c r="AD2" s="42"/>
      <c r="AE2" s="35" t="s">
        <v>2</v>
      </c>
      <c r="AF2" s="36"/>
      <c r="AG2" s="36"/>
      <c r="AH2" s="36"/>
      <c r="AI2" s="36"/>
      <c r="AJ2" s="36"/>
    </row>
    <row r="3" spans="2:36" ht="21.75" customHeight="1" x14ac:dyDescent="0.3">
      <c r="C3" s="8"/>
      <c r="D3" s="8"/>
      <c r="E3" s="8"/>
      <c r="F3" s="8"/>
      <c r="G3" s="8"/>
      <c r="H3" s="8"/>
      <c r="I3" s="8"/>
    </row>
    <row r="4" spans="2:36" ht="21.75" customHeight="1" x14ac:dyDescent="0.35">
      <c r="C4" s="3" t="s">
        <v>3</v>
      </c>
      <c r="D4" s="34" t="s">
        <v>4</v>
      </c>
      <c r="E4" s="34"/>
      <c r="F4" s="34"/>
      <c r="G4" s="34"/>
      <c r="H4" s="34"/>
      <c r="I4" s="34"/>
    </row>
    <row r="5" spans="2:36" ht="14.5" x14ac:dyDescent="0.35">
      <c r="C5" s="3" t="s">
        <v>5</v>
      </c>
      <c r="D5" s="34" t="s">
        <v>6</v>
      </c>
      <c r="E5" s="34"/>
      <c r="F5" s="34"/>
      <c r="G5" s="34"/>
      <c r="H5" s="34"/>
      <c r="I5" s="34"/>
    </row>
    <row r="6" spans="2:36" ht="14.5" x14ac:dyDescent="0.35">
      <c r="C6" s="3" t="s">
        <v>7</v>
      </c>
      <c r="D6" s="34"/>
      <c r="E6" s="34"/>
      <c r="F6" s="34"/>
      <c r="G6" s="34"/>
      <c r="H6" s="34"/>
      <c r="I6" s="34"/>
    </row>
    <row r="7" spans="2:36" ht="14.5" x14ac:dyDescent="0.35">
      <c r="C7" s="3" t="s">
        <v>8</v>
      </c>
      <c r="D7" s="34"/>
      <c r="E7" s="34"/>
      <c r="F7" s="34"/>
      <c r="G7" s="34"/>
      <c r="H7" s="34"/>
      <c r="I7" s="34"/>
    </row>
    <row r="8" spans="2:36" ht="18.5" x14ac:dyDescent="0.45">
      <c r="C8" s="9" t="s">
        <v>9</v>
      </c>
      <c r="D8" s="9" t="s">
        <v>10</v>
      </c>
      <c r="E8" s="9"/>
      <c r="F8" s="9"/>
      <c r="I8" s="25" t="s">
        <v>11</v>
      </c>
    </row>
    <row r="9" spans="2:36" x14ac:dyDescent="0.3">
      <c r="C9" s="9" t="s">
        <v>12</v>
      </c>
      <c r="D9" s="9" t="s">
        <v>13</v>
      </c>
      <c r="E9" s="9"/>
      <c r="F9" s="9"/>
    </row>
    <row r="11" spans="2:36" s="10" customFormat="1" ht="54" customHeight="1" thickBot="1" x14ac:dyDescent="0.3"/>
    <row r="12" spans="2:36" s="10" customFormat="1" ht="39.5" thickBot="1" x14ac:dyDescent="0.3">
      <c r="B12" s="20" t="s">
        <v>14</v>
      </c>
      <c r="C12" s="21" t="s">
        <v>15</v>
      </c>
      <c r="D12" s="21" t="s">
        <v>16</v>
      </c>
      <c r="E12" s="21" t="s">
        <v>17</v>
      </c>
      <c r="F12" s="21" t="s">
        <v>18</v>
      </c>
      <c r="G12" s="21" t="s">
        <v>19</v>
      </c>
      <c r="H12" s="21" t="s">
        <v>20</v>
      </c>
      <c r="I12" s="22" t="s">
        <v>21</v>
      </c>
      <c r="J12" s="21" t="s">
        <v>22</v>
      </c>
      <c r="K12" s="21" t="s">
        <v>23</v>
      </c>
      <c r="L12" s="21" t="s">
        <v>143</v>
      </c>
      <c r="M12" s="21" t="s">
        <v>144</v>
      </c>
      <c r="N12" s="21" t="s">
        <v>145</v>
      </c>
      <c r="O12" s="21" t="s">
        <v>146</v>
      </c>
      <c r="P12" s="21" t="s">
        <v>147</v>
      </c>
      <c r="Q12" s="21" t="s">
        <v>148</v>
      </c>
      <c r="R12" s="21" t="s">
        <v>149</v>
      </c>
      <c r="S12" s="21" t="s">
        <v>150</v>
      </c>
      <c r="T12" s="21" t="s">
        <v>151</v>
      </c>
      <c r="U12" s="21" t="s">
        <v>152</v>
      </c>
      <c r="V12" s="21" t="s">
        <v>153</v>
      </c>
      <c r="W12" s="21" t="s">
        <v>154</v>
      </c>
      <c r="X12" s="21" t="s">
        <v>155</v>
      </c>
      <c r="Y12" s="21" t="s">
        <v>156</v>
      </c>
      <c r="Z12" s="21" t="s">
        <v>24</v>
      </c>
      <c r="AA12" s="22" t="s">
        <v>25</v>
      </c>
      <c r="AB12" s="16" t="s">
        <v>26</v>
      </c>
      <c r="AC12" s="16" t="s">
        <v>27</v>
      </c>
      <c r="AD12" s="16" t="s">
        <v>28</v>
      </c>
      <c r="AE12" s="17" t="s">
        <v>29</v>
      </c>
      <c r="AF12" s="18" t="s">
        <v>30</v>
      </c>
      <c r="AG12" s="18" t="s">
        <v>31</v>
      </c>
      <c r="AH12" s="18" t="s">
        <v>32</v>
      </c>
      <c r="AI12" s="18" t="s">
        <v>33</v>
      </c>
      <c r="AJ12" s="19" t="s">
        <v>34</v>
      </c>
    </row>
    <row r="13" spans="2:36" s="10" customFormat="1" ht="26" x14ac:dyDescent="0.25">
      <c r="B13" s="29" t="s">
        <v>35</v>
      </c>
      <c r="C13" s="10" t="s">
        <v>44</v>
      </c>
      <c r="D13" s="10" t="s">
        <v>36</v>
      </c>
      <c r="E13" s="10" t="s">
        <v>37</v>
      </c>
      <c r="F13" s="10" t="s">
        <v>38</v>
      </c>
      <c r="G13" s="10" t="s">
        <v>45</v>
      </c>
      <c r="H13" s="10" t="s">
        <v>39</v>
      </c>
      <c r="I13" s="30" t="s">
        <v>134</v>
      </c>
      <c r="J13" s="10" t="s">
        <v>40</v>
      </c>
      <c r="K13" s="10" t="s">
        <v>41</v>
      </c>
      <c r="Z13" s="10" t="s">
        <v>42</v>
      </c>
      <c r="AB13" s="10">
        <v>8</v>
      </c>
      <c r="AC13" s="10">
        <f>Tableau3[[#This Row],[HJ Dev]]*(25%+25%)</f>
        <v>4</v>
      </c>
      <c r="AD13" s="10">
        <f>Tableau3[[#This Row],[HJ Analyse et test]]+Tableau3[[#This Row],[HJ Dev]]</f>
        <v>12</v>
      </c>
    </row>
    <row r="14" spans="2:36" s="10" customFormat="1" ht="26" x14ac:dyDescent="0.25">
      <c r="B14" s="29" t="s">
        <v>43</v>
      </c>
      <c r="C14" s="10" t="s">
        <v>136</v>
      </c>
      <c r="D14" s="10" t="s">
        <v>36</v>
      </c>
      <c r="E14" s="10" t="s">
        <v>46</v>
      </c>
      <c r="F14" s="10" t="s">
        <v>38</v>
      </c>
      <c r="G14" s="10" t="s">
        <v>47</v>
      </c>
      <c r="H14" s="10" t="s">
        <v>39</v>
      </c>
      <c r="I14" s="30" t="s">
        <v>48</v>
      </c>
      <c r="J14" s="10" t="s">
        <v>40</v>
      </c>
      <c r="K14" s="10" t="s">
        <v>41</v>
      </c>
      <c r="Z14" s="10" t="s">
        <v>42</v>
      </c>
      <c r="AB14" s="10">
        <v>2</v>
      </c>
      <c r="AC14" s="10">
        <f>Tableau3[[#This Row],[HJ Dev]]*(25%+25%)</f>
        <v>1</v>
      </c>
      <c r="AD14" s="10">
        <f>Tableau3[[#This Row],[HJ Analyse et test]]+Tableau3[[#This Row],[HJ Dev]]</f>
        <v>3</v>
      </c>
    </row>
    <row r="15" spans="2:36" ht="36" customHeight="1" x14ac:dyDescent="0.3">
      <c r="B15" s="29" t="s">
        <v>49</v>
      </c>
      <c r="C15" s="10" t="s">
        <v>130</v>
      </c>
      <c r="D15" s="10" t="s">
        <v>36</v>
      </c>
      <c r="E15" s="10" t="s">
        <v>37</v>
      </c>
      <c r="F15" s="10" t="s">
        <v>38</v>
      </c>
      <c r="G15" s="10" t="s">
        <v>130</v>
      </c>
      <c r="H15" s="10" t="s">
        <v>39</v>
      </c>
      <c r="I15" s="30" t="s">
        <v>135</v>
      </c>
      <c r="J15" s="10" t="s">
        <v>40</v>
      </c>
      <c r="K15" s="10" t="s">
        <v>41</v>
      </c>
      <c r="L15" s="10"/>
      <c r="M15" s="10"/>
      <c r="N15" s="10"/>
      <c r="O15" s="10"/>
      <c r="P15" s="10"/>
      <c r="Q15" s="10"/>
      <c r="R15" s="10"/>
      <c r="S15" s="10"/>
      <c r="T15" s="10"/>
      <c r="U15" s="10"/>
      <c r="V15" s="10"/>
      <c r="W15" s="10"/>
      <c r="X15" s="10"/>
      <c r="Y15" s="10"/>
      <c r="Z15" s="10" t="s">
        <v>42</v>
      </c>
      <c r="AA15" s="10"/>
      <c r="AB15" s="10">
        <v>1</v>
      </c>
      <c r="AC15" s="10">
        <f>Tableau3[[#This Row],[HJ Dev]]*(25%+25%)</f>
        <v>0.5</v>
      </c>
      <c r="AD15" s="10">
        <f>Tableau3[[#This Row],[HJ Analyse et test]]+Tableau3[[#This Row],[HJ Dev]]</f>
        <v>1.5</v>
      </c>
      <c r="AE15" s="10"/>
      <c r="AF15" s="10"/>
      <c r="AG15" s="10"/>
      <c r="AH15" s="10"/>
      <c r="AI15" s="10"/>
      <c r="AJ15" s="10"/>
    </row>
    <row r="16" spans="2:36" ht="26" x14ac:dyDescent="0.3">
      <c r="B16" s="29" t="s">
        <v>50</v>
      </c>
      <c r="C16" s="10" t="s">
        <v>131</v>
      </c>
      <c r="D16" s="10" t="s">
        <v>36</v>
      </c>
      <c r="E16" s="10" t="s">
        <v>37</v>
      </c>
      <c r="F16" s="10" t="s">
        <v>38</v>
      </c>
      <c r="G16" s="10" t="s">
        <v>132</v>
      </c>
      <c r="H16" s="10" t="s">
        <v>39</v>
      </c>
      <c r="I16" s="30" t="s">
        <v>133</v>
      </c>
      <c r="J16" s="10" t="s">
        <v>40</v>
      </c>
      <c r="K16" s="10" t="s">
        <v>41</v>
      </c>
      <c r="L16" s="10"/>
      <c r="M16" s="10"/>
      <c r="N16" s="10"/>
      <c r="O16" s="10"/>
      <c r="P16" s="10"/>
      <c r="Q16" s="10"/>
      <c r="R16" s="10"/>
      <c r="S16" s="10"/>
      <c r="T16" s="10"/>
      <c r="U16" s="10"/>
      <c r="V16" s="10"/>
      <c r="W16" s="10"/>
      <c r="X16" s="10"/>
      <c r="Y16" s="10"/>
      <c r="Z16" s="10" t="s">
        <v>42</v>
      </c>
      <c r="AA16" s="10"/>
      <c r="AB16" s="10">
        <v>12</v>
      </c>
      <c r="AC16" s="10">
        <f>Tableau3[[#This Row],[HJ Dev]]*(25%+25%)</f>
        <v>6</v>
      </c>
      <c r="AD16" s="10">
        <f>Tableau3[[#This Row],[HJ Analyse et test]]+Tableau3[[#This Row],[HJ Dev]]</f>
        <v>18</v>
      </c>
      <c r="AE16" s="10"/>
      <c r="AF16" s="10"/>
      <c r="AG16" s="10"/>
      <c r="AH16" s="10"/>
      <c r="AI16" s="10"/>
      <c r="AJ16" s="10"/>
    </row>
    <row r="17" spans="2:36" ht="26" x14ac:dyDescent="0.3">
      <c r="B17" s="29" t="s">
        <v>51</v>
      </c>
      <c r="C17" s="10" t="s">
        <v>59</v>
      </c>
      <c r="D17" s="10" t="s">
        <v>36</v>
      </c>
      <c r="E17" s="10" t="s">
        <v>37</v>
      </c>
      <c r="F17" s="10" t="s">
        <v>38</v>
      </c>
      <c r="G17" s="10" t="s">
        <v>60</v>
      </c>
      <c r="H17" s="10" t="s">
        <v>39</v>
      </c>
      <c r="I17" s="30" t="s">
        <v>61</v>
      </c>
      <c r="J17" s="10" t="s">
        <v>40</v>
      </c>
      <c r="K17" s="10" t="s">
        <v>41</v>
      </c>
      <c r="L17" s="10"/>
      <c r="M17" s="10"/>
      <c r="N17" s="10"/>
      <c r="O17" s="10"/>
      <c r="P17" s="10"/>
      <c r="Q17" s="10"/>
      <c r="R17" s="10"/>
      <c r="S17" s="10"/>
      <c r="T17" s="10"/>
      <c r="U17" s="10"/>
      <c r="V17" s="10"/>
      <c r="W17" s="10"/>
      <c r="X17" s="10"/>
      <c r="Y17" s="10"/>
      <c r="Z17" s="10" t="s">
        <v>42</v>
      </c>
      <c r="AA17" s="10"/>
      <c r="AB17" s="10">
        <v>2</v>
      </c>
      <c r="AC17" s="10">
        <f>Tableau3[[#This Row],[HJ Dev]]*(25%+25%)</f>
        <v>1</v>
      </c>
      <c r="AD17" s="10">
        <f>Tableau3[[#This Row],[HJ Analyse et test]]+Tableau3[[#This Row],[HJ Dev]]</f>
        <v>3</v>
      </c>
      <c r="AE17" s="10"/>
      <c r="AF17" s="10"/>
      <c r="AG17" s="10"/>
      <c r="AH17" s="10"/>
      <c r="AI17" s="10"/>
      <c r="AJ17" s="10"/>
    </row>
    <row r="18" spans="2:36" ht="26" x14ac:dyDescent="0.3">
      <c r="B18" s="29" t="s">
        <v>52</v>
      </c>
      <c r="C18" s="10" t="s">
        <v>62</v>
      </c>
      <c r="D18" s="10" t="s">
        <v>36</v>
      </c>
      <c r="E18" s="10" t="s">
        <v>37</v>
      </c>
      <c r="F18" s="10" t="s">
        <v>38</v>
      </c>
      <c r="G18" s="10" t="s">
        <v>63</v>
      </c>
      <c r="H18" s="10" t="s">
        <v>39</v>
      </c>
      <c r="I18" s="31" t="s">
        <v>64</v>
      </c>
      <c r="J18" s="10" t="s">
        <v>40</v>
      </c>
      <c r="K18" s="10" t="s">
        <v>41</v>
      </c>
      <c r="L18" s="10"/>
      <c r="M18" s="10"/>
      <c r="N18" s="10"/>
      <c r="O18" s="10"/>
      <c r="P18" s="10"/>
      <c r="Q18" s="10"/>
      <c r="R18" s="10"/>
      <c r="S18" s="10"/>
      <c r="T18" s="10"/>
      <c r="U18" s="10"/>
      <c r="V18" s="10"/>
      <c r="W18" s="10"/>
      <c r="X18" s="10"/>
      <c r="Y18" s="10"/>
      <c r="Z18" s="10" t="s">
        <v>42</v>
      </c>
      <c r="AA18" s="10"/>
      <c r="AB18" s="10">
        <v>1</v>
      </c>
      <c r="AC18" s="10">
        <f>Tableau3[[#This Row],[HJ Dev]]*(25%+25%)</f>
        <v>0.5</v>
      </c>
      <c r="AD18" s="10">
        <f>Tableau3[[#This Row],[HJ Analyse et test]]+Tableau3[[#This Row],[HJ Dev]]</f>
        <v>1.5</v>
      </c>
      <c r="AE18" s="10"/>
      <c r="AF18" s="10"/>
      <c r="AG18" s="10"/>
      <c r="AH18" s="10"/>
      <c r="AI18" s="10"/>
      <c r="AJ18" s="10"/>
    </row>
    <row r="19" spans="2:36" ht="26" x14ac:dyDescent="0.3">
      <c r="B19" s="29" t="s">
        <v>53</v>
      </c>
      <c r="C19" s="10" t="s">
        <v>65</v>
      </c>
      <c r="D19" s="10" t="s">
        <v>36</v>
      </c>
      <c r="E19" s="10" t="s">
        <v>37</v>
      </c>
      <c r="F19" s="10" t="s">
        <v>38</v>
      </c>
      <c r="G19" s="10" t="s">
        <v>66</v>
      </c>
      <c r="H19" s="10" t="s">
        <v>39</v>
      </c>
      <c r="I19" s="30" t="s">
        <v>66</v>
      </c>
      <c r="J19" s="10" t="s">
        <v>40</v>
      </c>
      <c r="K19" s="10" t="s">
        <v>41</v>
      </c>
      <c r="L19" s="10"/>
      <c r="M19" s="10"/>
      <c r="N19" s="10"/>
      <c r="O19" s="10"/>
      <c r="P19" s="10"/>
      <c r="Q19" s="10"/>
      <c r="R19" s="10"/>
      <c r="S19" s="10"/>
      <c r="T19" s="10"/>
      <c r="U19" s="10"/>
      <c r="V19" s="10"/>
      <c r="W19" s="10"/>
      <c r="X19" s="10"/>
      <c r="Y19" s="10"/>
      <c r="Z19" s="10" t="s">
        <v>42</v>
      </c>
      <c r="AA19" s="10"/>
      <c r="AB19" s="10">
        <v>3</v>
      </c>
      <c r="AC19" s="10">
        <f>Tableau3[[#This Row],[HJ Dev]]*(25%+25%)</f>
        <v>1.5</v>
      </c>
      <c r="AD19" s="10">
        <f>Tableau3[[#This Row],[HJ Analyse et test]]+Tableau3[[#This Row],[HJ Dev]]</f>
        <v>4.5</v>
      </c>
      <c r="AE19" s="10"/>
      <c r="AF19" s="10"/>
      <c r="AG19" s="10"/>
      <c r="AH19" s="10"/>
      <c r="AI19" s="10"/>
      <c r="AJ19" s="10"/>
    </row>
    <row r="20" spans="2:36" ht="26" x14ac:dyDescent="0.3">
      <c r="B20" s="29" t="s">
        <v>54</v>
      </c>
      <c r="C20" s="10" t="s">
        <v>67</v>
      </c>
      <c r="D20" s="10" t="s">
        <v>36</v>
      </c>
      <c r="E20" s="10" t="s">
        <v>37</v>
      </c>
      <c r="F20" s="10" t="s">
        <v>38</v>
      </c>
      <c r="G20" s="10" t="s">
        <v>68</v>
      </c>
      <c r="H20" s="10" t="s">
        <v>39</v>
      </c>
      <c r="I20" s="30" t="s">
        <v>69</v>
      </c>
      <c r="J20" s="10" t="s">
        <v>40</v>
      </c>
      <c r="K20" s="10" t="s">
        <v>41</v>
      </c>
      <c r="L20" s="10"/>
      <c r="M20" s="10"/>
      <c r="N20" s="10"/>
      <c r="O20" s="10"/>
      <c r="P20" s="10"/>
      <c r="Q20" s="10"/>
      <c r="R20" s="10"/>
      <c r="S20" s="10"/>
      <c r="T20" s="10"/>
      <c r="U20" s="10"/>
      <c r="V20" s="10"/>
      <c r="W20" s="10"/>
      <c r="X20" s="10"/>
      <c r="Y20" s="10"/>
      <c r="Z20" s="10" t="s">
        <v>42</v>
      </c>
      <c r="AA20" s="10"/>
      <c r="AB20" s="10">
        <v>2</v>
      </c>
      <c r="AC20" s="10">
        <f>Tableau3[[#This Row],[HJ Dev]]*(25%+25%)</f>
        <v>1</v>
      </c>
      <c r="AD20" s="10">
        <f>Tableau3[[#This Row],[HJ Analyse et test]]+Tableau3[[#This Row],[HJ Dev]]</f>
        <v>3</v>
      </c>
      <c r="AE20" s="10"/>
      <c r="AF20" s="10"/>
      <c r="AG20" s="10"/>
      <c r="AH20" s="10"/>
      <c r="AI20" s="10"/>
      <c r="AJ20" s="10"/>
    </row>
    <row r="21" spans="2:36" ht="26" x14ac:dyDescent="0.3">
      <c r="B21" s="29" t="s">
        <v>55</v>
      </c>
      <c r="C21" s="10" t="s">
        <v>70</v>
      </c>
      <c r="D21" s="10" t="s">
        <v>36</v>
      </c>
      <c r="E21" s="10" t="s">
        <v>37</v>
      </c>
      <c r="F21" s="10" t="s">
        <v>38</v>
      </c>
      <c r="G21" s="10" t="s">
        <v>71</v>
      </c>
      <c r="H21" s="10" t="s">
        <v>39</v>
      </c>
      <c r="I21" s="30" t="s">
        <v>72</v>
      </c>
      <c r="J21" s="10" t="s">
        <v>40</v>
      </c>
      <c r="K21" s="10" t="s">
        <v>41</v>
      </c>
      <c r="L21" s="10"/>
      <c r="M21" s="10"/>
      <c r="N21" s="10"/>
      <c r="O21" s="10"/>
      <c r="P21" s="10"/>
      <c r="Q21" s="10"/>
      <c r="R21" s="10"/>
      <c r="S21" s="10"/>
      <c r="T21" s="10"/>
      <c r="U21" s="10"/>
      <c r="V21" s="10"/>
      <c r="W21" s="10"/>
      <c r="X21" s="10"/>
      <c r="Y21" s="10"/>
      <c r="Z21" s="10" t="s">
        <v>42</v>
      </c>
      <c r="AA21" s="10"/>
      <c r="AB21" s="10">
        <v>3</v>
      </c>
      <c r="AC21" s="10">
        <f>Tableau3[[#This Row],[HJ Dev]]*(25%+25%)</f>
        <v>1.5</v>
      </c>
      <c r="AD21" s="10">
        <f>Tableau3[[#This Row],[HJ Analyse et test]]+Tableau3[[#This Row],[HJ Dev]]</f>
        <v>4.5</v>
      </c>
      <c r="AE21" s="10"/>
      <c r="AF21" s="10"/>
      <c r="AG21" s="10"/>
      <c r="AH21" s="10"/>
      <c r="AI21" s="10"/>
      <c r="AJ21" s="10"/>
    </row>
    <row r="22" spans="2:36" ht="26" x14ac:dyDescent="0.3">
      <c r="B22" s="29" t="s">
        <v>56</v>
      </c>
      <c r="C22" s="10" t="s">
        <v>139</v>
      </c>
      <c r="D22" s="10" t="s">
        <v>36</v>
      </c>
      <c r="E22" s="10" t="s">
        <v>37</v>
      </c>
      <c r="F22" s="10" t="s">
        <v>38</v>
      </c>
      <c r="G22" s="10" t="s">
        <v>138</v>
      </c>
      <c r="H22" s="10" t="s">
        <v>39</v>
      </c>
      <c r="I22" s="30" t="s">
        <v>158</v>
      </c>
      <c r="J22" s="10" t="s">
        <v>40</v>
      </c>
      <c r="K22" s="10" t="s">
        <v>41</v>
      </c>
      <c r="L22" s="10"/>
      <c r="M22" s="10"/>
      <c r="N22" s="10"/>
      <c r="O22" s="10"/>
      <c r="P22" s="10"/>
      <c r="Q22" s="10"/>
      <c r="R22" s="10"/>
      <c r="S22" s="10"/>
      <c r="T22" s="10"/>
      <c r="U22" s="10"/>
      <c r="V22" s="10"/>
      <c r="W22" s="10"/>
      <c r="X22" s="10"/>
      <c r="Y22" s="10"/>
      <c r="Z22" s="10" t="s">
        <v>42</v>
      </c>
      <c r="AA22" s="10"/>
      <c r="AB22" s="10">
        <v>1</v>
      </c>
      <c r="AC22" s="10">
        <f>Tableau3[[#This Row],[HJ Dev]]*(25%+25%)</f>
        <v>0.5</v>
      </c>
      <c r="AD22" s="10">
        <f>Tableau3[[#This Row],[HJ Analyse et test]]+Tableau3[[#This Row],[HJ Dev]]</f>
        <v>1.5</v>
      </c>
      <c r="AE22" s="10"/>
      <c r="AF22" s="10"/>
      <c r="AG22" s="10"/>
      <c r="AH22" s="10"/>
      <c r="AI22" s="10"/>
      <c r="AJ22" s="10"/>
    </row>
    <row r="23" spans="2:36" ht="26" x14ac:dyDescent="0.3">
      <c r="B23" s="29" t="s">
        <v>57</v>
      </c>
      <c r="C23" s="10" t="s">
        <v>137</v>
      </c>
      <c r="D23" s="10" t="s">
        <v>36</v>
      </c>
      <c r="E23" s="10" t="s">
        <v>37</v>
      </c>
      <c r="F23" s="10" t="s">
        <v>38</v>
      </c>
      <c r="G23" s="10" t="s">
        <v>137</v>
      </c>
      <c r="H23" s="10" t="s">
        <v>39</v>
      </c>
      <c r="I23" s="30" t="s">
        <v>157</v>
      </c>
      <c r="J23" s="10" t="s">
        <v>40</v>
      </c>
      <c r="K23" s="10" t="s">
        <v>41</v>
      </c>
      <c r="L23" s="10"/>
      <c r="M23" s="10"/>
      <c r="N23" s="10"/>
      <c r="O23" s="10"/>
      <c r="P23" s="10"/>
      <c r="Q23" s="10"/>
      <c r="R23" s="10"/>
      <c r="S23" s="10"/>
      <c r="T23" s="10"/>
      <c r="U23" s="10"/>
      <c r="V23" s="10"/>
      <c r="W23" s="10"/>
      <c r="X23" s="10"/>
      <c r="Y23" s="10"/>
      <c r="Z23" s="10" t="s">
        <v>42</v>
      </c>
      <c r="AA23" s="10"/>
      <c r="AB23" s="10">
        <v>1</v>
      </c>
      <c r="AC23" s="10">
        <f>Tableau3[[#This Row],[HJ Dev]]*(25%+25%)</f>
        <v>0.5</v>
      </c>
      <c r="AD23" s="10">
        <f>Tableau3[[#This Row],[HJ Analyse et test]]+Tableau3[[#This Row],[HJ Dev]]</f>
        <v>1.5</v>
      </c>
      <c r="AE23" s="10"/>
      <c r="AF23" s="10"/>
      <c r="AG23" s="10"/>
      <c r="AH23" s="10"/>
      <c r="AI23" s="10"/>
      <c r="AJ23" s="10"/>
    </row>
    <row r="24" spans="2:36" ht="26.5" thickBot="1" x14ac:dyDescent="0.35">
      <c r="B24" s="29" t="s">
        <v>58</v>
      </c>
      <c r="C24" s="32" t="s">
        <v>141</v>
      </c>
      <c r="D24" s="32"/>
      <c r="E24" s="32"/>
      <c r="F24" s="32"/>
      <c r="G24" s="32" t="s">
        <v>142</v>
      </c>
      <c r="H24" s="32"/>
      <c r="I24" s="33" t="s">
        <v>140</v>
      </c>
      <c r="J24" s="10" t="s">
        <v>40</v>
      </c>
      <c r="K24" s="10" t="s">
        <v>41</v>
      </c>
      <c r="L24" s="10"/>
      <c r="M24" s="10"/>
      <c r="N24" s="10"/>
      <c r="O24" s="10"/>
      <c r="P24" s="10"/>
      <c r="Q24" s="10"/>
      <c r="R24" s="10"/>
      <c r="S24" s="10"/>
      <c r="T24" s="10"/>
      <c r="U24" s="10"/>
      <c r="V24" s="10"/>
      <c r="W24" s="10"/>
      <c r="X24" s="10"/>
      <c r="Y24" s="10"/>
      <c r="Z24" s="10" t="s">
        <v>42</v>
      </c>
      <c r="AA24" s="10"/>
      <c r="AB24" s="10">
        <v>0.5</v>
      </c>
      <c r="AC24" s="10">
        <f>Tableau3[[#This Row],[HJ Dev]]*(25%+25%)</f>
        <v>0.25</v>
      </c>
      <c r="AD24" s="10">
        <f>Tableau3[[#This Row],[HJ Analyse et test]]+Tableau3[[#This Row],[HJ Dev]]</f>
        <v>0.75</v>
      </c>
      <c r="AE24" s="10"/>
      <c r="AF24" s="10"/>
      <c r="AG24" s="10"/>
      <c r="AH24" s="10"/>
      <c r="AI24" s="10"/>
      <c r="AJ24" s="10"/>
    </row>
    <row r="25" spans="2:36" ht="21.75" customHeight="1" x14ac:dyDescent="0.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f>SUBTOTAL(109,AB13:AB24)</f>
        <v>36.5</v>
      </c>
      <c r="AC25" s="10">
        <f>SUBTOTAL(109,AC13:AC24)</f>
        <v>18.25</v>
      </c>
      <c r="AD25" s="28">
        <f>SUBTOTAL(109,AD13:AD24)</f>
        <v>54.75</v>
      </c>
      <c r="AE25" s="10"/>
      <c r="AF25" s="10"/>
      <c r="AG25" s="10"/>
      <c r="AH25" s="10"/>
      <c r="AI25" s="10"/>
      <c r="AJ25" s="10"/>
    </row>
    <row r="27" spans="2:36" ht="36" customHeight="1" x14ac:dyDescent="0.3"/>
  </sheetData>
  <mergeCells count="7">
    <mergeCell ref="D7:I7"/>
    <mergeCell ref="D6:I6"/>
    <mergeCell ref="AE2:AJ2"/>
    <mergeCell ref="B2:AA2"/>
    <mergeCell ref="D4:I4"/>
    <mergeCell ref="D5:I5"/>
    <mergeCell ref="AB2:AD2"/>
  </mergeCells>
  <phoneticPr fontId="2" type="noConversion"/>
  <dataValidations count="1">
    <dataValidation type="whole" operator="greaterThanOrEqual" allowBlank="1" showInputMessage="1" showErrorMessage="1" sqref="AD13:AD24 AB13:AB18"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AA20 AA13:AA18</xm:sqref>
        </x14:dataValidation>
        <x14:dataValidation type="list" allowBlank="1" showInputMessage="1" showErrorMessage="1" xr:uid="{63E576AD-8CDE-4B1B-8DEC-1BE67CC8DE6D}">
          <x14:formula1>
            <xm:f>Params!$C$3:$C$10</xm:f>
          </x14:formula1>
          <xm:sqref>F13:F23</xm:sqref>
        </x14:dataValidation>
        <x14:dataValidation type="list" allowBlank="1" showInputMessage="1" showErrorMessage="1" xr:uid="{C43D2377-E8A5-4EC4-8F56-2516FCD07F2A}">
          <x14:formula1>
            <xm:f>Params!$D$3:$D$12</xm:f>
          </x14:formula1>
          <xm:sqref>H13:H23</xm:sqref>
        </x14:dataValidation>
        <x14:dataValidation type="list" allowBlank="1" showInputMessage="1" showErrorMessage="1" xr:uid="{63FB3CBD-0303-4DD5-A1D9-0AE10EE7B36C}">
          <x14:formula1>
            <xm:f>Params!$B$3:$B$10</xm:f>
          </x14:formula1>
          <xm:sqref>D13:D23</xm:sqref>
        </x14:dataValidation>
        <x14:dataValidation type="list" allowBlank="1" showInputMessage="1" showErrorMessage="1" xr:uid="{ACD971DD-EBC0-49A2-8B0F-955749BFC348}">
          <x14:formula1>
            <xm:f>Params!$H$3:$H$19</xm:f>
          </x14:formula1>
          <xm:sqref>E13:E23</xm:sqref>
        </x14:dataValidation>
        <x14:dataValidation type="list" allowBlank="1" showInputMessage="1" showErrorMessage="1" xr:uid="{1F2CF1C1-BE35-4DC9-A975-F49F788F3D6A}">
          <x14:formula1>
            <xm:f>Params!$G$3:$G$6</xm:f>
          </x14:formula1>
          <xm:sqref>K13:Y24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7"/>
  <sheetViews>
    <sheetView topLeftCell="A7" workbookViewId="0">
      <selection activeCell="H31" sqref="H31"/>
    </sheetView>
  </sheetViews>
  <sheetFormatPr baseColWidth="10" defaultColWidth="11.453125" defaultRowHeight="14.5" x14ac:dyDescent="0.35"/>
  <cols>
    <col min="1" max="1" width="16.54296875" style="2" customWidth="1"/>
    <col min="2" max="2" width="19.54296875" style="2" customWidth="1"/>
    <col min="3" max="3" width="11.453125" style="2"/>
    <col min="4" max="4" width="67.7265625" style="2" customWidth="1"/>
    <col min="5" max="5" width="15.81640625" style="2" customWidth="1"/>
    <col min="6" max="6" width="21.26953125" style="2" customWidth="1"/>
    <col min="7" max="7" width="16.54296875" style="2" customWidth="1"/>
    <col min="8" max="16384" width="11.453125" style="2"/>
  </cols>
  <sheetData>
    <row r="2" spans="1:7" ht="15" thickBot="1" x14ac:dyDescent="0.4"/>
    <row r="3" spans="1:7" ht="24" customHeight="1" thickBot="1" x14ac:dyDescent="0.4">
      <c r="A3" s="2" t="s">
        <v>73</v>
      </c>
      <c r="B3" s="43" t="s">
        <v>0</v>
      </c>
      <c r="C3" s="44"/>
      <c r="D3" s="44"/>
      <c r="E3" s="44"/>
      <c r="F3" s="44"/>
      <c r="G3" s="45"/>
    </row>
    <row r="4" spans="1:7" x14ac:dyDescent="0.35">
      <c r="B4" s="4"/>
      <c r="C4" s="5"/>
      <c r="D4" s="5"/>
      <c r="E4" s="5"/>
      <c r="F4" s="5"/>
      <c r="G4" s="5"/>
    </row>
    <row r="5" spans="1:7" x14ac:dyDescent="0.35">
      <c r="B5" s="4" t="str">
        <f>'Gestion Exigences'!C4</f>
        <v>Client</v>
      </c>
      <c r="C5" s="13" t="str">
        <f>'Gestion Exigences'!D4</f>
        <v>Confiserie TRIKI</v>
      </c>
      <c r="D5" s="5"/>
      <c r="E5" s="5"/>
      <c r="F5" s="5"/>
      <c r="G5" s="5"/>
    </row>
    <row r="6" spans="1:7" x14ac:dyDescent="0.35">
      <c r="B6" s="4" t="str">
        <f>'Gestion Exigences'!C5</f>
        <v>Projet</v>
      </c>
      <c r="C6" s="13" t="str">
        <f>'Gestion Exigences'!D5</f>
        <v>Digitalisation site 3</v>
      </c>
      <c r="D6" s="5"/>
      <c r="E6" s="5"/>
      <c r="F6" s="5"/>
      <c r="G6" s="5"/>
    </row>
    <row r="7" spans="1:7" x14ac:dyDescent="0.35">
      <c r="B7" s="4" t="str">
        <f>'Gestion Exigences'!C6</f>
        <v>Réf BPA du Devis</v>
      </c>
      <c r="C7" s="13">
        <f>'Gestion Exigences'!D6</f>
        <v>0</v>
      </c>
      <c r="D7" s="5"/>
      <c r="E7" s="5"/>
      <c r="F7" s="5"/>
      <c r="G7" s="5"/>
    </row>
    <row r="8" spans="1:7" x14ac:dyDescent="0.35">
      <c r="B8" s="4" t="str">
        <f>'Gestion Exigences'!C7</f>
        <v>Réf BPA du Projet</v>
      </c>
      <c r="C8" s="13">
        <f>'Gestion Exigences'!D7</f>
        <v>0</v>
      </c>
      <c r="D8" s="5"/>
      <c r="E8" s="5"/>
      <c r="F8" s="5"/>
      <c r="G8" s="5"/>
    </row>
    <row r="9" spans="1:7" x14ac:dyDescent="0.35">
      <c r="B9" s="12" t="str">
        <f>'Gestion Exigences'!C8</f>
        <v>Réf Modèle Document</v>
      </c>
      <c r="C9" s="14" t="str">
        <f>'Gestion Exigences'!D8</f>
        <v>MD203</v>
      </c>
      <c r="D9" s="5"/>
      <c r="E9" s="5"/>
      <c r="F9" s="5"/>
      <c r="G9" s="5"/>
    </row>
    <row r="10" spans="1:7" x14ac:dyDescent="0.35">
      <c r="B10" s="12" t="str">
        <f>'Gestion Exigences'!C9</f>
        <v>Version Modèle Document</v>
      </c>
      <c r="C10" s="14" t="str">
        <f>'Gestion Exigences'!D9</f>
        <v>V1.5</v>
      </c>
      <c r="D10" s="5"/>
      <c r="E10" s="5"/>
      <c r="F10" s="5"/>
      <c r="G10" s="5"/>
    </row>
    <row r="11" spans="1:7" x14ac:dyDescent="0.35">
      <c r="B11" s="4"/>
      <c r="C11" s="5"/>
      <c r="D11" s="5"/>
      <c r="E11" s="5"/>
      <c r="F11" s="5"/>
      <c r="G11" s="5"/>
    </row>
    <row r="12" spans="1:7" x14ac:dyDescent="0.35">
      <c r="B12" s="4"/>
      <c r="C12" s="5"/>
      <c r="D12" s="5"/>
      <c r="E12" s="5"/>
      <c r="F12" s="5"/>
      <c r="G12" s="5"/>
    </row>
    <row r="13" spans="1:7" x14ac:dyDescent="0.35">
      <c r="B13" s="15" t="s">
        <v>74</v>
      </c>
      <c r="C13" s="15" t="s">
        <v>75</v>
      </c>
      <c r="D13" s="15" t="s">
        <v>76</v>
      </c>
      <c r="E13" s="15" t="s">
        <v>77</v>
      </c>
      <c r="F13" s="15" t="s">
        <v>78</v>
      </c>
      <c r="G13" s="15" t="s">
        <v>79</v>
      </c>
    </row>
    <row r="14" spans="1:7" x14ac:dyDescent="0.35">
      <c r="B14" s="6" t="s">
        <v>80</v>
      </c>
      <c r="C14" s="7">
        <v>44741</v>
      </c>
      <c r="D14" s="24" t="s">
        <v>81</v>
      </c>
      <c r="E14" s="6" t="s">
        <v>82</v>
      </c>
      <c r="F14" s="23" t="s">
        <v>83</v>
      </c>
      <c r="G14" s="6" t="s">
        <v>84</v>
      </c>
    </row>
    <row r="15" spans="1:7" x14ac:dyDescent="0.35">
      <c r="B15" s="2" t="s">
        <v>85</v>
      </c>
      <c r="C15" s="26">
        <v>44978</v>
      </c>
      <c r="D15" s="2" t="s">
        <v>86</v>
      </c>
      <c r="E15" s="6" t="s">
        <v>82</v>
      </c>
      <c r="F15" s="2" t="s">
        <v>42</v>
      </c>
      <c r="G15" s="2" t="s">
        <v>84</v>
      </c>
    </row>
    <row r="16" spans="1:7" ht="58" x14ac:dyDescent="0.35">
      <c r="B16" s="2" t="s">
        <v>87</v>
      </c>
      <c r="C16" s="26">
        <v>45021</v>
      </c>
      <c r="D16" s="27" t="s">
        <v>88</v>
      </c>
      <c r="E16" s="6" t="s">
        <v>82</v>
      </c>
      <c r="F16" s="27" t="s">
        <v>89</v>
      </c>
      <c r="G16" s="27" t="s">
        <v>84</v>
      </c>
    </row>
    <row r="17" spans="2:7" ht="29" x14ac:dyDescent="0.35">
      <c r="B17" s="2" t="s">
        <v>161</v>
      </c>
      <c r="C17" s="26">
        <v>45449</v>
      </c>
      <c r="D17" s="27" t="s">
        <v>159</v>
      </c>
      <c r="E17" s="2" t="s">
        <v>160</v>
      </c>
      <c r="F17" s="2" t="s">
        <v>42</v>
      </c>
      <c r="G17" s="27" t="s">
        <v>84</v>
      </c>
    </row>
  </sheetData>
  <mergeCells count="1">
    <mergeCell ref="B3:G3"/>
  </mergeCells>
  <phoneticPr fontId="17"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C23" sqref="C23"/>
    </sheetView>
  </sheetViews>
  <sheetFormatPr baseColWidth="10" defaultColWidth="11.453125" defaultRowHeight="13" x14ac:dyDescent="0.25"/>
  <cols>
    <col min="1" max="1" width="11.453125" style="10"/>
    <col min="2" max="3" width="19.7265625" style="10" customWidth="1"/>
    <col min="4" max="4" width="21.54296875" style="10" customWidth="1"/>
    <col min="5" max="5" width="11.453125" style="10"/>
    <col min="6" max="6" width="16.1796875" style="10" customWidth="1"/>
    <col min="7" max="16384" width="11.453125" style="10"/>
  </cols>
  <sheetData>
    <row r="2" spans="2:8" ht="26" x14ac:dyDescent="0.25">
      <c r="B2" s="11" t="s">
        <v>16</v>
      </c>
      <c r="C2" s="11" t="s">
        <v>90</v>
      </c>
      <c r="D2" s="11" t="s">
        <v>20</v>
      </c>
      <c r="E2" s="11" t="s">
        <v>91</v>
      </c>
      <c r="F2" s="11" t="s">
        <v>25</v>
      </c>
      <c r="G2" s="11" t="s">
        <v>92</v>
      </c>
      <c r="H2" s="11" t="s">
        <v>17</v>
      </c>
    </row>
    <row r="3" spans="2:8" x14ac:dyDescent="0.25">
      <c r="B3" s="10" t="s">
        <v>36</v>
      </c>
      <c r="C3" s="10" t="s">
        <v>38</v>
      </c>
      <c r="D3" s="10" t="s">
        <v>93</v>
      </c>
      <c r="E3" s="10" t="s">
        <v>94</v>
      </c>
      <c r="F3" s="10" t="s">
        <v>95</v>
      </c>
      <c r="G3" s="10" t="s">
        <v>41</v>
      </c>
      <c r="H3" s="10" t="s">
        <v>96</v>
      </c>
    </row>
    <row r="4" spans="2:8" ht="26" x14ac:dyDescent="0.25">
      <c r="B4" s="10" t="s">
        <v>97</v>
      </c>
      <c r="C4" s="10" t="s">
        <v>98</v>
      </c>
      <c r="D4" s="10" t="s">
        <v>39</v>
      </c>
      <c r="E4" s="10" t="s">
        <v>99</v>
      </c>
      <c r="F4" s="10" t="s">
        <v>100</v>
      </c>
      <c r="G4" s="10" t="s">
        <v>101</v>
      </c>
      <c r="H4" s="10" t="s">
        <v>102</v>
      </c>
    </row>
    <row r="5" spans="2:8" x14ac:dyDescent="0.25">
      <c r="B5" s="10" t="s">
        <v>103</v>
      </c>
      <c r="C5" s="10" t="s">
        <v>104</v>
      </c>
      <c r="D5" s="10" t="s">
        <v>105</v>
      </c>
      <c r="E5" s="10" t="s">
        <v>106</v>
      </c>
      <c r="H5" s="10" t="s">
        <v>107</v>
      </c>
    </row>
    <row r="6" spans="2:8" x14ac:dyDescent="0.25">
      <c r="B6" s="10" t="s">
        <v>108</v>
      </c>
      <c r="C6" s="10" t="s">
        <v>109</v>
      </c>
      <c r="D6" s="10" t="s">
        <v>110</v>
      </c>
      <c r="H6" s="10" t="s">
        <v>111</v>
      </c>
    </row>
    <row r="7" spans="2:8" x14ac:dyDescent="0.25">
      <c r="B7" s="10" t="s">
        <v>112</v>
      </c>
      <c r="C7" s="10" t="s">
        <v>113</v>
      </c>
      <c r="D7" s="10" t="s">
        <v>114</v>
      </c>
      <c r="H7" s="10" t="s">
        <v>115</v>
      </c>
    </row>
    <row r="8" spans="2:8" x14ac:dyDescent="0.25">
      <c r="B8" s="10" t="s">
        <v>116</v>
      </c>
      <c r="D8" s="10" t="s">
        <v>117</v>
      </c>
      <c r="H8" s="10" t="s">
        <v>118</v>
      </c>
    </row>
    <row r="9" spans="2:8" x14ac:dyDescent="0.25">
      <c r="D9" s="10" t="s">
        <v>119</v>
      </c>
      <c r="H9" s="10" t="s">
        <v>120</v>
      </c>
    </row>
    <row r="10" spans="2:8" x14ac:dyDescent="0.25">
      <c r="H10" s="10" t="s">
        <v>121</v>
      </c>
    </row>
    <row r="11" spans="2:8" x14ac:dyDescent="0.25">
      <c r="H11" s="10" t="s">
        <v>122</v>
      </c>
    </row>
    <row r="13" spans="2:8" x14ac:dyDescent="0.25">
      <c r="H13" s="10" t="s">
        <v>123</v>
      </c>
    </row>
    <row r="14" spans="2:8" x14ac:dyDescent="0.25">
      <c r="H14" s="10" t="s">
        <v>37</v>
      </c>
    </row>
    <row r="15" spans="2:8" ht="26" x14ac:dyDescent="0.25">
      <c r="H15" s="10" t="s">
        <v>124</v>
      </c>
    </row>
    <row r="16" spans="2:8" ht="39" x14ac:dyDescent="0.25">
      <c r="H16" s="10" t="s">
        <v>46</v>
      </c>
    </row>
    <row r="17" spans="8:8" ht="26" x14ac:dyDescent="0.25">
      <c r="H17" s="10" t="s">
        <v>125</v>
      </c>
    </row>
    <row r="18" spans="8:8" x14ac:dyDescent="0.25">
      <c r="H18" s="10" t="s">
        <v>126</v>
      </c>
    </row>
    <row r="19" spans="8:8" x14ac:dyDescent="0.25">
      <c r="H19" s="10" t="s">
        <v>127</v>
      </c>
    </row>
    <row r="21" spans="8:8" x14ac:dyDescent="0.25">
      <c r="H21" s="10" t="s">
        <v>128</v>
      </c>
    </row>
    <row r="22" spans="8:8" ht="39" x14ac:dyDescent="0.25">
      <c r="H22" s="10" t="s">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57B83E-BC97-4668-91DC-3BD97FA85899}"/>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f681d081-fe2e-4389-8dd1-c7421b0f7b61"/>
    <ds:schemaRef ds:uri="http://purl.org/dc/elements/1.1/"/>
    <ds:schemaRef ds:uri="http://schemas.microsoft.com/office/2006/metadata/properties"/>
    <ds:schemaRef ds:uri="http://schemas.microsoft.com/office/infopath/2007/PartnerControls"/>
    <ds:schemaRef ds:uri="98d07ac0-315d-4ba4-a3f8-0e1dfb824eb0"/>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2024-06-06T15:58:12Z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