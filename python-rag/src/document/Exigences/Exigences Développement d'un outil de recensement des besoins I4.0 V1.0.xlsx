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momsoftware.sharepoint.com/sites/Commercial/Documents partages/06 Prospects/030 GIZ/20 Développement d’un outil de recensement des besoins des industriels/2 Préparation Offre/"/>
    </mc:Choice>
  </mc:AlternateContent>
  <xr:revisionPtr revIDLastSave="0" documentId="14_{E56CCD7B-3057-485E-B6E2-65FFC59EC686}" xr6:coauthVersionLast="47" xr6:coauthVersionMax="47" xr10:uidLastSave="{00000000-0000-0000-0000-000000000000}"/>
  <bookViews>
    <workbookView xWindow="-108" yWindow="-108" windowWidth="23256" windowHeight="12456" tabRatio="620"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Exigences'!$C$2:$I$16</definedName>
    <definedName name="_xlnm.Print_Area" localSheetId="2">'Modifs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0" i="27" l="1"/>
  <c r="P30" i="27" s="1"/>
  <c r="O31" i="27"/>
  <c r="P31" i="27" s="1"/>
  <c r="O32" i="27"/>
  <c r="P32" i="27" s="1"/>
  <c r="O33" i="27"/>
  <c r="P33" i="27" s="1"/>
  <c r="O34" i="27"/>
  <c r="P34" i="27"/>
  <c r="O35" i="27"/>
  <c r="P35" i="27" s="1"/>
  <c r="O36" i="27"/>
  <c r="P36" i="27" s="1"/>
  <c r="O37" i="27"/>
  <c r="P37" i="27" s="1"/>
  <c r="O17" i="27"/>
  <c r="P17" i="27" s="1"/>
  <c r="O18" i="27"/>
  <c r="P18" i="27" s="1"/>
  <c r="O14" i="27"/>
  <c r="P14" i="27" s="1"/>
  <c r="O15" i="27"/>
  <c r="P15" i="27" s="1"/>
  <c r="O16" i="27"/>
  <c r="P16" i="27" s="1"/>
  <c r="O19" i="27"/>
  <c r="P19" i="27" s="1"/>
  <c r="O20" i="27"/>
  <c r="P20" i="27" s="1"/>
  <c r="O21" i="27"/>
  <c r="P21" i="27" s="1"/>
  <c r="O22" i="27"/>
  <c r="P22" i="27" s="1"/>
  <c r="O23" i="27"/>
  <c r="P23" i="27" s="1"/>
  <c r="O24" i="27"/>
  <c r="P24" i="27" s="1"/>
  <c r="O25" i="27"/>
  <c r="P25" i="27" s="1"/>
  <c r="O26" i="27"/>
  <c r="P26" i="27" s="1"/>
  <c r="O27" i="27"/>
  <c r="P27" i="27" s="1"/>
  <c r="O28" i="27"/>
  <c r="P28" i="27" s="1"/>
  <c r="O29" i="27"/>
  <c r="P29" i="27" s="1"/>
  <c r="D5" i="29"/>
  <c r="D6" i="29"/>
  <c r="D7" i="29"/>
  <c r="D8" i="29"/>
  <c r="C10" i="29"/>
  <c r="C11" i="29"/>
  <c r="B6" i="29"/>
  <c r="B7" i="29"/>
  <c r="B8" i="29"/>
  <c r="B10" i="29"/>
  <c r="B11" i="29"/>
  <c r="B5" i="29"/>
  <c r="P38" i="27" l="1"/>
</calcChain>
</file>

<file path=xl/sharedStrings.xml><?xml version="1.0" encoding="utf-8"?>
<sst xmlns="http://schemas.openxmlformats.org/spreadsheetml/2006/main" count="208" uniqueCount="161">
  <si>
    <t>Gestion Exigences Projet</t>
  </si>
  <si>
    <t>Chiffrage Réalisation (SF only)</t>
  </si>
  <si>
    <t>Revue et Vérification Pendant la Conception</t>
  </si>
  <si>
    <t>BU</t>
  </si>
  <si>
    <t>A définir</t>
  </si>
  <si>
    <t>Client</t>
  </si>
  <si>
    <t>Projet</t>
  </si>
  <si>
    <t>Réf BPA du Devis</t>
  </si>
  <si>
    <t>S0-00xyz</t>
  </si>
  <si>
    <t>Zone de saisie</t>
  </si>
  <si>
    <t>Réf BPA du Projet</t>
  </si>
  <si>
    <t>PR-22-0xyz</t>
  </si>
  <si>
    <t>Réf Modèle Document</t>
  </si>
  <si>
    <t>MD203</t>
  </si>
  <si>
    <t>Confidentiel | Usage Client Limité</t>
  </si>
  <si>
    <t>Version Modèle Document</t>
  </si>
  <si>
    <t>V1.5</t>
  </si>
  <si>
    <t>ID</t>
  </si>
  <si>
    <t>Nature</t>
  </si>
  <si>
    <t>Catégorie</t>
  </si>
  <si>
    <t>Exigence idenfiée pendant la phase</t>
  </si>
  <si>
    <t>Source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</si>
  <si>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</si>
  <si>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</si>
  <si>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</si>
  <si>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</si>
  <si>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</si>
  <si>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</si>
  <si>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</si>
  <si>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</si>
  <si>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</si>
  <si>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</si>
  <si>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</si>
  <si>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</si>
  <si>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</si>
  <si>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N/A</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</si>
  <si>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</si>
  <si>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</si>
  <si>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</si>
  <si>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</si>
  <si>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</si>
  <si>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</si>
  <si>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</si>
  <si>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</si>
  <si>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</si>
  <si>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</si>
  <si>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</si>
  <si>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</si>
  <si>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</si>
  <si>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</si>
  <si>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Fonctionnelle</t>
  </si>
  <si>
    <t>Commerciale</t>
  </si>
  <si>
    <t>CdC client</t>
  </si>
  <si>
    <t>Oui</t>
  </si>
  <si>
    <t>Validée par le client</t>
  </si>
  <si>
    <t>Validée</t>
  </si>
  <si>
    <t>Performance</t>
  </si>
  <si>
    <t>Conception</t>
  </si>
  <si>
    <t>Workshop/réunion client</t>
  </si>
  <si>
    <t>Non</t>
  </si>
  <si>
    <t>Non validée par client</t>
  </si>
  <si>
    <t>Non validée</t>
  </si>
  <si>
    <t>Reglementaire</t>
  </si>
  <si>
    <t>Réalisation</t>
  </si>
  <si>
    <t>Workshop/réunion Interne</t>
  </si>
  <si>
    <t>SF</t>
  </si>
  <si>
    <t>Sécurité</t>
  </si>
  <si>
    <t>Mise en œuvre</t>
  </si>
  <si>
    <t>Standards client</t>
  </si>
  <si>
    <t>R&amp;D</t>
  </si>
  <si>
    <t>Standard Client</t>
  </si>
  <si>
    <t>Support et maintenance</t>
  </si>
  <si>
    <t>Reglementation</t>
  </si>
  <si>
    <t>Demande modification</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</si>
  <si>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</si>
  <si>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</si>
  <si>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</si>
  <si>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</si>
  <si>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</si>
  <si>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</si>
  <si>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</si>
  <si>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</si>
  <si>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</si>
  <si>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</si>
  <si>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</si>
  <si>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</si>
  <si>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</si>
  <si>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E009</t>
  </si>
  <si>
    <t>E010</t>
  </si>
  <si>
    <t>E011</t>
  </si>
  <si>
    <t>E012</t>
  </si>
  <si>
    <t>E013</t>
  </si>
  <si>
    <t>E014</t>
  </si>
  <si>
    <t>Secteur</t>
  </si>
  <si>
    <t>Nombre de ligne de production</t>
  </si>
  <si>
    <t>Nombre de machine</t>
  </si>
  <si>
    <t>Nombre de poste manuel</t>
  </si>
  <si>
    <t>Standard MOMSOFT</t>
  </si>
  <si>
    <t>Standards MOMSOFT</t>
  </si>
  <si>
    <t>Desciption de la solution MOMSOFT</t>
  </si>
  <si>
    <t>V1.1</t>
  </si>
  <si>
    <t>Moatez D.</t>
  </si>
  <si>
    <t>Mahdi B.</t>
  </si>
  <si>
    <t xml:space="preserve"> Adaptation des paramètres et du logo</t>
  </si>
  <si>
    <t>E002</t>
  </si>
  <si>
    <t>E003</t>
  </si>
  <si>
    <t>E004</t>
  </si>
  <si>
    <t>E005</t>
  </si>
  <si>
    <t>Requirement</t>
  </si>
  <si>
    <t>Requirement description</t>
  </si>
  <si>
    <t>Proposed Solution</t>
  </si>
  <si>
    <t>Inscription des utilisateurs</t>
  </si>
  <si>
    <t>Permettre aux nouveaux utilisateurs de créer un compte sur la plateforme. 
Le processus d'inscription requiert des informations telles que le nom, l'adresse e-mail, et la création d'un mot de passe sécurisé. 
Des champs supplémentaires peuvent être inclus pour recueillir des données pertinentes pour le profil utilisateur. 
Une fois le formulaire rempli, l'utilisateur reçoit un e-mail de confirmation pour valider son compte.
Règles de gestion : 
- Valider en temps réel les champs du formulaire d'inscription.
 - Intégrer un Captcha pour éviter les inscriptions automatiques. 
- Envoyer un e-mail de confirmation avec lien de validation pour activer le compte. 
- Empêcher la création de comptes avec des adresses e-mail déjà utilisées.</t>
  </si>
  <si>
    <t>Authentification 
des utilisateurs</t>
  </si>
  <si>
    <t>Permettre l'accès sécurisé à la plateforme en vérifiant les informations d'identification de l'utilisateur. Lors de la connexion, 
l'utilisateur doit fournir son adresse e-mail et son mot de passe. Le système de backend compare ces informations avec celles 
stockées dans la base de données pour accorder l'accès ou rejeter la tentative de connexion.
Règles de gestion :
- Valider les champs du formulaire de connexion.
- Bloquer temporairement l'accès après plusieurs tentatives de connexion infructueuses.
- Permettre l'intégration de l'authentification multi-facteurs (MFA) pour renforcer la sécurité.</t>
  </si>
  <si>
    <t>Connexion</t>
  </si>
  <si>
    <t>Permettre aux utilisateurs de se connecter à leur compte et à l'ensemble des services proposés sur la plateforme après avoir réussi 
le processus d'authentification. Des sessions utilisateur sécurisées sont établies pour maintenir l'utilisateur connecté pendant une 
certaine durée. Cette fonctionnalité gère aussi les déconnexions actives par l'utilisateur ainsi que les expirations automatiques de 
session pour garantir la sécurité.
Règles de gestion :
- Créer et gérer des sessions utilisateur sécurisées.
- Offrir une option "Se souvenir de moi" pour une connexion prolongée.
- Permettre la déconnexion sécurisée et la suppression des données de session.
- Envoyer des alertes de sécurité en cas de connexion depuis un nouvel appareil ou un emplacement inhabituel.
- Envoyer une notification à l'utilisateur lorsque la demande de réinitialisation de mot de passe est effectuée, avec des 
instructions pour annuler la demande si elle n'est pas initiée par l'utilisateur.</t>
  </si>
  <si>
    <t>Création de 
formulaires</t>
  </si>
  <si>
    <t>Avoir la possibilité de créer, modifier et archiver un formulaire, pour le diagnostic flash et le diagnostic approfondi. 
Les formulaires sont déjà définis, chaque centre de compétence dispose de son propre formulaire. 
Règles de gestion :
- Seuls les utilisateurs autorisés (administrateurs ou utilisateurs avec privilèges) peuvent créer, modifier, et archiver des 
formulaires.
- Les formulaires doivent inclure un titre, une description et des questions/sections obligatoires.
- Les modifications doivent être versionnées et notifier les utilisateurs concernés.
- Les formulaires peuvent être archivés s'ils ne sont plus nécessaires, tout en maintenant la conservation des données collectées.</t>
  </si>
  <si>
    <t>Gestion des accès</t>
  </si>
  <si>
    <t>Gérer les accès par rôle</t>
  </si>
  <si>
    <t>Création de 
l’indice</t>
  </si>
  <si>
    <t>Mettre à jour la formule de calcul de l’indice de maturité. 
Règles de gestion : 
- Seuls les utilisateurs autorisés (administrateurs ou experts désignés) peuvent mettre à jour la formule de calcul de l’indice.
- Chaque mise à jour de la formule doit être versionnée pour permettre le suivi des modifications et comparaisons historiques.</t>
  </si>
  <si>
    <t>Sélection de 
l’industrie</t>
  </si>
  <si>
    <t>Permettre aux utilisateurs de sélectionner leur secteur industriel parmi une liste prédéfinie. Cette sélection aide à personnaliser le 
processus d'évaluation et garantir que les questions du formulaire d'évaluation sont pertinentes pour le secteur industriel choisi.
Règles de gestion : 
- Proposer une liste déroulante avec plusieurs secteurs industriels à choisir selon la base de la nomenclature du Ministère de 
l’industrie, des Mines et de l’Energie. 
- Valider la sélection de l'utilisateur avant de permettre l'accès au formulaire d'évaluation.
- Adapter les questions du formulaire d'évaluation en fonction du secteur industriel sélectionné.
- Empêcher l'utilisateur d'avancer dans le processus sans sélectionner un secteur industriel.</t>
  </si>
  <si>
    <t>Remplissage du 
formulaire de 
Diagnostic Flash</t>
  </si>
  <si>
    <t>Permettre aux utilisateurs de remplir un formulaire d'évaluation (déjà existant fourni par les centres de compétence) destiné à 
donner une vision globale sur l’état de l’industrie. Le formulaire comprend une série de questions organisées en différentes 
sections. 
Règles de gestion :
- Organiser le formulaire en sections thématiques.
- Fournir des champs de réponse avec validation en temps réel pour garantir l'exactitude des informations fournies.
- Inclure des questions à choix multiple, des cases à cocher, et des champs à texte libre si nécessaire.
- Permettre la sauvegarde des réponses en cours pour permettre aux utilisateurs de reprendre plus tard.
- Identifier clairement certaines questions comme obligatoires et d'autres comme optionnelles, assurant que les questions 
essentielles pour l'évaluation de la maturité I4.0 sont toujours complétées.</t>
  </si>
  <si>
    <t>Remplissage du formulaire de Diagnostic Approfondi</t>
  </si>
  <si>
    <t>Gestion des centres de compétence</t>
  </si>
  <si>
    <t>Créer, modifier et supprimer les centres de compétence</t>
  </si>
  <si>
    <t>Permettre aux utilisateurs de remplir un formulaire d'évaluation (déjà existant fourni par les centres de compétence) destiné à 
mesurer leur indice de maturité I4.0 et recenser leur besoins en Industrie 4.0. Le formulaire comprend une série de questions 
organisées en différentes sections. Les réponses sont collectées et traitées pour évaluer le niveau de maturité I4.0 de l'utilisateur.
Règles de gestion :
- Organiser le formulaire en sections thématiques couvrant différents aspects de la maturité I4.0.
- Fournir des champs de réponse avec validation en temps réel pour garantir l'exactitude des informations fournies.
- Inclure des questions à choix multiple, des cases à cocher, et des champs à texte libre si nécessaire.
- Permettre la sauvegarde des réponses en cours pour permettre aux utilisateurs de reprendre plus tard.
- Proposer un retour sous forme de score du diagnostic approfondi après soumission du formulaire.
- Identifier clairement certaines questions comme obligatoires et d'autres comme optionnelles, assurant que les questions 
essentielles pour l'évaluation de la maturité I4.0 sont toujours complétées.</t>
  </si>
  <si>
    <t>Analyse des 
données 
d'évaluation</t>
  </si>
  <si>
    <t>Permettre l'analyse des réponses fournies par les utilisateurs dans le formulaire d'évaluation afin d'extraire des insights pertinents. 
L'analyse comprend l'évaluation des réponses sous différents angles pour identifier les points forts et les domaines à améliorer en 
termes de maturité I4.0.
Règles de gestion : 
- Collecter et stocker les réponses des utilisateurs de manière sécurisée.
- Analyser les réponses en fonction des critères prédéfinis pour chaque secteur industriel et à partir d’une base prédéfinie.
- Assurer la confidentialité et la protection des données utilisateurs pendant et après l'analyse.</t>
  </si>
  <si>
    <t>Calcul de 
l’indice</t>
  </si>
  <si>
    <t>Permettre le calcul du score final de l'indice de maturité I4.0 basé sur les données d'évaluation analysées. Ce score représente le 
niveau actuel de maturité I4.0 de l'utilisateur et aide à identifier les domaines nécessitant des améliorations.
Règles de gestion :
- Utiliser une formule de calcul (fournie par les centres de compétences) standardisée pour déterminer l'indice de maturité I4.0.
- Pondérer les réponses des utilisateurs en fonction de leur importance relative pour le score final.
- Inclure des coefficients spécifiques à chaque secteur industriel pour personnaliser le calcul.
- Générer un score final (indice de maturité I4.0) qui est facilement interprétable par l'utilisateur.
- Générer la position de l'industrie évaluée par rapport aux autres industries qui ont été évaluées.
- Générer une analyse du positionnement de l’industrie par rapport aux autres industries du même secteur.</t>
  </si>
  <si>
    <t xml:space="preserve">Création du 
rapport </t>
  </si>
  <si>
    <t>Permettre la génération automatique de rapports détaillés (la structure du rapport sera fournie par le centre de compétence) 
basés sur les résultats de l'évaluation de maturité I4.0 de l'utilisateur. Le rapport comprend une analyse approfondie des réponses, 
le score de maturité digitale, et des recommandations personnalisées pour améliorer la maturité I4.0.
Règles de gestion : 
- Compiler les résultats de l'évaluation et les analyses en un document structuré.
- Inclure des sections telles que le résumé exécutif, l'analyse des réponses, les scores par domaine, et les recommandations.
- Utiliser des formats de fichiers couramment utilisés pour les rapports, tels que PDF ou Word, afin de faciliter la lecture et le 
partage.
- Assurer la clarté et la concision des informations pour une meilleure compréhension par l'utilisateur.
- Intégrer des graphiques et des tableaux pour visualiser les données et les résultats de manière intuitive.
- Générer le rapport automatiquement après le calcul de l'indice de maturité I4.0 et fournir un accès à l'utilisateur pour des 
modifications éventuelles.</t>
  </si>
  <si>
    <t>Personnalisation 
du rapport</t>
  </si>
  <si>
    <t xml:space="preserve">Permettre la personnalisation des rapports en fonction des besoins spécifiques de l'utilisateur et du secteur industriel. Cette 
flexibilité assure que les rapports produits sont pertinents et utiles pour chaque utilisateur.
Règles de gestion :
- Offrir la possibilité de sélectionner et personnaliser les sections du rapport selon les préférences de l'utilisateur.
- Adapter les recommandations et les analyses en fonction du secteur industriel et des réponses spécifiques de l'utilisateur.
</t>
  </si>
  <si>
    <t xml:space="preserve"> Analyse 
automatique</t>
  </si>
  <si>
    <t>Permettre l'analyse automatique des résultats de l'évaluation de la maturité I4.0 pour identifier les domaines prioritaires 
d'amélioration. Cette analyse utilise les données combinées des réponses de l'utilisateur et la base prédéfinie de projets pour 
proposer des recommandations pertinentes. 
Règles de gestion :
- Extraire les résultats de l'évaluation de la maturité I4.0.
- Comparer les scores et les réponses avec une base de données prédéfinie de projets et d'initiatives.
- Utiliser des algorithmes pour identifier les écarts entre l'état actuel de maturité I4.0 et les meilleures pratiques du secteur.
- Prioriser les domaines nécessitant des améliorations basées sur l'analyse des écarts.
- Garantir que l'analyse prend en compte des critères spécifiques à chaque secteur industriel.</t>
  </si>
  <si>
    <t xml:space="preserve"> Recommandations
et plan d’action</t>
  </si>
  <si>
    <t>Permettre la proposition automatique de projets et initiatives spécifiques à l'utilisateur pour améliorer sa maturité I4.0. Les 
recommandations sont basées sur l'analyse automatique et la base prédéfinie de projets. Ces propositions doivent être validées 
par l’auditeur. 
Règles de gestion :
- Mapper les résultats de l'analyse aux projets et initiatives dans la base prédéfinie.
- Classer les projets en fonction de leur pertinence pour l'utilisateurs, de l'impact potentiel sur la maturité I4.0 et de la faisabilité 
technique et budgétaire. 
- Proposer une liste de recommandations de projets personnalisés, incluant des détails tels que les objectifs du projet, les 
étapes clés, les ressources nécessaires et les bénéfices attendus.
- Assurer que les recommandations sont alignées avec le secteur industriel de l'utilisateur et ses priorités spécifiques.</t>
  </si>
  <si>
    <t xml:space="preserve"> Suivi de 
l’implémentation</t>
  </si>
  <si>
    <t>Permettre le suivi de l'implémentation des recommandations et projets proposés. Cette fonctionnalité permet aux utilisateurs de 
consigner les progrès réalisés, d'identifier les obstacles, et de consigner les réussites.
Règles de gestion :
- Seuls les utilisateurs autorisés peuvent consigner les progrès réalisés et les obstacles rencontrés.</t>
  </si>
  <si>
    <t xml:space="preserve">Réévaluation 
périodique </t>
  </si>
  <si>
    <t>Permettre une réévaluation périodique de l'indice de maturité I4.0 pour mesurer les progrès réalisés et refléter ces progrès sur 
l’indice en mettant à jour le rapports et les recommandations. Cette fonctionnalité contribue à maintenir un suivi continu et à 
ajuster les stratégies de manière proactive.
Règles de gestion : 
- Seuls les utilisateurs autorisés peuvent initier une réévaluation.
- Recalculer l’indice de maturité en I4.0
- Ajuster les recommandations</t>
  </si>
  <si>
    <t xml:space="preserve">Partage des 
résultats </t>
  </si>
  <si>
    <t xml:space="preserve"> 
Permettre aux utilisateurs de partager les résultats de leur évaluation de maturité I4.0 et les rapports générés avec d'autres parties 
prenantes. Cela facilite la transparence et permet une prise de décision collective.
Règles de gestion :
- Permettre la personnalisation des sections du rapport avant le partage pour garantir la pertinence des informations partagées.
- Traquer les accès aux rapports partagés pour garantir leur consultation par les parties autorisées uniquement.
- Faciliter l'exportation des rapports dans différents formats (PDF, Excel, Word) pour répondre à des besoins variés.</t>
  </si>
  <si>
    <t>Collaboration</t>
  </si>
  <si>
    <t>Permettre la collaboration en équipe sur l'implémentation des recommandations et sur le suivi des projets. Cela inclut des outils 
de communication et de gestion de tâches pour assurer une coordination efficace entre les membres de l'équipe.
Règles de gestion : 
- Envoyer des notifications en temps réel pour les mises à jour des tâches, les commentaires, et les annonces importantes liées
aux projets et recommandations</t>
  </si>
  <si>
    <t>Génération de 
rapports 
automatiques</t>
  </si>
  <si>
    <t>Permettre la génération automatique de rapports périodiques sur les indices de maturité I4.0, les progrès réalisés, et l’état des 
recommandations et projets en cours.
Règles de gestion : 
- Les rapports doivent être générés automatiquement à des intervalles définis (mensuel, trimestriel, etc.), configurables par les 
administrateurs.
- Seuls les utilisateurs autorisés peuvent configurer et visualiser les rapports générés automatiquement.</t>
  </si>
  <si>
    <t xml:space="preserve"> Personnalisation 
des rapports </t>
  </si>
  <si>
    <t>Offrir la possibilité de personnaliser les rapports en fonction des besoins spécifiques des utilisateurs, incluant la sélection des 
indicateurs, des périodes, et des formats de présentation.
Règles de gestion : 
- Seuls les utilisateurs autorisés peuvent personnaliser les rapports, incluant la sélection des indicateurs et des périodes.
- Les configurations personnalisées des rapports doivent pouvoir être sauvegardées pour une utilisation future.</t>
  </si>
  <si>
    <t xml:space="preserve">Tableau de Bord 
Interactif </t>
  </si>
  <si>
    <t>Fournir un tableau de bord interactif où les utilisateurs peuvent visualiser les données en temps réel à travers des graphiques, des 
diagrammes et des KPI.
Règles de gestion : 
- Accès contrôlé pour les utilisateurs autorisés, avec différents niveaux de permissions pour la visualisation et l'interaction avec 
les données.
- Les données du tableau de bord doivent être actualisées en temps réel ou à des intervalles réguliers définis.
- Les utilisateurs doivent pouvoir personnaliser leur tableau de bord en fonction de leurs besoins spécifiques (choix de 
graphiques, indicateurs, etc.).
Les KPIs proposés (non exhaustif à compléter lors de la phrase de cadrage) : 
• Pourcentage d'industries ayant des solutions I4 : Proportion des industries qui ont intégré au moins une technologie ou 
solution de l'industrie 4.0 dans leurs opérations.
• Taux d'adoption des solutions I4.0 proposées : Pourcentage des industries ayant implémenté au moins une des technologies 
de l'industrie 4.0 proposées dans leurs processus de production ou de service.
• Taux de maturité digitale en I4.0 : Niveau de progrès des industries dans l'adoption et l'intégration des technologies de 
l'industrie 4.0, basé sur un modèle de maturité classant les industries selon différents niveaux (ex. : débutant, intermédiaire, 
avancé, expert).
• Nombre de personnels maîtrisant I4.0 : Nombre d'employés au sein des industries possédant les compétences nécessaires 
pour utiliser et gérer les technologies et solutions de l'industrie 4.0.
• Taux d'adoption d'une stratégie I4.0 dans les industries tunisiennes : Pourcentage d'industries tunisiennes ayant intégré 
une stratégie Industrie 4.0 dans leur plan d'affaires global, défalquable par différents secteurs industriels (agroalimentaire, 
textiles, etc.). 
• Niveau global d'intégration du modèle économique I4.0 des industries industrielles tunisiennes : Mesure de la maturité et 
de l'intégration des principes économiques de l'Industrie 4.0, tels que l'automatisation et la connectivité, dans les industries 
industrielles tunisiennes, avec une analyse détaillée par secteur. 
• Taux de digitalisation des processus indirects / de support (RH, Marketing, Comptabilité...) : Pourcentage de processus 
indirects tels que les Ressources Humaines, le Marketing, et la Comptabilité qui sont entièrement ou partiellement digitalisés 
au sein des industries.
• Niveau de maturité des employés en I4.0 : Évaluation des compétences et de la familiarité des employés avec les concepts 
et les technologies de l'Industrie 4.0, mesurée par des auto-évaluations, des certifications ou des formations suivies. 
• Processus de Production Taux de digitalisation et automatisation des processus de production : Pourcentage des processus 
de production qui ont été digitalisés et automatisés, incluant l'utilisation de machines connectées, robots, et systèmes de 
contrôle automatisés. 
• Niveau de "smartification" des produits : Degré d'intégration de technologies intelligentes dans les produits, comme les 
capteurs, l'IoT (Internet des Objets), et les fonctionnalités de communication, rendant les produits plus interactifs et 
connectés.
• Niveau global d'individualisation des produits : Mesure dans laquelle les industries offrent des produits personnalisables aux 
clients, permettant des modifications selon les besoins spécifiques non anticipés des clients. 
• Niveau d'intégration des systèmes IT : Mesure de l'interconnectivité des différents systèmes IT au sein de l'industrie, 
incluant l'intégration des ERP, CRM, MES, et autres systèmes informatiques.
• Indicateur de couverture des systèmes IT : Évaluation de la diversité et du déploiement des outils IT adoptés par les 
industries, couvrant différents domaines comme la gestion, la production, les ventes, la logistique, etc. 
• Niveau d'intégration de la technologie Cloud : Pourcentage des systèmes et des processus de l'industrie qui sont hébergés 
ou utilisent des services Cloud, incluant les applications SaaS, PaaS, et IaaS. 
• Degré de maturité technologique dans la gestion des données : Évaluation de la capacité des industries à gérer, analyser, et 
protéger les données grâce à des technologies avancées, incluant le Big Data, les entrepôts de données, et les solutions de 
cybersécurité. 
• Supply Chain Niveau d'agilité de la supply chain : Mesure de la capacité de la supply chain à s'adapter rapidement aux 
changements de la demande, des conditions de marché, ou des perturbations, grâce à une planification flexible et des 
processus optimisés. 
• Niveau de digitalisation de la gestion des entrepôts : Pourcentage de gestion des entrepôts et des stocks qui sont digitalisés, 
incluant l'utilisation de systèmes de gestion d'entrepôt (WMS), la robotique, et les technologies RFID.</t>
  </si>
  <si>
    <t xml:space="preserve">Exportation des 
rapports </t>
  </si>
  <si>
    <t>Permettre l’exportation des rapports dans divers formats (PDF, Excel, etc.) pour une distribution et une consultation facilitées.
Règles de gestion : 
- Supporter plusieurs formats d’exportation, incluant PDF, Excel, CSV, etc.
- Seuls les utilisateurs autorisés peuvent exporter des rapports</t>
  </si>
  <si>
    <t>Keycloak</t>
  </si>
  <si>
    <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</si>
</sst>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7">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9" tint="0.79998168889431442"/>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5" fillId="5" borderId="4" xfId="0" applyFont="1" applyFill="1" applyBorder="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6" borderId="1" xfId="0" applyFont="1" applyFill="1" applyBorder="1" applyAlignment="1">
      <alignment vertical="center" wrapText="1"/>
    </xf>
    <xf numFmtId="0" fontId="10" fillId="6" borderId="2" xfId="0" applyFont="1" applyFill="1" applyBorder="1" applyAlignment="1">
      <alignment vertical="center" wrapText="1"/>
    </xf>
    <xf numFmtId="0" fontId="10" fillId="6" borderId="3" xfId="0" applyFont="1" applyFill="1" applyBorder="1" applyAlignment="1">
      <alignment vertical="center" wrapText="1"/>
    </xf>
    <xf numFmtId="0" fontId="1" fillId="6" borderId="1" xfId="0" applyFont="1" applyFill="1" applyBorder="1" applyAlignment="1">
      <alignment vertical="center" wrapText="1"/>
    </xf>
    <xf numFmtId="0" fontId="1" fillId="6" borderId="2" xfId="0" applyFont="1" applyFill="1" applyBorder="1" applyAlignment="1">
      <alignment vertical="center" wrapText="1"/>
    </xf>
    <xf numFmtId="0" fontId="1" fillId="6" borderId="3" xfId="0" applyFont="1" applyFill="1" applyBorder="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6" borderId="1" xfId="0" applyFont="1" applyFill="1" applyBorder="1" applyAlignment="1">
      <alignment horizontal="center" wrapText="1"/>
    </xf>
    <xf numFmtId="0" fontId="4" fillId="6" borderId="2" xfId="0" applyFont="1" applyFill="1" applyBorder="1" applyAlignment="1">
      <alignment horizontal="center" wrapText="1"/>
    </xf>
    <xf numFmtId="0" fontId="4" fillId="6"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Font="1" applyAlignment="1">
      <alignment vertical="center"/>
    </xf>
    <xf numFmtId="0" fontId="1" fillId="0" borderId="0" xfId="0" applyNumberFormat="1" applyFont="1" applyAlignment="1">
      <alignment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3:V38" totalsRowCount="1" headerRowDxfId="51" dataDxfId="21">
  <autoFilter ref="B13:V37" xr:uid="{DDEA2C8B-EE0D-4C55-9256-CCC64E002CE6}"/>
  <tableColumns count="21">
    <tableColumn id="1" xr3:uid="{E467E0EE-CDAA-4FF5-85A8-CDC0B23A5AD9}" name="ID" dataDxfId="42" totalsRowDxfId="20"/>
    <tableColumn id="2" xr3:uid="{E53952AC-4972-47BD-8B1D-C7EF23088D0D}" name="Requirement" dataDxfId="41" totalsRowDxfId="19"/>
    <tableColumn id="8" xr3:uid="{B2D0BC2C-C803-4015-8FA6-70F84517BDB2}" name="Nature" dataDxfId="40" totalsRowDxfId="18"/>
    <tableColumn id="7" xr3:uid="{24F2F0ED-022E-4EC1-91D8-BFE0E4F2FD36}" name="Catégorie" dataDxfId="39" totalsRowDxfId="17"/>
    <tableColumn id="10" xr3:uid="{1FF81CF1-6D35-421C-8767-9E7FA06FEE6A}" name="Exigence idenfiée pendant la phase" dataDxfId="38" totalsRowDxfId="16"/>
    <tableColumn id="3" xr3:uid="{E7621A68-9552-4853-96A5-92A226EA42DD}" name="Requirement description" dataDxfId="37" totalsRowDxfId="15"/>
    <tableColumn id="9" xr3:uid="{E6EEEC82-3576-4980-94B3-1423906CE531}" name="Source" dataDxfId="36" totalsRowDxfId="14"/>
    <tableColumn id="16" xr3:uid="{1441554A-79F9-4040-9CF5-AEBFF7ADF7D1}" name="Desciption de la solution MOMSOFT" dataDxfId="35" totalsRowDxfId="13"/>
    <tableColumn id="17" xr3:uid="{D1BC9C86-C3CE-417F-AC83-FC4786A7656D}" name="Proposed Solution" dataDxfId="34" totalsRowDxfId="12"/>
    <tableColumn id="5" xr3:uid="{2649C3B7-E8B9-44F9-8883-E5BB6F91B4B1}" name="Validation Interne" dataDxfId="33" totalsRowDxfId="11"/>
    <tableColumn id="6" xr3:uid="{8CC493F8-0886-498D-AB98-B77300CC6510}" name="Validation Interne par:" dataDxfId="32" totalsRowDxfId="10"/>
    <tableColumn id="15" xr3:uid="{78231C60-0932-4386-925D-4C689A91C0E3}" name="Statut Client" dataDxfId="31" totalsRowDxfId="9"/>
    <tableColumn id="22" xr3:uid="{D944A0FD-E468-407F-91A6-BD8A29086A7B}" name="HJ Dev" dataDxfId="30" totalsRowDxfId="8"/>
    <tableColumn id="21" xr3:uid="{818C68C5-1CC3-4DC9-9BB8-2CB7816ABE9F}" name="HJ Analyse et Test" dataDxfId="29" totalsRowDxfId="7">
      <calculatedColumnFormula>Tableau3[[#This Row],[HJ Dev]]*(25%+25%)</calculatedColumnFormula>
    </tableColumn>
    <tableColumn id="20" xr3:uid="{81CB5860-4285-4425-ABF9-C91F3323BF25}" name="Total HJ" totalsRowFunction="sum" dataDxfId="28"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27" totalsRowDxfId="5"/>
    <tableColumn id="12" xr3:uid="{36B390F4-625A-46E1-864B-7108903FFD96}" name="Conception réalisée par:" dataDxfId="26" totalsRowDxfId="4"/>
    <tableColumn id="13" xr3:uid="{9016419E-83A5-4950-AB28-EA27A0D72FAD}" name="Revue conception réalisée par" dataDxfId="25" totalsRowDxfId="3"/>
    <tableColumn id="14" xr3:uid="{B5F29B7E-09EB-43EF-BD3D-9ADF38F7CC12}" name="Vérification de la conception réalisée par" dataDxfId="24" totalsRowDxfId="2"/>
    <tableColumn id="18" xr3:uid="{0CA25C90-64D6-43D5-90C8-CE6D70CCA638}" name="Preuve de vérification " dataDxfId="23" totalsRowDxfId="1"/>
    <tableColumn id="4" xr3:uid="{B7406A3A-A365-4F76-9A20-372573D19BC9}" name="Notes" dataDxfId="22"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50" dataDxfId="49">
  <autoFilter ref="B13:G18" xr:uid="{96AD1385-A1F5-4391-ABC2-C9F250557626}"/>
  <tableColumns count="6">
    <tableColumn id="1" xr3:uid="{56DA355E-F205-482A-9CF1-CA3361A1D801}" name="Version" dataDxfId="48"/>
    <tableColumn id="2" xr3:uid="{C9D8A0D7-1D6E-479B-AF74-6D39D19E4653}" name="Date" dataDxfId="47"/>
    <tableColumn id="3" xr3:uid="{79109713-8A38-4162-A269-136157905B75}" name="Modifications" dataDxfId="46"/>
    <tableColumn id="4" xr3:uid="{AC928B3E-399C-4A3D-9FB5-9CD96F5D4745}" name="Auteur(s)" dataDxfId="45"/>
    <tableColumn id="5" xr3:uid="{0D0A428D-4F18-4D4E-A0CB-4D1A5057B6E9}" name="Vérificateur(s)" dataDxfId="44"/>
    <tableColumn id="6" xr3:uid="{D81EAB57-FBCA-44D9-8F45-58AF13AA08B6}" name="Approbateur" dataDxfId="43"/>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baseColWidth="10" defaultRowHeight="13.2" x14ac:dyDescent="0.25"/>
  <sheetData>
    <row r="6" spans="2:2" x14ac:dyDescent="0.25">
      <c r="B6" t="s">
        <v>5</v>
      </c>
    </row>
    <row r="7" spans="2:2" x14ac:dyDescent="0.25">
      <c r="B7" t="s">
        <v>93</v>
      </c>
    </row>
    <row r="8" spans="2:2" x14ac:dyDescent="0.25">
      <c r="B8" t="s">
        <v>94</v>
      </c>
    </row>
    <row r="9" spans="2:2" x14ac:dyDescent="0.25">
      <c r="B9" t="s">
        <v>95</v>
      </c>
    </row>
    <row r="10" spans="2:2" x14ac:dyDescent="0.25">
      <c r="B10"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38"/>
  <sheetViews>
    <sheetView tabSelected="1" topLeftCell="A19" zoomScale="110" zoomScaleNormal="85" workbookViewId="0">
      <selection activeCell="G20" sqref="G20"/>
    </sheetView>
  </sheetViews>
  <sheetFormatPr baseColWidth="10" defaultColWidth="11.44140625" defaultRowHeight="13.8" x14ac:dyDescent="0.3"/>
  <cols>
    <col min="1" max="1" width="11.44140625" style="1"/>
    <col min="2" max="2" width="6.21875" style="1" customWidth="1"/>
    <col min="3" max="3" width="29.21875" style="1" customWidth="1"/>
    <col min="4" max="5" width="18.21875" style="1" hidden="1" customWidth="1"/>
    <col min="6" max="6" width="19.44140625" style="1" hidden="1" customWidth="1"/>
    <col min="7" max="7" width="121" style="1" customWidth="1"/>
    <col min="8" max="8" width="18.44140625" style="1" hidden="1" customWidth="1"/>
    <col min="9" max="9" width="56.5546875" style="1" hidden="1" customWidth="1"/>
    <col min="10" max="23" width="21" style="1" customWidth="1"/>
    <col min="24" max="16384" width="11.44140625" style="1"/>
  </cols>
  <sheetData>
    <row r="1" spans="2:22" ht="14.4" thickBot="1" x14ac:dyDescent="0.35"/>
    <row r="2" spans="2:22" ht="21.75" customHeight="1" thickBot="1" x14ac:dyDescent="0.4">
      <c r="B2" s="37" t="s">
        <v>0</v>
      </c>
      <c r="C2" s="38"/>
      <c r="D2" s="38"/>
      <c r="E2" s="38"/>
      <c r="F2" s="38"/>
      <c r="G2" s="38"/>
      <c r="H2" s="38"/>
      <c r="I2" s="38"/>
      <c r="J2" s="38"/>
      <c r="K2" s="38"/>
      <c r="L2" s="38"/>
      <c r="M2" s="39"/>
      <c r="N2" s="40" t="s">
        <v>1</v>
      </c>
      <c r="O2" s="41"/>
      <c r="P2" s="42"/>
      <c r="Q2" s="34" t="s">
        <v>2</v>
      </c>
      <c r="R2" s="35"/>
      <c r="S2" s="35"/>
      <c r="T2" s="35"/>
      <c r="U2" s="35"/>
      <c r="V2" s="36"/>
    </row>
    <row r="3" spans="2:22" ht="53.25" customHeight="1" x14ac:dyDescent="0.3">
      <c r="C3" s="8"/>
      <c r="D3" s="8"/>
      <c r="E3" s="8"/>
      <c r="F3" s="8"/>
      <c r="G3" s="8"/>
      <c r="H3" s="8"/>
      <c r="I3" s="8"/>
    </row>
    <row r="4" spans="2:22" ht="21" customHeight="1" x14ac:dyDescent="0.3">
      <c r="B4" s="23" t="s">
        <v>3</v>
      </c>
      <c r="C4" s="8"/>
      <c r="D4" s="25"/>
      <c r="E4" s="8"/>
      <c r="F4" s="8"/>
      <c r="G4" s="8"/>
      <c r="H4" s="8"/>
      <c r="I4" s="8"/>
    </row>
    <row r="5" spans="2:22" ht="21.75" customHeight="1" x14ac:dyDescent="0.3">
      <c r="B5" s="20" t="s">
        <v>5</v>
      </c>
      <c r="D5" s="3"/>
      <c r="E5" s="3"/>
      <c r="F5" s="3"/>
      <c r="G5" s="3"/>
      <c r="H5" s="3"/>
      <c r="I5" s="3"/>
    </row>
    <row r="6" spans="2:22" ht="21" customHeight="1" x14ac:dyDescent="0.3">
      <c r="B6" s="20" t="s">
        <v>6</v>
      </c>
      <c r="D6" s="3"/>
      <c r="E6" s="3"/>
      <c r="F6" s="3"/>
      <c r="G6" s="3"/>
      <c r="H6" s="3"/>
      <c r="I6" s="3"/>
    </row>
    <row r="7" spans="2:22" ht="20.55" customHeight="1" thickBot="1" x14ac:dyDescent="0.35">
      <c r="B7" s="20" t="s">
        <v>7</v>
      </c>
      <c r="D7" s="3" t="s">
        <v>8</v>
      </c>
      <c r="E7" s="3"/>
      <c r="F7" s="3"/>
      <c r="G7" s="24" t="s">
        <v>9</v>
      </c>
      <c r="H7" s="3"/>
      <c r="I7" s="3"/>
    </row>
    <row r="8" spans="2:22" ht="21.6" customHeight="1" x14ac:dyDescent="0.3">
      <c r="B8" s="20" t="s">
        <v>10</v>
      </c>
      <c r="D8" s="3" t="s">
        <v>11</v>
      </c>
      <c r="E8" s="3"/>
      <c r="F8" s="3"/>
      <c r="G8" s="3"/>
      <c r="H8" s="3"/>
      <c r="I8" s="3"/>
    </row>
    <row r="9" spans="2:22" ht="14.4" x14ac:dyDescent="0.3">
      <c r="C9" s="3"/>
      <c r="D9" s="17"/>
      <c r="E9" s="17"/>
      <c r="F9" s="17"/>
      <c r="G9" s="17"/>
      <c r="H9" s="17"/>
      <c r="I9" s="17"/>
    </row>
    <row r="10" spans="2:22" x14ac:dyDescent="0.3">
      <c r="B10" s="21" t="s">
        <v>12</v>
      </c>
      <c r="C10" s="22"/>
      <c r="D10" s="21" t="s">
        <v>13</v>
      </c>
      <c r="E10" s="9"/>
      <c r="F10" s="9"/>
      <c r="I10" s="14" t="s">
        <v>14</v>
      </c>
    </row>
    <row r="11" spans="2:22" x14ac:dyDescent="0.3">
      <c r="B11" s="21" t="s">
        <v>15</v>
      </c>
      <c r="C11" s="22"/>
      <c r="D11" s="21" t="s">
        <v>16</v>
      </c>
      <c r="E11" s="9"/>
      <c r="F11" s="9"/>
    </row>
    <row r="12" spans="2:22" ht="14.4" thickBot="1" x14ac:dyDescent="0.35"/>
    <row r="13" spans="2:22" s="10" customFormat="1" ht="69.599999999999994" thickBot="1" x14ac:dyDescent="0.3">
      <c r="B13" s="27" t="s">
        <v>17</v>
      </c>
      <c r="C13" s="28" t="s">
        <v>108</v>
      </c>
      <c r="D13" s="28" t="s">
        <v>18</v>
      </c>
      <c r="E13" s="28" t="s">
        <v>19</v>
      </c>
      <c r="F13" s="28" t="s">
        <v>20</v>
      </c>
      <c r="G13" s="28" t="s">
        <v>109</v>
      </c>
      <c r="H13" s="28" t="s">
        <v>21</v>
      </c>
      <c r="I13" s="28" t="s">
        <v>99</v>
      </c>
      <c r="J13" s="28" t="s">
        <v>110</v>
      </c>
      <c r="K13" s="28" t="s">
        <v>22</v>
      </c>
      <c r="L13" s="28" t="s">
        <v>23</v>
      </c>
      <c r="M13" s="29" t="s">
        <v>24</v>
      </c>
      <c r="N13" s="28" t="s">
        <v>25</v>
      </c>
      <c r="O13" s="28" t="s">
        <v>26</v>
      </c>
      <c r="P13" s="28" t="s">
        <v>27</v>
      </c>
      <c r="Q13" s="30" t="s">
        <v>28</v>
      </c>
      <c r="R13" s="31" t="s">
        <v>29</v>
      </c>
      <c r="S13" s="31" t="s">
        <v>30</v>
      </c>
      <c r="T13" s="31" t="s">
        <v>31</v>
      </c>
      <c r="U13" s="31" t="s">
        <v>32</v>
      </c>
      <c r="V13" s="32" t="s">
        <v>33</v>
      </c>
    </row>
    <row r="14" spans="2:22" s="10" customFormat="1" ht="144.6" customHeight="1" x14ac:dyDescent="0.25">
      <c r="B14" s="10" t="s">
        <v>34</v>
      </c>
      <c r="C14" s="46" t="s">
        <v>111</v>
      </c>
      <c r="G14" s="10" t="s">
        <v>112</v>
      </c>
      <c r="J14" s="10" t="s">
        <v>159</v>
      </c>
      <c r="K14" s="10" t="s">
        <v>55</v>
      </c>
      <c r="L14" s="10" t="s">
        <v>102</v>
      </c>
      <c r="N14" s="10">
        <v>3</v>
      </c>
      <c r="O14" s="10">
        <f>Tableau3[[#This Row],[HJ Dev]]*(25%+25%)</f>
        <v>1.5</v>
      </c>
      <c r="P14" s="10">
        <f>Tableau3[[#This Row],[HJ Analyse et Test]]+Tableau3[[#This Row],[HJ Dev]]</f>
        <v>4.5</v>
      </c>
      <c r="Q14" s="10" t="s">
        <v>35</v>
      </c>
      <c r="R14" s="10" t="s">
        <v>35</v>
      </c>
      <c r="S14" s="10" t="s">
        <v>35</v>
      </c>
      <c r="T14" s="10" t="s">
        <v>35</v>
      </c>
      <c r="U14" s="10" t="s">
        <v>35</v>
      </c>
    </row>
    <row r="15" spans="2:22" s="10" customFormat="1" ht="96.6" x14ac:dyDescent="0.25">
      <c r="B15" s="10" t="s">
        <v>104</v>
      </c>
      <c r="C15" s="10" t="s">
        <v>113</v>
      </c>
      <c r="G15" s="10" t="s">
        <v>114</v>
      </c>
      <c r="J15" s="10" t="s">
        <v>159</v>
      </c>
      <c r="K15" s="10" t="s">
        <v>55</v>
      </c>
      <c r="L15" s="10" t="s">
        <v>102</v>
      </c>
      <c r="N15" s="10">
        <v>0</v>
      </c>
      <c r="O15" s="10">
        <f>Tableau3[[#This Row],[HJ Dev]]*(25%+25%)</f>
        <v>0</v>
      </c>
      <c r="P15" s="10">
        <f>Tableau3[[#This Row],[HJ Analyse et Test]]+Tableau3[[#This Row],[HJ Dev]]</f>
        <v>0</v>
      </c>
    </row>
    <row r="16" spans="2:22" s="10" customFormat="1" ht="169.2" customHeight="1" x14ac:dyDescent="0.25">
      <c r="B16" s="10" t="s">
        <v>105</v>
      </c>
      <c r="C16" s="10" t="s">
        <v>115</v>
      </c>
      <c r="G16" s="10" t="s">
        <v>116</v>
      </c>
      <c r="J16" s="10" t="s">
        <v>159</v>
      </c>
      <c r="K16" s="10" t="s">
        <v>55</v>
      </c>
      <c r="L16" s="10" t="s">
        <v>102</v>
      </c>
      <c r="N16" s="10">
        <v>0</v>
      </c>
      <c r="O16" s="10">
        <f>Tableau3[[#This Row],[HJ Dev]]*(25%+25%)</f>
        <v>0</v>
      </c>
      <c r="P16" s="10">
        <f>Tableau3[[#This Row],[HJ Analyse et Test]]+Tableau3[[#This Row],[HJ Dev]]</f>
        <v>0</v>
      </c>
    </row>
    <row r="17" spans="2:22" s="10" customFormat="1" ht="169.2" customHeight="1" x14ac:dyDescent="0.25">
      <c r="C17" s="10" t="s">
        <v>119</v>
      </c>
      <c r="G17" s="10" t="s">
        <v>120</v>
      </c>
      <c r="J17" s="10" t="s">
        <v>159</v>
      </c>
      <c r="O17" s="47">
        <f>Tableau3[[#This Row],[HJ Dev]]*(25%+25%)</f>
        <v>0</v>
      </c>
      <c r="P17" s="47">
        <f>Tableau3[[#This Row],[HJ Analyse et Test]]+Tableau3[[#This Row],[HJ Dev]]</f>
        <v>0</v>
      </c>
    </row>
    <row r="18" spans="2:22" s="10" customFormat="1" ht="169.2" customHeight="1" x14ac:dyDescent="0.25">
      <c r="C18" s="10" t="s">
        <v>128</v>
      </c>
      <c r="G18" s="10" t="s">
        <v>129</v>
      </c>
      <c r="J18" s="10" t="s">
        <v>160</v>
      </c>
      <c r="O18" s="47">
        <f>Tableau3[[#This Row],[HJ Dev]]*(25%+25%)</f>
        <v>0</v>
      </c>
      <c r="P18" s="47">
        <f>Tableau3[[#This Row],[HJ Analyse et Test]]+Tableau3[[#This Row],[HJ Dev]]</f>
        <v>0</v>
      </c>
    </row>
    <row r="19" spans="2:22" s="10" customFormat="1" ht="125.4" customHeight="1" x14ac:dyDescent="0.25">
      <c r="B19" s="10" t="s">
        <v>106</v>
      </c>
      <c r="C19" s="10" t="s">
        <v>117</v>
      </c>
      <c r="G19" s="10" t="s">
        <v>118</v>
      </c>
      <c r="K19" s="10" t="s">
        <v>55</v>
      </c>
      <c r="L19" s="10" t="s">
        <v>102</v>
      </c>
      <c r="O19" s="10">
        <f>Tableau3[[#This Row],[HJ Dev]]*(25%+25%)</f>
        <v>0</v>
      </c>
      <c r="P19" s="10">
        <f>Tableau3[[#This Row],[HJ Analyse et Test]]+Tableau3[[#This Row],[HJ Dev]]</f>
        <v>0</v>
      </c>
    </row>
    <row r="20" spans="2:22" s="10" customFormat="1" ht="114" customHeight="1" x14ac:dyDescent="0.25">
      <c r="B20" s="10" t="s">
        <v>107</v>
      </c>
      <c r="C20" s="10" t="s">
        <v>121</v>
      </c>
      <c r="G20" s="10" t="s">
        <v>122</v>
      </c>
      <c r="K20" s="10" t="s">
        <v>55</v>
      </c>
      <c r="L20" s="10" t="s">
        <v>102</v>
      </c>
      <c r="O20" s="10">
        <f>Tableau3[[#This Row],[HJ Dev]]*(25%+25%)</f>
        <v>0</v>
      </c>
      <c r="P20" s="10">
        <f>Tableau3[[#This Row],[HJ Analyse et Test]]+Tableau3[[#This Row],[HJ Dev]]</f>
        <v>0</v>
      </c>
    </row>
    <row r="21" spans="2:22" ht="106.2" customHeight="1" x14ac:dyDescent="0.3">
      <c r="B21" s="10" t="s">
        <v>36</v>
      </c>
      <c r="C21" s="10" t="s">
        <v>123</v>
      </c>
      <c r="D21" s="10"/>
      <c r="E21" s="10"/>
      <c r="F21" s="10"/>
      <c r="G21" s="10" t="s">
        <v>124</v>
      </c>
      <c r="H21" s="10"/>
      <c r="I21" s="10"/>
      <c r="J21" s="10"/>
      <c r="K21" s="10" t="s">
        <v>55</v>
      </c>
      <c r="L21" s="10" t="s">
        <v>102</v>
      </c>
      <c r="M21" s="10"/>
      <c r="N21" s="10"/>
      <c r="O21" s="10">
        <f>Tableau3[[#This Row],[HJ Dev]]*(25%+25%)</f>
        <v>0</v>
      </c>
      <c r="P21" s="10">
        <f>Tableau3[[#This Row],[HJ Analyse et Test]]+Tableau3[[#This Row],[HJ Dev]]</f>
        <v>0</v>
      </c>
      <c r="Q21" s="10"/>
      <c r="R21" s="10"/>
      <c r="S21" s="10"/>
      <c r="T21" s="10"/>
      <c r="U21" s="10"/>
      <c r="V21" s="10"/>
    </row>
    <row r="22" spans="2:22" ht="138" x14ac:dyDescent="0.3">
      <c r="B22" s="10" t="s">
        <v>37</v>
      </c>
      <c r="C22" s="10" t="s">
        <v>125</v>
      </c>
      <c r="D22" s="10"/>
      <c r="E22" s="10"/>
      <c r="F22" s="10"/>
      <c r="G22" s="10" t="s">
        <v>126</v>
      </c>
      <c r="H22" s="10"/>
      <c r="I22" s="10"/>
      <c r="J22" s="10"/>
      <c r="K22" s="10" t="s">
        <v>55</v>
      </c>
      <c r="L22" s="10" t="s">
        <v>102</v>
      </c>
      <c r="M22" s="10"/>
      <c r="N22" s="10"/>
      <c r="O22" s="10">
        <f>Tableau3[[#This Row],[HJ Dev]]*(25%+25%)</f>
        <v>0</v>
      </c>
      <c r="P22" s="10">
        <f>Tableau3[[#This Row],[HJ Analyse et Test]]+Tableau3[[#This Row],[HJ Dev]]</f>
        <v>0</v>
      </c>
      <c r="Q22" s="10"/>
      <c r="R22" s="10"/>
      <c r="S22" s="10"/>
      <c r="T22" s="10"/>
      <c r="U22" s="10"/>
      <c r="V22" s="10"/>
    </row>
    <row r="23" spans="2:22" ht="151.80000000000001" x14ac:dyDescent="0.3">
      <c r="B23" s="10" t="s">
        <v>38</v>
      </c>
      <c r="C23" s="10" t="s">
        <v>127</v>
      </c>
      <c r="D23" s="10"/>
      <c r="E23" s="10"/>
      <c r="F23" s="10"/>
      <c r="G23" s="10" t="s">
        <v>130</v>
      </c>
      <c r="H23" s="10"/>
      <c r="I23" s="10"/>
      <c r="J23" s="10"/>
      <c r="K23" s="10" t="s">
        <v>55</v>
      </c>
      <c r="L23" s="10" t="s">
        <v>102</v>
      </c>
      <c r="M23" s="10"/>
      <c r="N23" s="10"/>
      <c r="O23" s="10">
        <f>Tableau3[[#This Row],[HJ Dev]]*(25%+25%)</f>
        <v>0</v>
      </c>
      <c r="P23" s="10">
        <f>Tableau3[[#This Row],[HJ Analyse et Test]]+Tableau3[[#This Row],[HJ Dev]]</f>
        <v>0</v>
      </c>
      <c r="Q23" s="10"/>
      <c r="R23" s="10"/>
      <c r="S23" s="10"/>
      <c r="T23" s="10"/>
      <c r="U23" s="10"/>
      <c r="V23" s="10"/>
    </row>
    <row r="24" spans="2:22" ht="96.6" x14ac:dyDescent="0.3">
      <c r="B24" s="10" t="s">
        <v>87</v>
      </c>
      <c r="C24" s="10" t="s">
        <v>131</v>
      </c>
      <c r="D24" s="10"/>
      <c r="E24" s="10"/>
      <c r="F24" s="10"/>
      <c r="G24" s="10" t="s">
        <v>132</v>
      </c>
      <c r="H24" s="10"/>
      <c r="I24" s="10"/>
      <c r="J24" s="10"/>
      <c r="K24" s="10" t="s">
        <v>55</v>
      </c>
      <c r="L24" s="10" t="s">
        <v>102</v>
      </c>
      <c r="M24" s="10"/>
      <c r="N24" s="10"/>
      <c r="O24" s="10">
        <f>Tableau3[[#This Row],[HJ Dev]]*(25%+25%)</f>
        <v>0</v>
      </c>
      <c r="P24" s="10">
        <f>Tableau3[[#This Row],[HJ Analyse et Test]]+Tableau3[[#This Row],[HJ Dev]]</f>
        <v>0</v>
      </c>
      <c r="Q24" s="10"/>
      <c r="R24" s="10"/>
      <c r="S24" s="10"/>
      <c r="T24" s="10"/>
      <c r="U24" s="10"/>
      <c r="V24" s="10"/>
    </row>
    <row r="25" spans="2:22" ht="76.8" customHeight="1" x14ac:dyDescent="0.3">
      <c r="B25" s="10" t="s">
        <v>88</v>
      </c>
      <c r="C25" s="10" t="s">
        <v>133</v>
      </c>
      <c r="D25" s="10"/>
      <c r="E25" s="10"/>
      <c r="F25" s="10"/>
      <c r="G25" s="10" t="s">
        <v>134</v>
      </c>
      <c r="H25" s="10"/>
      <c r="I25" s="10"/>
      <c r="J25" s="33"/>
      <c r="K25" s="10" t="s">
        <v>55</v>
      </c>
      <c r="L25" s="10" t="s">
        <v>102</v>
      </c>
      <c r="M25" s="10"/>
      <c r="N25" s="10"/>
      <c r="O25" s="10">
        <f>Tableau3[[#This Row],[HJ Dev]]*(25%+25%)</f>
        <v>0</v>
      </c>
      <c r="P25" s="10">
        <f>Tableau3[[#This Row],[HJ Analyse et Test]]+Tableau3[[#This Row],[HJ Dev]]</f>
        <v>0</v>
      </c>
      <c r="Q25" s="10"/>
      <c r="R25" s="10"/>
      <c r="S25" s="10"/>
      <c r="T25" s="10"/>
      <c r="U25" s="10"/>
      <c r="V25" s="10"/>
    </row>
    <row r="26" spans="2:22" ht="91.2" customHeight="1" x14ac:dyDescent="0.3">
      <c r="B26" s="10" t="s">
        <v>89</v>
      </c>
      <c r="C26" s="10" t="s">
        <v>135</v>
      </c>
      <c r="D26" s="10"/>
      <c r="E26" s="10"/>
      <c r="F26" s="10"/>
      <c r="G26" s="10" t="s">
        <v>136</v>
      </c>
      <c r="H26" s="10"/>
      <c r="I26" s="10"/>
      <c r="J26" s="10"/>
      <c r="K26" s="10" t="s">
        <v>55</v>
      </c>
      <c r="L26" s="10" t="s">
        <v>102</v>
      </c>
      <c r="M26" s="10"/>
      <c r="N26" s="10"/>
      <c r="O26" s="10">
        <f>Tableau3[[#This Row],[HJ Dev]]*(25%+25%)</f>
        <v>0</v>
      </c>
      <c r="P26" s="10">
        <f>Tableau3[[#This Row],[HJ Analyse et Test]]+Tableau3[[#This Row],[HJ Dev]]</f>
        <v>0</v>
      </c>
      <c r="Q26" s="10"/>
      <c r="R26" s="10"/>
      <c r="S26" s="10"/>
      <c r="T26" s="10"/>
      <c r="U26" s="10"/>
      <c r="V26" s="10"/>
    </row>
    <row r="27" spans="2:22" ht="82.8" x14ac:dyDescent="0.3">
      <c r="B27" s="10" t="s">
        <v>90</v>
      </c>
      <c r="C27" s="10" t="s">
        <v>137</v>
      </c>
      <c r="D27" s="10"/>
      <c r="E27" s="10"/>
      <c r="F27" s="10"/>
      <c r="G27" s="10" t="s">
        <v>138</v>
      </c>
      <c r="H27" s="10"/>
      <c r="I27" s="10"/>
      <c r="J27" s="10"/>
      <c r="K27" s="10" t="s">
        <v>55</v>
      </c>
      <c r="L27" s="10" t="s">
        <v>102</v>
      </c>
      <c r="M27" s="10"/>
      <c r="N27" s="10"/>
      <c r="O27" s="10">
        <f>Tableau3[[#This Row],[HJ Dev]]*(25%+25%)</f>
        <v>0</v>
      </c>
      <c r="P27" s="10">
        <f>Tableau3[[#This Row],[HJ Analyse et Test]]+Tableau3[[#This Row],[HJ Dev]]</f>
        <v>0</v>
      </c>
      <c r="Q27" s="10"/>
      <c r="R27" s="10"/>
      <c r="S27" s="10"/>
      <c r="T27" s="10"/>
      <c r="U27" s="10"/>
      <c r="V27" s="10"/>
    </row>
    <row r="28" spans="2:22" ht="124.2" x14ac:dyDescent="0.3">
      <c r="B28" s="10" t="s">
        <v>91</v>
      </c>
      <c r="C28" s="10" t="s">
        <v>139</v>
      </c>
      <c r="D28" s="10"/>
      <c r="E28" s="10"/>
      <c r="F28" s="10"/>
      <c r="G28" s="10" t="s">
        <v>140</v>
      </c>
      <c r="H28" s="10"/>
      <c r="I28" s="10"/>
      <c r="J28" s="10"/>
      <c r="K28" s="10" t="s">
        <v>55</v>
      </c>
      <c r="L28" s="10" t="s">
        <v>102</v>
      </c>
      <c r="M28" s="10"/>
      <c r="N28" s="10"/>
      <c r="O28" s="10">
        <f>Tableau3[[#This Row],[HJ Dev]]*(25%+25%)</f>
        <v>0</v>
      </c>
      <c r="P28" s="10">
        <f>Tableau3[[#This Row],[HJ Analyse et Test]]+Tableau3[[#This Row],[HJ Dev]]</f>
        <v>0</v>
      </c>
      <c r="Q28" s="10"/>
      <c r="R28" s="10"/>
      <c r="S28" s="10"/>
      <c r="T28" s="10"/>
      <c r="U28" s="10"/>
      <c r="V28" s="10"/>
    </row>
    <row r="29" spans="2:22" ht="138" x14ac:dyDescent="0.3">
      <c r="B29" s="10" t="s">
        <v>92</v>
      </c>
      <c r="C29" s="10" t="s">
        <v>141</v>
      </c>
      <c r="D29" s="10"/>
      <c r="E29" s="10"/>
      <c r="F29" s="10"/>
      <c r="G29" s="10" t="s">
        <v>142</v>
      </c>
      <c r="H29" s="10"/>
      <c r="I29" s="10"/>
      <c r="J29" s="10"/>
      <c r="K29" s="10" t="s">
        <v>55</v>
      </c>
      <c r="L29" s="10" t="s">
        <v>102</v>
      </c>
      <c r="M29" s="10"/>
      <c r="N29" s="10"/>
      <c r="O29" s="10">
        <f>Tableau3[[#This Row],[HJ Dev]]*(25%+25%)</f>
        <v>0</v>
      </c>
      <c r="P29" s="10">
        <f>Tableau3[[#This Row],[HJ Analyse et Test]]+Tableau3[[#This Row],[HJ Dev]]</f>
        <v>0</v>
      </c>
      <c r="Q29" s="10"/>
      <c r="R29" s="10"/>
      <c r="S29" s="10"/>
      <c r="T29" s="10"/>
      <c r="U29" s="10"/>
      <c r="V29" s="10"/>
    </row>
    <row r="30" spans="2:22" ht="55.2" x14ac:dyDescent="0.3">
      <c r="B30" s="10"/>
      <c r="C30" s="10" t="s">
        <v>143</v>
      </c>
      <c r="D30" s="10"/>
      <c r="E30" s="10"/>
      <c r="F30" s="10"/>
      <c r="G30" s="10" t="s">
        <v>144</v>
      </c>
      <c r="H30" s="10"/>
      <c r="I30" s="10"/>
      <c r="J30" s="10"/>
      <c r="K30" s="10"/>
      <c r="L30" s="10"/>
      <c r="M30" s="10"/>
      <c r="N30" s="10"/>
      <c r="O30" s="47">
        <f>Tableau3[[#This Row],[HJ Dev]]*(25%+25%)</f>
        <v>0</v>
      </c>
      <c r="P30" s="47">
        <f>Tableau3[[#This Row],[HJ Analyse et Test]]+Tableau3[[#This Row],[HJ Dev]]</f>
        <v>0</v>
      </c>
      <c r="Q30" s="10"/>
      <c r="R30" s="10"/>
      <c r="S30" s="10"/>
      <c r="T30" s="10"/>
      <c r="U30" s="10"/>
      <c r="V30" s="10"/>
    </row>
    <row r="31" spans="2:22" ht="96.6" x14ac:dyDescent="0.3">
      <c r="B31" s="10"/>
      <c r="C31" s="10" t="s">
        <v>145</v>
      </c>
      <c r="D31" s="10"/>
      <c r="E31" s="10"/>
      <c r="F31" s="10"/>
      <c r="G31" s="10" t="s">
        <v>146</v>
      </c>
      <c r="H31" s="10"/>
      <c r="I31" s="10"/>
      <c r="J31" s="10"/>
      <c r="K31" s="10"/>
      <c r="L31" s="10"/>
      <c r="M31" s="10"/>
      <c r="N31" s="10"/>
      <c r="O31" s="47">
        <f>Tableau3[[#This Row],[HJ Dev]]*(25%+25%)</f>
        <v>0</v>
      </c>
      <c r="P31" s="47">
        <f>Tableau3[[#This Row],[HJ Analyse et Test]]+Tableau3[[#This Row],[HJ Dev]]</f>
        <v>0</v>
      </c>
      <c r="Q31" s="10"/>
      <c r="R31" s="10"/>
      <c r="S31" s="10"/>
      <c r="T31" s="10"/>
      <c r="U31" s="10"/>
      <c r="V31" s="10"/>
    </row>
    <row r="32" spans="2:22" ht="96.6" x14ac:dyDescent="0.3">
      <c r="B32" s="10"/>
      <c r="C32" s="10" t="s">
        <v>147</v>
      </c>
      <c r="D32" s="10"/>
      <c r="E32" s="10"/>
      <c r="F32" s="10"/>
      <c r="G32" s="10" t="s">
        <v>148</v>
      </c>
      <c r="H32" s="10"/>
      <c r="I32" s="10"/>
      <c r="J32" s="10"/>
      <c r="K32" s="10"/>
      <c r="L32" s="10"/>
      <c r="M32" s="10"/>
      <c r="N32" s="10"/>
      <c r="O32" s="47">
        <f>Tableau3[[#This Row],[HJ Dev]]*(25%+25%)</f>
        <v>0</v>
      </c>
      <c r="P32" s="47">
        <f>Tableau3[[#This Row],[HJ Analyse et Test]]+Tableau3[[#This Row],[HJ Dev]]</f>
        <v>0</v>
      </c>
      <c r="Q32" s="10"/>
      <c r="R32" s="10"/>
      <c r="S32" s="10"/>
      <c r="T32" s="10"/>
      <c r="U32" s="10"/>
      <c r="V32" s="10"/>
    </row>
    <row r="33" spans="2:22" ht="69" x14ac:dyDescent="0.3">
      <c r="B33" s="10"/>
      <c r="C33" s="10" t="s">
        <v>149</v>
      </c>
      <c r="D33" s="10"/>
      <c r="E33" s="10"/>
      <c r="F33" s="10"/>
      <c r="G33" s="10" t="s">
        <v>150</v>
      </c>
      <c r="H33" s="10"/>
      <c r="I33" s="10"/>
      <c r="J33" s="10"/>
      <c r="K33" s="10"/>
      <c r="L33" s="10"/>
      <c r="M33" s="10"/>
      <c r="N33" s="10"/>
      <c r="O33" s="47">
        <f>Tableau3[[#This Row],[HJ Dev]]*(25%+25%)</f>
        <v>0</v>
      </c>
      <c r="P33" s="47">
        <f>Tableau3[[#This Row],[HJ Analyse et Test]]+Tableau3[[#This Row],[HJ Dev]]</f>
        <v>0</v>
      </c>
      <c r="Q33" s="10"/>
      <c r="R33" s="10"/>
      <c r="S33" s="10"/>
      <c r="T33" s="10"/>
      <c r="U33" s="10"/>
      <c r="V33" s="10"/>
    </row>
    <row r="34" spans="2:22" ht="82.8" x14ac:dyDescent="0.3">
      <c r="B34" s="10"/>
      <c r="C34" s="10" t="s">
        <v>151</v>
      </c>
      <c r="D34" s="10"/>
      <c r="E34" s="10"/>
      <c r="F34" s="10"/>
      <c r="G34" s="10" t="s">
        <v>152</v>
      </c>
      <c r="H34" s="10"/>
      <c r="I34" s="10"/>
      <c r="J34" s="10"/>
      <c r="K34" s="10"/>
      <c r="L34" s="10"/>
      <c r="M34" s="10"/>
      <c r="N34" s="10"/>
      <c r="O34" s="47">
        <f>Tableau3[[#This Row],[HJ Dev]]*(25%+25%)</f>
        <v>0</v>
      </c>
      <c r="P34" s="47">
        <f>Tableau3[[#This Row],[HJ Analyse et Test]]+Tableau3[[#This Row],[HJ Dev]]</f>
        <v>0</v>
      </c>
      <c r="Q34" s="10"/>
      <c r="R34" s="10"/>
      <c r="S34" s="10"/>
      <c r="T34" s="10"/>
      <c r="U34" s="10"/>
      <c r="V34" s="10"/>
    </row>
    <row r="35" spans="2:22" ht="69" x14ac:dyDescent="0.3">
      <c r="B35" s="10"/>
      <c r="C35" s="10" t="s">
        <v>153</v>
      </c>
      <c r="D35" s="10"/>
      <c r="E35" s="10"/>
      <c r="F35" s="10"/>
      <c r="G35" s="10" t="s">
        <v>154</v>
      </c>
      <c r="H35" s="10"/>
      <c r="I35" s="10"/>
      <c r="J35" s="10"/>
      <c r="K35" s="10"/>
      <c r="L35" s="10"/>
      <c r="M35" s="10"/>
      <c r="N35" s="10"/>
      <c r="O35" s="47">
        <f>Tableau3[[#This Row],[HJ Dev]]*(25%+25%)</f>
        <v>0</v>
      </c>
      <c r="P35" s="47">
        <f>Tableau3[[#This Row],[HJ Analyse et Test]]+Tableau3[[#This Row],[HJ Dev]]</f>
        <v>0</v>
      </c>
      <c r="Q35" s="10"/>
      <c r="R35" s="10"/>
      <c r="S35" s="10"/>
      <c r="T35" s="10"/>
      <c r="U35" s="10"/>
      <c r="V35" s="10"/>
    </row>
    <row r="36" spans="2:22" ht="409.6" x14ac:dyDescent="0.3">
      <c r="B36" s="10"/>
      <c r="C36" s="10" t="s">
        <v>155</v>
      </c>
      <c r="D36" s="10"/>
      <c r="E36" s="10"/>
      <c r="F36" s="10"/>
      <c r="G36" s="10" t="s">
        <v>156</v>
      </c>
      <c r="H36" s="10"/>
      <c r="I36" s="10"/>
      <c r="J36" s="10"/>
      <c r="K36" s="10"/>
      <c r="L36" s="10"/>
      <c r="M36" s="10"/>
      <c r="N36" s="10"/>
      <c r="O36" s="47">
        <f>Tableau3[[#This Row],[HJ Dev]]*(25%+25%)</f>
        <v>0</v>
      </c>
      <c r="P36" s="47">
        <f>Tableau3[[#This Row],[HJ Analyse et Test]]+Tableau3[[#This Row],[HJ Dev]]</f>
        <v>0</v>
      </c>
      <c r="Q36" s="10"/>
      <c r="R36" s="10"/>
      <c r="S36" s="10"/>
      <c r="T36" s="10"/>
      <c r="U36" s="10"/>
      <c r="V36" s="10"/>
    </row>
    <row r="37" spans="2:22" ht="55.2" x14ac:dyDescent="0.3">
      <c r="B37" s="10"/>
      <c r="C37" s="10" t="s">
        <v>157</v>
      </c>
      <c r="D37" s="10"/>
      <c r="E37" s="10"/>
      <c r="F37" s="10"/>
      <c r="G37" s="10" t="s">
        <v>158</v>
      </c>
      <c r="H37" s="10"/>
      <c r="I37" s="10"/>
      <c r="J37" s="10"/>
      <c r="K37" s="10"/>
      <c r="L37" s="10"/>
      <c r="M37" s="10"/>
      <c r="N37" s="10"/>
      <c r="O37" s="47">
        <f>Tableau3[[#This Row],[HJ Dev]]*(25%+25%)</f>
        <v>0</v>
      </c>
      <c r="P37" s="47">
        <f>Tableau3[[#This Row],[HJ Analyse et Test]]+Tableau3[[#This Row],[HJ Dev]]</f>
        <v>0</v>
      </c>
      <c r="Q37" s="10"/>
      <c r="R37" s="10"/>
      <c r="S37" s="10"/>
      <c r="T37" s="10"/>
      <c r="U37" s="10"/>
      <c r="V37" s="10"/>
    </row>
    <row r="38" spans="2:22" x14ac:dyDescent="0.3">
      <c r="B38" s="10"/>
      <c r="C38" s="10"/>
      <c r="D38" s="10"/>
      <c r="E38" s="10"/>
      <c r="F38" s="10"/>
      <c r="G38" s="10"/>
      <c r="H38" s="10"/>
      <c r="I38" s="10"/>
      <c r="J38" s="10"/>
      <c r="K38" s="10"/>
      <c r="L38" s="10"/>
      <c r="M38" s="10"/>
      <c r="N38" s="10"/>
      <c r="O38" s="10"/>
      <c r="P38" s="10">
        <f>SUBTOTAL(109,Tableau3[Total HJ])</f>
        <v>4.5</v>
      </c>
      <c r="Q38" s="10"/>
      <c r="R38" s="10"/>
      <c r="S38" s="10"/>
      <c r="T38" s="10"/>
      <c r="U38" s="10"/>
      <c r="V38" s="10"/>
    </row>
  </sheetData>
  <mergeCells count="3">
    <mergeCell ref="Q2:V2"/>
    <mergeCell ref="B2:M2"/>
    <mergeCell ref="N2:P2"/>
  </mergeCells>
  <phoneticPr fontId="2" type="noConversion"/>
  <dataValidations disablePrompts="1" count="1">
    <dataValidation type="whole" operator="greaterThanOrEqual" allowBlank="1" showInputMessage="1" showErrorMessage="1" sqref="N14:P37" xr:uid="{10E2E794-3894-4CC1-AB1A-9BB5BF41EABB}">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M14:M37</xm:sqref>
        </x14:dataValidation>
        <x14:dataValidation type="list" allowBlank="1" showInputMessage="1" showErrorMessage="1" xr:uid="{1F2CF1C1-BE35-4DC9-A975-F49F788F3D6A}">
          <x14:formula1>
            <xm:f>Params!$H$3:$H$6</xm:f>
          </x14:formula1>
          <xm:sqref>K14:K37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baseColWidth="10" defaultColWidth="11.44140625" defaultRowHeight="14.4" x14ac:dyDescent="0.3"/>
  <cols>
    <col min="1" max="1" width="12" style="2" customWidth="1"/>
    <col min="2" max="2" width="10.21875" style="2" customWidth="1"/>
    <col min="3" max="3" width="11.44140625" style="2"/>
    <col min="4" max="4" width="58.21875" style="2" customWidth="1"/>
    <col min="5" max="5" width="15.77734375" style="2" customWidth="1"/>
    <col min="6" max="6" width="22.21875" style="2" customWidth="1"/>
    <col min="7" max="7" width="16.5546875" style="2" customWidth="1"/>
    <col min="8" max="16384" width="11.44140625" style="2"/>
  </cols>
  <sheetData>
    <row r="2" spans="1:7" ht="15" thickBot="1" x14ac:dyDescent="0.35"/>
    <row r="3" spans="1:7" ht="24" customHeight="1" thickBot="1" x14ac:dyDescent="0.35">
      <c r="A3" s="2" t="s">
        <v>39</v>
      </c>
      <c r="B3" s="43" t="s">
        <v>0</v>
      </c>
      <c r="C3" s="44"/>
      <c r="D3" s="44"/>
      <c r="E3" s="44"/>
      <c r="F3" s="44"/>
      <c r="G3" s="45"/>
    </row>
    <row r="4" spans="1:7" x14ac:dyDescent="0.3">
      <c r="B4" s="4"/>
      <c r="C4" s="5"/>
      <c r="D4" s="5"/>
      <c r="E4" s="5"/>
      <c r="F4" s="5"/>
      <c r="G4" s="5"/>
    </row>
    <row r="5" spans="1:7" x14ac:dyDescent="0.3">
      <c r="B5" s="12" t="str">
        <f>'Gestion Exigences'!B5</f>
        <v>Client</v>
      </c>
      <c r="D5" s="12">
        <f>'Gestion Exigences'!D5</f>
        <v>0</v>
      </c>
      <c r="E5" s="5"/>
      <c r="F5" s="5"/>
      <c r="G5" s="5"/>
    </row>
    <row r="6" spans="1:7" x14ac:dyDescent="0.3">
      <c r="B6" s="12" t="str">
        <f>'Gestion Exigences'!B6</f>
        <v>Projet</v>
      </c>
      <c r="D6" s="12">
        <f>'Gestion Exigences'!D6</f>
        <v>0</v>
      </c>
      <c r="E6" s="5"/>
      <c r="F6" s="5"/>
      <c r="G6" s="5"/>
    </row>
    <row r="7" spans="1:7" x14ac:dyDescent="0.3">
      <c r="B7" s="12" t="str">
        <f>'Gestion Exigences'!B7</f>
        <v>Réf BPA du Devis</v>
      </c>
      <c r="D7" s="12" t="str">
        <f>'Gestion Exigences'!D7</f>
        <v>S0-00xyz</v>
      </c>
      <c r="E7" s="5"/>
      <c r="F7" s="5"/>
      <c r="G7" s="5"/>
    </row>
    <row r="8" spans="1:7" x14ac:dyDescent="0.3">
      <c r="B8" s="12" t="str">
        <f>'Gestion Exigences'!B8</f>
        <v>Réf BPA du Projet</v>
      </c>
      <c r="D8" s="12" t="str">
        <f>'Gestion Exigences'!D8</f>
        <v>PR-22-0xyz</v>
      </c>
      <c r="E8" s="5"/>
      <c r="F8" s="5"/>
      <c r="G8" s="5"/>
    </row>
    <row r="9" spans="1:7" x14ac:dyDescent="0.3">
      <c r="B9" s="4"/>
      <c r="C9" s="12"/>
      <c r="D9" s="5"/>
      <c r="E9" s="5"/>
      <c r="F9" s="5"/>
      <c r="G9" s="5"/>
    </row>
    <row r="10" spans="1:7" x14ac:dyDescent="0.3">
      <c r="B10" s="18" t="str">
        <f>'Gestion Exigences'!B10</f>
        <v>Réf Modèle Document</v>
      </c>
      <c r="C10" s="19" t="str">
        <f>'Gestion Exigences'!D10</f>
        <v>MD203</v>
      </c>
      <c r="D10" s="5"/>
      <c r="E10" s="5"/>
      <c r="F10" s="5"/>
      <c r="G10" s="5"/>
    </row>
    <row r="11" spans="1:7" x14ac:dyDescent="0.3">
      <c r="B11" s="18" t="str">
        <f>'Gestion Exigences'!B11</f>
        <v>Version Modèle Document</v>
      </c>
      <c r="C11" s="19" t="str">
        <f>'Gestion Exigences'!D11</f>
        <v>V1.5</v>
      </c>
      <c r="D11" s="5"/>
      <c r="E11" s="5"/>
      <c r="F11" s="5"/>
      <c r="G11" s="5"/>
    </row>
    <row r="12" spans="1:7" x14ac:dyDescent="0.3">
      <c r="B12" s="4"/>
      <c r="C12" s="5"/>
      <c r="D12" s="5"/>
      <c r="E12" s="5"/>
      <c r="F12" s="5"/>
      <c r="G12" s="5"/>
    </row>
    <row r="13" spans="1:7" x14ac:dyDescent="0.3">
      <c r="B13" s="13" t="s">
        <v>40</v>
      </c>
      <c r="C13" s="13" t="s">
        <v>41</v>
      </c>
      <c r="D13" s="13" t="s">
        <v>42</v>
      </c>
      <c r="E13" s="13" t="s">
        <v>43</v>
      </c>
      <c r="F13" s="13" t="s">
        <v>44</v>
      </c>
      <c r="G13" s="13" t="s">
        <v>45</v>
      </c>
    </row>
    <row r="14" spans="1:7" ht="29.55" customHeight="1" x14ac:dyDescent="0.3">
      <c r="B14" s="6" t="s">
        <v>83</v>
      </c>
      <c r="C14" s="7">
        <v>45342</v>
      </c>
      <c r="D14" s="16" t="s">
        <v>84</v>
      </c>
      <c r="E14" s="6" t="s">
        <v>85</v>
      </c>
      <c r="F14" s="15" t="s">
        <v>86</v>
      </c>
      <c r="G14" s="6" t="s">
        <v>46</v>
      </c>
    </row>
    <row r="15" spans="1:7" x14ac:dyDescent="0.3">
      <c r="B15" s="6" t="s">
        <v>100</v>
      </c>
      <c r="C15" s="26">
        <v>45701</v>
      </c>
      <c r="D15" s="2" t="s">
        <v>103</v>
      </c>
      <c r="E15" s="2" t="s">
        <v>101</v>
      </c>
      <c r="F15" s="15" t="s">
        <v>102</v>
      </c>
      <c r="G15" s="6" t="s">
        <v>46</v>
      </c>
    </row>
    <row r="16" spans="1:7" x14ac:dyDescent="0.3">
      <c r="C16" s="26"/>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baseColWidth="10" defaultColWidth="11.44140625" defaultRowHeight="13.8" x14ac:dyDescent="0.25"/>
  <cols>
    <col min="1" max="2" width="11.44140625" style="10"/>
    <col min="3" max="4" width="19.77734375" style="10" customWidth="1"/>
    <col min="5" max="5" width="23.77734375" style="10" customWidth="1"/>
    <col min="6" max="6" width="14.44140625" style="10" customWidth="1"/>
    <col min="7" max="7" width="23.77734375" style="10" customWidth="1"/>
    <col min="8" max="8" width="25.21875" style="10" customWidth="1"/>
    <col min="9" max="9" width="20.44140625" style="10" customWidth="1"/>
    <col min="10" max="16384" width="11.44140625" style="10"/>
  </cols>
  <sheetData>
    <row r="2" spans="2:9" ht="27.6" x14ac:dyDescent="0.25">
      <c r="B2" s="11" t="s">
        <v>3</v>
      </c>
      <c r="C2" s="11" t="s">
        <v>18</v>
      </c>
      <c r="D2" s="11" t="s">
        <v>47</v>
      </c>
      <c r="E2" s="11" t="s">
        <v>21</v>
      </c>
      <c r="F2" s="11" t="s">
        <v>48</v>
      </c>
      <c r="G2" s="11" t="s">
        <v>24</v>
      </c>
      <c r="H2" s="11" t="s">
        <v>49</v>
      </c>
      <c r="I2" s="11" t="s">
        <v>19</v>
      </c>
    </row>
    <row r="3" spans="2:9" x14ac:dyDescent="0.25">
      <c r="B3" s="10" t="s">
        <v>65</v>
      </c>
      <c r="C3" s="10" t="s">
        <v>50</v>
      </c>
      <c r="D3" s="10" t="s">
        <v>51</v>
      </c>
      <c r="E3" s="10" t="s">
        <v>52</v>
      </c>
      <c r="F3" s="10" t="s">
        <v>53</v>
      </c>
      <c r="G3" s="10" t="s">
        <v>54</v>
      </c>
      <c r="H3" s="10" t="s">
        <v>55</v>
      </c>
      <c r="I3" s="10" t="s">
        <v>74</v>
      </c>
    </row>
    <row r="4" spans="2:9" x14ac:dyDescent="0.25">
      <c r="B4" s="10" t="s">
        <v>69</v>
      </c>
      <c r="C4" s="10" t="s">
        <v>56</v>
      </c>
      <c r="D4" s="10" t="s">
        <v>57</v>
      </c>
      <c r="E4" s="10" t="s">
        <v>58</v>
      </c>
      <c r="F4" s="10" t="s">
        <v>59</v>
      </c>
      <c r="G4" s="10" t="s">
        <v>60</v>
      </c>
      <c r="H4" s="10" t="s">
        <v>61</v>
      </c>
      <c r="I4" s="10" t="s">
        <v>75</v>
      </c>
    </row>
    <row r="5" spans="2:9" x14ac:dyDescent="0.25">
      <c r="B5" s="10" t="s">
        <v>4</v>
      </c>
      <c r="C5" s="10" t="s">
        <v>62</v>
      </c>
      <c r="D5" s="10" t="s">
        <v>63</v>
      </c>
      <c r="E5" s="10" t="s">
        <v>64</v>
      </c>
      <c r="F5" s="10" t="s">
        <v>35</v>
      </c>
      <c r="G5" s="10" t="s">
        <v>35</v>
      </c>
      <c r="H5" s="10" t="s">
        <v>35</v>
      </c>
      <c r="I5" s="10" t="s">
        <v>76</v>
      </c>
    </row>
    <row r="6" spans="2:9" x14ac:dyDescent="0.25">
      <c r="B6" s="10" t="s">
        <v>4</v>
      </c>
      <c r="C6" s="10" t="s">
        <v>66</v>
      </c>
      <c r="D6" s="10" t="s">
        <v>67</v>
      </c>
      <c r="E6" s="10" t="s">
        <v>68</v>
      </c>
      <c r="I6" s="10" t="s">
        <v>77</v>
      </c>
    </row>
    <row r="7" spans="2:9" x14ac:dyDescent="0.25">
      <c r="C7" s="10" t="s">
        <v>70</v>
      </c>
      <c r="D7" s="10" t="s">
        <v>71</v>
      </c>
      <c r="E7" s="10" t="s">
        <v>98</v>
      </c>
      <c r="I7" s="10" t="s">
        <v>78</v>
      </c>
    </row>
    <row r="8" spans="2:9" x14ac:dyDescent="0.25">
      <c r="C8" s="10" t="s">
        <v>97</v>
      </c>
      <c r="E8" s="10" t="s">
        <v>72</v>
      </c>
      <c r="I8" s="10" t="s">
        <v>79</v>
      </c>
    </row>
    <row r="9" spans="2:9" x14ac:dyDescent="0.25">
      <c r="E9" s="10" t="s">
        <v>73</v>
      </c>
      <c r="I9" s="10" t="s">
        <v>80</v>
      </c>
    </row>
    <row r="11" spans="2:9" x14ac:dyDescent="0.25">
      <c r="I11" s="10" t="s">
        <v>81</v>
      </c>
    </row>
    <row r="12" spans="2:9" ht="27.6" x14ac:dyDescent="0.25">
      <c r="I12" s="10" t="s">
        <v>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C7F5C8-10A7-46E2-9254-FCD340138CAF}"/>
</file>

<file path=customXml/itemProps2.xml><?xml version="1.0" encoding="utf-8"?>
<ds:datastoreItem xmlns:ds="http://schemas.openxmlformats.org/officeDocument/2006/customXml" ds:itemID="{85503822-DF13-4051-A489-72B75648E37A}">
  <ds:schemaRefs>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43b908ec-9e92-424c-a4ad-3174bac6e888"/>
    <ds:schemaRef ds:uri="5f2f9e80-f74a-40c7-b145-b94d8e4966f0"/>
    <ds:schemaRef ds:uri="http://purl.org/dc/dcmitype/"/>
    <ds:schemaRef ds:uri="http://purl.org/dc/terms/"/>
  </ds:schemaRefs>
</ds:datastoreItem>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Fiche Client</vt: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Mahdi Besbes</cp:lastModifiedBy>
  <cp:revision/>
  <dcterms:created xsi:type="dcterms:W3CDTF">2000-07-05T17:03:55Z</dcterms:created>
  <dcterms:modified xsi:type="dcterms:W3CDTF">2025-03-11T08:16:42Z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