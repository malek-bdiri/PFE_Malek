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addixo.sharepoint.com/COM/Documents partages/01 Clients/Cotherm/8 SF/05 Digitalisation mur qualité/2 Préparation Offre/"/>
    </mc:Choice>
  </mc:AlternateContent>
  <xr:revisionPtr revIDLastSave="512" documentId="8_{5D6C2885-D684-4667-AE17-5254F08661EA}" xr6:coauthVersionLast="47" xr6:coauthVersionMax="47" xr10:uidLastSave="{3DE589B8-317A-43A0-8BA8-3E98208903C0}"/>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Exigences'!$C$2:$I$21</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9" i="27" l="1"/>
  <c r="Q29" i="27"/>
  <c r="P28" i="27"/>
  <c r="Q28" i="27"/>
  <c r="P15" i="27"/>
  <c r="P16" i="27"/>
  <c r="P17" i="27"/>
  <c r="P18" i="27"/>
  <c r="P19" i="27"/>
  <c r="P20" i="27"/>
  <c r="P21" i="27"/>
  <c r="P22" i="27"/>
  <c r="P23" i="27"/>
  <c r="P24" i="27"/>
  <c r="P25" i="27"/>
  <c r="P26" i="27"/>
  <c r="P27" i="27"/>
  <c r="O14" i="27"/>
  <c r="P14" i="27" s="1"/>
  <c r="Q26" i="27"/>
  <c r="Q25" i="27"/>
  <c r="Q18" i="27" l="1"/>
  <c r="Q19" i="27"/>
  <c r="Q17" i="27"/>
  <c r="O30" i="27"/>
  <c r="Q24" i="27"/>
  <c r="Q22" i="27" l="1"/>
  <c r="Q21" i="27"/>
  <c r="Q23" i="27"/>
  <c r="Q20" i="27"/>
  <c r="Q16" i="27"/>
  <c r="Q15" i="27"/>
  <c r="Q27" i="27"/>
  <c r="D5" i="29"/>
  <c r="D6" i="29"/>
  <c r="D7" i="29"/>
  <c r="D8" i="29"/>
  <c r="C10" i="29"/>
  <c r="C11" i="29"/>
  <c r="B6" i="29"/>
  <c r="B7" i="29"/>
  <c r="B8" i="29"/>
  <c r="B10" i="29"/>
  <c r="B11" i="29"/>
  <c r="B5" i="29"/>
  <c r="Q14" i="27" l="1"/>
  <c r="Q30" i="27" s="1"/>
  <c r="P30" i="27"/>
</calcChain>
</file>

<file path=xl/sharedStrings.xml><?xml version="1.0" encoding="utf-8"?>
<sst xmlns="http://schemas.openxmlformats.org/spreadsheetml/2006/main" count="223" uniqueCount="167">
  <si>
    <t>Gestion Exigences Projet</t>
  </si>
  <si>
    <t>Chiffrage Réalisation (SF only)</t>
  </si>
  <si>
    <t>Revue et Vérification Pendant la Conception</t>
  </si>
  <si>
    <t>BU</t>
  </si>
  <si>
    <t>SF</t>
  </si>
  <si>
    <t>Client</t>
  </si>
  <si>
    <t>Cotherm</t>
  </si>
  <si>
    <t>Projet</t>
  </si>
  <si>
    <t>Mur qualité</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</si>
  <si>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</si>
  <si>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</si>
  <si>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</si>
  <si>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</si>
  <si>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</si>
  <si>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</si>
  <si>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</si>
  <si>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</si>
  <si>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</si>
  <si>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</si>
  <si>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</si>
  <si>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</si>
  <si>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</si>
  <si>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</si>
  <si>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</si>
  <si>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</si>
  <si>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</si>
  <si>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</si>
  <si>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 xml:space="preserve">Phase </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</si>
  <si>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</si>
  <si>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</si>
  <si>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</si>
  <si>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</si>
  <si>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</si>
  <si>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</si>
  <si>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</si>
  <si>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</si>
  <si>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</si>
  <si>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</si>
  <si>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</si>
  <si>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</si>
  <si>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</si>
  <si>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</si>
  <si>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Déclaration des non conformités</t>
  </si>
  <si>
    <t>Déclaration des non-conformités avec défauts et possibilité de joindre des images.</t>
  </si>
  <si>
    <t>La solution proposée simplifie la déclaration des quantités ( OK et NOK) en permettant aux utilisateurs de déclarer les cartons conformes et de signaler les défauts pour les cartons non conformes et d'ajouter des images pour une meilleure compréhension. Les images jointes sont gérées de manière efficace, et les utilisateurs autorisés peuvent mettre à jour les informations de non-conformité.</t>
  </si>
  <si>
    <t>Phase 1</t>
  </si>
  <si>
    <t>RAS</t>
  </si>
  <si>
    <t>N/A</t>
  </si>
  <si>
    <t>E002</t>
  </si>
  <si>
    <t xml:space="preserve"> Notification de la ligne de production</t>
  </si>
  <si>
    <t xml:space="preserve"> Notification de la ligne de production et information via un simple navigateur, une alerte lumineuse, un affichage sur écran, une notification avec description du problème et une photo.</t>
  </si>
  <si>
    <t>Les opérateurs sont instantanément informés des non-conformités detectées au niveau du mur qualité grâce à un popup qui s'affiche sur l'ecran du End  of line.
Cette notification inclue une description détaillée  et une photo du problème ainsi qu'un champ d'authentification de l'opérateur.
L'acquittement de la notification est paramètrable par rôle</t>
  </si>
  <si>
    <t>E003</t>
  </si>
  <si>
    <t xml:space="preserve">Notifcation équipe qualité </t>
  </si>
  <si>
    <t>Envoyer des notifications en temps réel à l'équipe qualité.</t>
  </si>
  <si>
    <t>Les membres de l'équipe qualité sont notifiés en temps réel via browser ou via email lorsqu'une non-conformité est signalée, ce qui leur permet de réagir rapidement. 
Les alertes sont classées en fonction de leur gravité, ce qui permet à l'équipe de prioriser efficacement les actions.</t>
  </si>
  <si>
    <t>E004</t>
  </si>
  <si>
    <t xml:space="preserve">Réapparition des notifications </t>
  </si>
  <si>
    <t xml:space="preserve">Réapparition des notifications lors du changement du shift </t>
  </si>
  <si>
    <t>La solution offre la possibilité de réafficher les notifications des non-conformités les plus récentes lors du changement de shift.</t>
  </si>
  <si>
    <t>E005</t>
  </si>
  <si>
    <t xml:space="preserve">Consultation des défauts à partir de l'interface End of line </t>
  </si>
  <si>
    <t xml:space="preserve">La solution offre la possibilité à l'opérateur de consulter l'historique des notifications des défauts au niveau de l'End of line </t>
  </si>
  <si>
    <t>E006</t>
  </si>
  <si>
    <t>Historique des défauts</t>
  </si>
  <si>
    <t xml:space="preserve">Historique des défauts </t>
  </si>
  <si>
    <t>La solution permet d'enregistrer dans une base de données les quantités non conformes déclarées, ainsi que les défauts qui y sont associés. L'utilisateur peut consulter ces données à travers une interface équipée des filtres  par OF, par produit, par défaut,,,</t>
  </si>
  <si>
    <t>E007</t>
  </si>
  <si>
    <t xml:space="preserve">Création auto QRQC </t>
  </si>
  <si>
    <t>Renseigner un QRQC selon le niveau de la criticité du problème 
NB : ajouter la décision : retouche, blocage, dérogation, rebut</t>
  </si>
  <si>
    <t>E008</t>
  </si>
  <si>
    <t>Extraction des données</t>
  </si>
  <si>
    <t>Extraction des données dans un fichier Excel.</t>
  </si>
  <si>
    <t>Workshop/réunion client</t>
  </si>
  <si>
    <t>ADDIXO Smart Factory permet d'extraire les données via un simple clic vers des fichiers Excel et sous forme d'image</t>
  </si>
  <si>
    <t>E009</t>
  </si>
  <si>
    <t>Utiliser la version standard smart factory</t>
  </si>
  <si>
    <t xml:space="preserve">Porter le module End of line vers la version standard Smart factory </t>
  </si>
  <si>
    <t>E010</t>
  </si>
  <si>
    <t xml:space="preserve">Instrucion de travail </t>
  </si>
  <si>
    <t>En cas de fréquentes occurrences d'un défaut, la solution propose d'intégrer des fiches d'anomalies dans le module "Instruction de travail". Cela permet d'archiver et d'attribuer ces fiches aux produits, offrant un accès instantané en cas de besoin.</t>
  </si>
  <si>
    <t>Phase 2</t>
  </si>
  <si>
    <t>E011</t>
  </si>
  <si>
    <t xml:space="preserve">Fournir un check list à l'équipe qualité des défauts </t>
  </si>
  <si>
    <t xml:space="preserve">Utiliser l'historique des défauts au cours de la phase d'analyse pour fournir un check list à l'équipe qualité des défauts </t>
  </si>
  <si>
    <t>La solution fournit à l'équipe qualité une liste de contrôle des défauts, accessible via une interface dédiée. Cette liste de contrôle, établie à partir de l'historique des non-conformités enregistrées, couvre les défauts les plus courants et leurs causes.
l'équipe qualité peut consulter ou choisir les causes de non-conformités et les affecter à la non confomité détectée sans avoir besoin d'effectuer l'analyse de nouveau.</t>
  </si>
  <si>
    <t>E012</t>
  </si>
  <si>
    <t xml:space="preserve">Retour SF vers M3 </t>
  </si>
  <si>
    <t>Intégration du retour des données vers l'ERP "M3"
Retouche  ERP avec état  Stand by
Blocage attente décision. Prison
Dérogation ERP OK
Rebut ERP KO</t>
  </si>
  <si>
    <t>La solution permet d'intégrer les informations via un service web, assurant une synchronisation sécurisée et rapide des données entre les deux systèmes. Cette intégration consiste à consolider les informations essentielles, notamment le statut de blocage et de libération, le statut "Prison", les retouches en cours, le blocage en attente de décision, les dérogations approuvées et les rejets décidés dans l'ERP "M3".</t>
  </si>
  <si>
    <t>E013</t>
  </si>
  <si>
    <t xml:space="preserve">Défilement de défaut </t>
  </si>
  <si>
    <t>La solution proposée offre une interface permettant de choisir un ensemble de défaut avec leurs descriptions et leurs images. Ces défauts seront par la suite affichés en mode plein écran en défilement. La fréquence de défilement est paramètrable par l'utilisateur.</t>
  </si>
  <si>
    <t>E014</t>
  </si>
  <si>
    <t xml:space="preserve">Tableau de bord </t>
  </si>
  <si>
    <t>Fonctionnelle</t>
  </si>
  <si>
    <t>SF-Fonctionnelle</t>
  </si>
  <si>
    <t>Commerciale</t>
  </si>
  <si>
    <t>Le tableau de bord doit présenter le différents indicateurs clés ficilitant la prise de décision et la planification et le suivi des actions définitives.</t>
  </si>
  <si>
    <t>La solution proposée offre un tableau de bord complet permettant d'afficher des données cruciales, notamment les cinq principaux défauts hebdomadaires et mensuels, l'évolution des défauts au fil des mois, les cinq défauts les plus fréquents par famille de produits, ainsi qu'un accès direct à des listes complètes de défauts et de références. Ce tableau de bord offre une vue d'ensemble des problèmes actuels, des tendances temporelles et des performances par famille de produits.</t>
  </si>
  <si>
    <t>Vérification Poids au niveau du mûr qualité</t>
  </si>
  <si>
    <t>Ajouter des étapes de vérification au cours de la séquence de tarage qui permet de valider manuellement si une action a été effectué</t>
  </si>
  <si>
    <t>Au niveau mûr qualité, ajouter un test par rapport au poids de chaque carton.
Bloquer la déclaration des cartons conformes si le poids est différents du poids déclaré au niveau du End of Line</t>
  </si>
  <si>
    <t>Bouton Dossier de fabrication au niveau du mûr qualité</t>
  </si>
  <si>
    <t>Consulter les documents relatifs à chaque référence au niveau du mûr qualité</t>
  </si>
  <si>
    <t>Ajouter un bouton Dossier de fabrication au niveau de l'interface Mûr Qualité
A l'appui sur ce bouton l'utililsateur est redirectionné vers le module Instruction de travail.</t>
  </si>
  <si>
    <t xml:space="preserve"> </t>
  </si>
  <si>
    <t>Version</t>
  </si>
  <si>
    <t>Date</t>
  </si>
  <si>
    <t>Modifications</t>
  </si>
  <si>
    <t>Auteur(s)</t>
  </si>
  <si>
    <t>Vérificateur(s)</t>
  </si>
  <si>
    <t>Approbateur</t>
  </si>
  <si>
    <t>V1.0</t>
  </si>
  <si>
    <t>Version initaile</t>
  </si>
  <si>
    <t>Nihel K.</t>
  </si>
  <si>
    <t xml:space="preserve">Mahdi B. + FerjaniaB. </t>
  </si>
  <si>
    <t>Imed A.</t>
  </si>
  <si>
    <t>Exigence identifiée pendant la phase</t>
  </si>
  <si>
    <t>Oui/Non</t>
  </si>
  <si>
    <t>Statut Interne</t>
  </si>
  <si>
    <t>SE</t>
  </si>
  <si>
    <t>CdC client</t>
  </si>
  <si>
    <t>Oui</t>
  </si>
  <si>
    <t>Validée par le client</t>
  </si>
  <si>
    <t>Validée</t>
  </si>
  <si>
    <t>*** SE</t>
  </si>
  <si>
    <t>SE-TN</t>
  </si>
  <si>
    <t>Performance</t>
  </si>
  <si>
    <t>Conception</t>
  </si>
  <si>
    <t>Non</t>
  </si>
  <si>
    <t>Non validée par client</t>
  </si>
  <si>
    <t>Non validée</t>
  </si>
  <si>
    <t>SE-Processus</t>
  </si>
  <si>
    <t>SE-MA</t>
  </si>
  <si>
    <t>Reglementaire</t>
  </si>
  <si>
    <t>Réalisation</t>
  </si>
  <si>
    <t>Workshop/réunion Interne</t>
  </si>
  <si>
    <t>SE-Mécanique</t>
  </si>
  <si>
    <t>Phase 3</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</si>
  <si>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</si>
  <si>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</si>
  <si>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</si>
  <si>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</si>
  <si>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</si>
  <si>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</si>
  <si>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</si>
  <si>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</si>
  <si>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</si>
  <si>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</si>
  <si>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</si>
  <si>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</si>
  <si>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</si>
  <si>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</si>
  <si>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</si>
  <si>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</si>
  <si>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</si>
  <si>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</si>
  <si>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</si>
  <si>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</si>
  <si>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SF-Connectivité Machine</t>
  </si>
  <si>
    <t>SF-Intégration SI</t>
  </si>
  <si>
    <t>SF-Software</t>
  </si>
  <si>
    <t>SF-Infra IT</t>
  </si>
  <si>
    <t>*** TC</t>
  </si>
  <si>
    <t>TC-Prestations sur site client</t>
  </si>
  <si>
    <t>La solution proposée permet la gestion des non-conformités en automatisant la création de QRQC en fonction de la gravité des problèmes signalés. 
 Elle intègre également  une mesure d'efficacité et un niveau de décision dans la fiche QRQC, permettant aux responsables de sélectionner des actions adaptées, telles que la retouche, le blocage, la dérogation ou la mise au rebut, en fonction de la gravité du problème. De plus, la possibilité d'ajouter une photo du défaut.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</si>
</sst>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s>
  <fills count="7">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6">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1"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 fillId="6" borderId="0" xfId="0" applyFont="1" applyFill="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54">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1291766</xdr:colOff>
      <xdr:row>2</xdr:row>
      <xdr:rowOff>567443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W30" totalsRowCount="1" headerRowDxfId="53" dataDxfId="52">
  <autoFilter ref="B13:W29" xr:uid="{DDEA2C8B-EE0D-4C55-9256-CCC64E002CE6}">
    <filterColumn colId="8">
      <filters>
        <filter val="Phase 1"/>
      </filters>
    </filterColumn>
  </autoFilter>
  <tableColumns count="22">
    <tableColumn id="1" xr3:uid="{E467E0EE-CDAA-4FF5-85A8-CDC0B23A5AD9}" name="ID" dataDxfId="51" totalsRowDxfId="21"/>
    <tableColumn id="2" xr3:uid="{E53952AC-4972-47BD-8B1D-C7EF23088D0D}" name="Intitulé Exigence" dataDxfId="50" totalsRowDxfId="20"/>
    <tableColumn id="8" xr3:uid="{B2D0BC2C-C803-4015-8FA6-70F84517BDB2}" name="Nature" dataDxfId="49" totalsRowDxfId="19"/>
    <tableColumn id="7" xr3:uid="{24F2F0ED-022E-4EC1-91D8-BFE0E4F2FD36}" name="Catégorie" dataDxfId="48" totalsRowDxfId="18"/>
    <tableColumn id="10" xr3:uid="{1FF81CF1-6D35-421C-8767-9E7FA06FEE6A}" name="Exigence idenfiée pendant la phase" dataDxfId="47" totalsRowDxfId="17"/>
    <tableColumn id="3" xr3:uid="{E7621A68-9552-4853-96A5-92A226EA42DD}" name="Description de l'exigence" dataDxfId="46" totalsRowDxfId="16"/>
    <tableColumn id="9" xr3:uid="{E6EEEC82-3576-4980-94B3-1423906CE531}" name="Source" dataDxfId="45" totalsRowDxfId="15"/>
    <tableColumn id="16" xr3:uid="{1441554A-79F9-4040-9CF5-AEBFF7ADF7D1}" name="Desciption de la solution ADDIXO" dataDxfId="44" totalsRowDxfId="14"/>
    <tableColumn id="23" xr3:uid="{541DBD6D-5667-4B29-AA4E-4F2CCDC784F7}" name="Phase " dataDxfId="43" totalsRowDxfId="13"/>
    <tableColumn id="17" xr3:uid="{D1BC9C86-C3CE-417F-AC83-FC4786A7656D}" name="Ecart entre exigence client et la solution proposée - préciser aussi les limites et hypothèses si applicable" dataDxfId="42" totalsRowDxfId="12"/>
    <tableColumn id="5" xr3:uid="{2649C3B7-E8B9-44F9-8883-E5BB6F91B4B1}" name="Validation Interne" dataDxfId="41" totalsRowDxfId="11"/>
    <tableColumn id="6" xr3:uid="{8CC493F8-0886-498D-AB98-B77300CC6510}" name="Validation Interne par:" dataDxfId="40" totalsRowDxfId="10"/>
    <tableColumn id="15" xr3:uid="{78231C60-0932-4386-925D-4C689A91C0E3}" name="Statut Client" dataDxfId="39" totalsRowDxfId="9"/>
    <tableColumn id="22" xr3:uid="{D944A0FD-E468-407F-91A6-BD8A29086A7B}" name="HJ Dev" totalsRowFunction="sum" dataDxfId="38" totalsRowDxfId="8"/>
    <tableColumn id="21" xr3:uid="{818C68C5-1CC3-4DC9-9BB8-2CB7816ABE9F}" name="HJ Analyse et Test" totalsRowFunction="sum" dataDxfId="37" totalsRowDxfId="7">
      <calculatedColumnFormula>Tableau3[[#This Row],[HJ Dev]]*(35%+15%)</calculatedColumnFormula>
    </tableColumn>
    <tableColumn id="20" xr3:uid="{81CB5860-4285-4425-ABF9-C91F3323BF25}" name="Total HJ" totalsRowFunction="sum" dataDxfId="36" totalsRowDxfId="6">
      <calculatedColumnFormula>Tableau3[[#This Row],[HJ Analyse et Test]]+Tableau3[[#This Row],[HJ Dev]]</calculatedColumnFormula>
    </tableColumn>
    <tableColumn id="11" xr3:uid="{20685332-73A9-4B9D-874E-F1C9F770405F}" name="Description comment la conception de la solution prend en compte l'exigence client" dataDxfId="35" totalsRowDxfId="5"/>
    <tableColumn id="12" xr3:uid="{36B390F4-625A-46E1-864B-7108903FFD96}" name="Conception réalisée par:" dataDxfId="34" totalsRowDxfId="4"/>
    <tableColumn id="13" xr3:uid="{9016419E-83A5-4950-AB28-EA27A0D72FAD}" name="Revue conception réalisée par" dataDxfId="33" totalsRowDxfId="3"/>
    <tableColumn id="14" xr3:uid="{B5F29B7E-09EB-43EF-BD3D-9ADF38F7CC12}" name="Vérification de la conception réalisée par" dataDxfId="32" totalsRowDxfId="2"/>
    <tableColumn id="18" xr3:uid="{0CA25C90-64D6-43D5-90C8-CE6D70CCA638}" name="Preuve de vérification " dataDxfId="31" totalsRowDxfId="1"/>
    <tableColumn id="4" xr3:uid="{B7406A3A-A365-4F76-9A20-372573D19BC9}" name="Notes" dataDxfId="30"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29" dataDxfId="28">
  <autoFilter ref="B13:G18" xr:uid="{96AD1385-A1F5-4391-ABC2-C9F250557626}"/>
  <tableColumns count="6">
    <tableColumn id="1" xr3:uid="{56DA355E-F205-482A-9CF1-CA3361A1D801}" name="Version" dataDxfId="27"/>
    <tableColumn id="2" xr3:uid="{C9D8A0D7-1D6E-479B-AF74-6D39D19E4653}" name="Date" dataDxfId="26"/>
    <tableColumn id="3" xr3:uid="{79109713-8A38-4162-A269-136157905B75}" name="Modifications" dataDxfId="25"/>
    <tableColumn id="4" xr3:uid="{AC928B3E-399C-4A3D-9FB5-9CD96F5D4745}" name="Auteur(s)" dataDxfId="24"/>
    <tableColumn id="5" xr3:uid="{0D0A428D-4F18-4D4E-A0CB-4D1A5057B6E9}" name="Vérificateur(s)" dataDxfId="23"/>
    <tableColumn id="6" xr3:uid="{D81EAB57-FBCA-44D9-8F45-58AF13AA08B6}" name="Approbateur" dataDxfId="22"/>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W30"/>
  <sheetViews>
    <sheetView tabSelected="1" topLeftCell="A15" zoomScaleNormal="100" workbookViewId="0">
      <selection activeCell="B13" sqref="B13:I29"/>
    </sheetView>
  </sheetViews>
  <sheetFormatPr baseColWidth="10" defaultColWidth="11.42578125" defaultRowHeight="12.75" x14ac:dyDescent="0.2"/>
  <cols>
    <col min="1" max="1" width="11.42578125" style="1"/>
    <col min="2" max="2" width="6.140625" style="1" customWidth="1"/>
    <col min="3" max="3" width="27.42578125" style="1" customWidth="1"/>
    <col min="4" max="5" width="18.28515625" style="1" hidden="1" customWidth="1"/>
    <col min="6" max="6" width="19.42578125" style="1" hidden="1" customWidth="1"/>
    <col min="7" max="7" width="56.5703125" style="1" customWidth="1"/>
    <col min="8" max="8" width="18.42578125" style="1" hidden="1" customWidth="1"/>
    <col min="9" max="9" width="108.28515625" style="1" customWidth="1"/>
    <col min="10" max="10" width="12.5703125" style="1" bestFit="1" customWidth="1"/>
    <col min="11" max="11" width="39.5703125" style="1" bestFit="1" customWidth="1"/>
    <col min="12" max="12" width="13.5703125" style="1" hidden="1" customWidth="1"/>
    <col min="13" max="13" width="13.7109375" style="1" hidden="1" customWidth="1"/>
    <col min="14" max="14" width="14.28515625" style="1" hidden="1" customWidth="1"/>
    <col min="15" max="15" width="9.42578125" style="1" bestFit="1" customWidth="1"/>
    <col min="16" max="16" width="15" style="1" bestFit="1" customWidth="1"/>
    <col min="17" max="17" width="10.42578125" style="1" bestFit="1" customWidth="1"/>
    <col min="18" max="18" width="41.7109375" style="1" bestFit="1" customWidth="1"/>
    <col min="19" max="19" width="14.28515625" style="1" bestFit="1" customWidth="1"/>
    <col min="20" max="20" width="19.28515625" style="1" bestFit="1" customWidth="1"/>
    <col min="21" max="21" width="20.7109375" style="1" bestFit="1" customWidth="1"/>
    <col min="22" max="22" width="13.42578125" style="1" bestFit="1" customWidth="1"/>
    <col min="23" max="23" width="30.85546875" style="1" customWidth="1"/>
    <col min="24" max="16384" width="11.42578125" style="1"/>
  </cols>
  <sheetData>
    <row r="1" spans="2:23" ht="13.5" thickBot="1" x14ac:dyDescent="0.25"/>
    <row r="2" spans="2:23" ht="21.75" customHeight="1" thickBot="1" x14ac:dyDescent="0.35">
      <c r="B2" s="37" t="s">
        <v>0</v>
      </c>
      <c r="C2" s="38"/>
      <c r="D2" s="38"/>
      <c r="E2" s="38"/>
      <c r="F2" s="38"/>
      <c r="G2" s="38"/>
      <c r="H2" s="38"/>
      <c r="I2" s="38"/>
      <c r="J2" s="38"/>
      <c r="K2" s="38"/>
      <c r="L2" s="38"/>
      <c r="M2" s="38"/>
      <c r="N2" s="39"/>
      <c r="O2" s="40" t="s">
        <v>1</v>
      </c>
      <c r="P2" s="41"/>
      <c r="Q2" s="42"/>
      <c r="R2" s="34" t="s">
        <v>2</v>
      </c>
      <c r="S2" s="35"/>
      <c r="T2" s="35"/>
      <c r="U2" s="35"/>
      <c r="V2" s="35"/>
      <c r="W2" s="36"/>
    </row>
    <row r="3" spans="2:23" ht="53.25" customHeight="1" x14ac:dyDescent="0.2">
      <c r="C3" s="8"/>
      <c r="D3" s="8"/>
      <c r="E3" s="8"/>
      <c r="F3" s="8"/>
      <c r="G3" s="8"/>
      <c r="H3" s="8"/>
      <c r="I3" s="8"/>
      <c r="J3" s="8"/>
    </row>
    <row r="4" spans="2:23" ht="21" customHeight="1" x14ac:dyDescent="0.2">
      <c r="B4" s="29" t="s">
        <v>3</v>
      </c>
      <c r="C4" s="8"/>
      <c r="D4" s="31" t="s">
        <v>4</v>
      </c>
      <c r="E4" s="8"/>
      <c r="F4" s="8"/>
      <c r="G4" s="8"/>
      <c r="H4" s="8"/>
      <c r="I4" s="8"/>
      <c r="J4" s="8"/>
    </row>
    <row r="5" spans="2:23" ht="21.75" customHeight="1" x14ac:dyDescent="0.25">
      <c r="B5" s="26" t="s">
        <v>5</v>
      </c>
      <c r="D5" s="3" t="s">
        <v>6</v>
      </c>
      <c r="E5" s="3"/>
      <c r="F5" s="3"/>
      <c r="G5" s="3"/>
      <c r="H5" s="3"/>
      <c r="I5" s="3"/>
      <c r="J5" s="3"/>
    </row>
    <row r="6" spans="2:23" ht="21" customHeight="1" thickBot="1" x14ac:dyDescent="0.3">
      <c r="B6" s="26" t="s">
        <v>7</v>
      </c>
      <c r="D6" s="3" t="s">
        <v>8</v>
      </c>
      <c r="E6" s="3"/>
      <c r="F6" s="3"/>
      <c r="G6" s="3"/>
      <c r="H6" s="3"/>
      <c r="I6" s="3"/>
      <c r="J6" s="3"/>
    </row>
    <row r="7" spans="2:23" ht="20.45" customHeight="1" thickBot="1" x14ac:dyDescent="0.3">
      <c r="B7" s="26" t="s">
        <v>9</v>
      </c>
      <c r="D7" s="3" t="s">
        <v>10</v>
      </c>
      <c r="E7" s="3"/>
      <c r="F7" s="3"/>
      <c r="G7" s="30" t="s">
        <v>11</v>
      </c>
      <c r="H7" s="3"/>
      <c r="I7" s="3"/>
      <c r="J7" s="3"/>
    </row>
    <row r="8" spans="2:23" ht="21.6" customHeight="1" x14ac:dyDescent="0.25">
      <c r="B8" s="26" t="s">
        <v>12</v>
      </c>
      <c r="D8" s="3" t="s">
        <v>13</v>
      </c>
      <c r="E8" s="3"/>
      <c r="F8" s="3"/>
      <c r="G8" s="3"/>
      <c r="H8" s="3"/>
      <c r="I8" s="3"/>
      <c r="J8" s="3"/>
    </row>
    <row r="9" spans="2:23" ht="15" x14ac:dyDescent="0.25">
      <c r="C9" s="3"/>
      <c r="D9" s="23"/>
      <c r="E9" s="23"/>
      <c r="F9" s="23"/>
      <c r="G9" s="23"/>
      <c r="H9" s="23"/>
      <c r="I9" s="23"/>
      <c r="J9" s="23"/>
    </row>
    <row r="10" spans="2:23" x14ac:dyDescent="0.2">
      <c r="B10" s="27" t="s">
        <v>14</v>
      </c>
      <c r="C10" s="28"/>
      <c r="D10" s="27" t="s">
        <v>15</v>
      </c>
      <c r="E10" s="9"/>
      <c r="F10" s="9"/>
      <c r="I10" s="21" t="s">
        <v>16</v>
      </c>
      <c r="J10" s="21"/>
    </row>
    <row r="11" spans="2:23" x14ac:dyDescent="0.2">
      <c r="B11" s="27" t="s">
        <v>17</v>
      </c>
      <c r="C11" s="28"/>
      <c r="D11" s="27" t="s">
        <v>18</v>
      </c>
      <c r="E11" s="9"/>
      <c r="F11" s="9"/>
    </row>
    <row r="12" spans="2:23" ht="13.5" thickBot="1" x14ac:dyDescent="0.25"/>
    <row r="13" spans="2:23" s="10" customFormat="1" ht="39" thickBot="1" x14ac:dyDescent="0.25">
      <c r="B13" s="18" t="s">
        <v>19</v>
      </c>
      <c r="C13" s="19" t="s">
        <v>20</v>
      </c>
      <c r="D13" s="19" t="s">
        <v>21</v>
      </c>
      <c r="E13" s="19" t="s">
        <v>22</v>
      </c>
      <c r="F13" s="19" t="s">
        <v>23</v>
      </c>
      <c r="G13" s="19" t="s">
        <v>24</v>
      </c>
      <c r="H13" s="19" t="s">
        <v>25</v>
      </c>
      <c r="I13" s="19" t="s">
        <v>26</v>
      </c>
      <c r="J13" s="19" t="s">
        <v>27</v>
      </c>
      <c r="K13" s="19" t="s">
        <v>28</v>
      </c>
      <c r="L13" s="19" t="s">
        <v>29</v>
      </c>
      <c r="M13" s="19" t="s">
        <v>30</v>
      </c>
      <c r="N13" s="20" t="s">
        <v>31</v>
      </c>
      <c r="O13" s="14" t="s">
        <v>32</v>
      </c>
      <c r="P13" s="14" t="s">
        <v>33</v>
      </c>
      <c r="Q13" s="14" t="s">
        <v>34</v>
      </c>
      <c r="R13" s="15" t="s">
        <v>35</v>
      </c>
      <c r="S13" s="16" t="s">
        <v>36</v>
      </c>
      <c r="T13" s="16" t="s">
        <v>37</v>
      </c>
      <c r="U13" s="16" t="s">
        <v>38</v>
      </c>
      <c r="V13" s="16" t="s">
        <v>39</v>
      </c>
      <c r="W13" s="17" t="s">
        <v>40</v>
      </c>
    </row>
    <row r="14" spans="2:23" s="10" customFormat="1" ht="38.25" x14ac:dyDescent="0.2">
      <c r="B14" s="10" t="s">
        <v>41</v>
      </c>
      <c r="C14" s="10" t="s">
        <v>42</v>
      </c>
      <c r="G14" s="10" t="s">
        <v>43</v>
      </c>
      <c r="I14" s="10" t="s">
        <v>44</v>
      </c>
      <c r="J14" s="10" t="s">
        <v>45</v>
      </c>
      <c r="K14" s="10" t="s">
        <v>46</v>
      </c>
      <c r="O14" s="33">
        <f>4+4</f>
        <v>8</v>
      </c>
      <c r="P14" s="10">
        <f>Tableau3[[#This Row],[HJ Dev]]*(35%+15%)</f>
        <v>4</v>
      </c>
      <c r="Q14" s="10">
        <f>Tableau3[[#This Row],[HJ Analyse et Test]]+Tableau3[[#This Row],[HJ Dev]]</f>
        <v>12</v>
      </c>
      <c r="R14" s="10" t="s">
        <v>47</v>
      </c>
      <c r="S14" s="10" t="s">
        <v>47</v>
      </c>
      <c r="T14" s="10" t="s">
        <v>47</v>
      </c>
      <c r="U14" s="10" t="s">
        <v>47</v>
      </c>
      <c r="V14" s="10" t="s">
        <v>47</v>
      </c>
    </row>
    <row r="15" spans="2:23" s="10" customFormat="1" ht="51" x14ac:dyDescent="0.2">
      <c r="B15" s="10" t="s">
        <v>48</v>
      </c>
      <c r="C15" s="10" t="s">
        <v>49</v>
      </c>
      <c r="G15" s="10" t="s">
        <v>50</v>
      </c>
      <c r="I15" s="10" t="s">
        <v>51</v>
      </c>
      <c r="J15" s="10" t="s">
        <v>45</v>
      </c>
      <c r="K15" s="10" t="s">
        <v>46</v>
      </c>
      <c r="O15" s="10">
        <v>4</v>
      </c>
      <c r="P15" s="10">
        <f>Tableau3[[#This Row],[HJ Dev]]*(35%+15%)</f>
        <v>2</v>
      </c>
      <c r="Q15" s="10">
        <f>Tableau3[[#This Row],[HJ Analyse et Test]]+Tableau3[[#This Row],[HJ Dev]]</f>
        <v>6</v>
      </c>
    </row>
    <row r="16" spans="2:23" s="10" customFormat="1" ht="38.25" x14ac:dyDescent="0.2">
      <c r="B16" s="10" t="s">
        <v>52</v>
      </c>
      <c r="C16" s="10" t="s">
        <v>53</v>
      </c>
      <c r="G16" s="10" t="s">
        <v>54</v>
      </c>
      <c r="I16" s="10" t="s">
        <v>55</v>
      </c>
      <c r="J16" s="10" t="s">
        <v>45</v>
      </c>
      <c r="K16" s="10" t="s">
        <v>46</v>
      </c>
      <c r="O16" s="10">
        <v>4</v>
      </c>
      <c r="P16" s="10">
        <f>Tableau3[[#This Row],[HJ Dev]]*(35%+15%)</f>
        <v>2</v>
      </c>
      <c r="Q16" s="10">
        <f>Tableau3[[#This Row],[HJ Analyse et Test]]+Tableau3[[#This Row],[HJ Dev]]</f>
        <v>6</v>
      </c>
    </row>
    <row r="17" spans="2:23" s="10" customFormat="1" x14ac:dyDescent="0.2">
      <c r="B17" s="10" t="s">
        <v>56</v>
      </c>
      <c r="C17" s="10" t="s">
        <v>57</v>
      </c>
      <c r="G17" s="10" t="s">
        <v>58</v>
      </c>
      <c r="I17" s="10" t="s">
        <v>59</v>
      </c>
      <c r="J17" s="10" t="s">
        <v>45</v>
      </c>
      <c r="K17" s="10" t="s">
        <v>46</v>
      </c>
      <c r="O17" s="10">
        <v>2</v>
      </c>
      <c r="P17" s="10">
        <f>Tableau3[[#This Row],[HJ Dev]]*(35%+15%)</f>
        <v>1</v>
      </c>
      <c r="Q17" s="10">
        <f>Tableau3[[#This Row],[HJ Analyse et Test]]+Tableau3[[#This Row],[HJ Dev]]</f>
        <v>3</v>
      </c>
    </row>
    <row r="18" spans="2:23" s="10" customFormat="1" ht="25.5" x14ac:dyDescent="0.2">
      <c r="B18" s="10" t="s">
        <v>60</v>
      </c>
      <c r="C18" s="10" t="s">
        <v>61</v>
      </c>
      <c r="G18" s="10" t="s">
        <v>61</v>
      </c>
      <c r="I18" s="10" t="s">
        <v>62</v>
      </c>
      <c r="J18" s="10" t="s">
        <v>45</v>
      </c>
      <c r="K18" s="10" t="s">
        <v>46</v>
      </c>
      <c r="O18" s="10">
        <v>1</v>
      </c>
      <c r="P18" s="10">
        <f>Tableau3[[#This Row],[HJ Dev]]*(35%+15%)</f>
        <v>0.5</v>
      </c>
      <c r="Q18" s="10">
        <f>Tableau3[[#This Row],[HJ Analyse et Test]]+Tableau3[[#This Row],[HJ Dev]]</f>
        <v>1.5</v>
      </c>
    </row>
    <row r="19" spans="2:23" s="10" customFormat="1" ht="25.5" x14ac:dyDescent="0.2">
      <c r="B19" s="10" t="s">
        <v>63</v>
      </c>
      <c r="C19" s="10" t="s">
        <v>64</v>
      </c>
      <c r="G19" s="10" t="s">
        <v>65</v>
      </c>
      <c r="I19" s="10" t="s">
        <v>66</v>
      </c>
      <c r="J19" s="10" t="s">
        <v>45</v>
      </c>
      <c r="K19" s="10" t="s">
        <v>46</v>
      </c>
      <c r="O19" s="10">
        <v>3</v>
      </c>
      <c r="P19" s="10">
        <f>Tableau3[[#This Row],[HJ Dev]]*(35%+15%)</f>
        <v>1.5</v>
      </c>
      <c r="Q19" s="10">
        <f>Tableau3[[#This Row],[HJ Analyse et Test]]+Tableau3[[#This Row],[HJ Dev]]</f>
        <v>4.5</v>
      </c>
    </row>
    <row r="20" spans="2:23" s="10" customFormat="1" ht="63.75" x14ac:dyDescent="0.2">
      <c r="B20" s="10" t="s">
        <v>67</v>
      </c>
      <c r="C20" s="10" t="s">
        <v>68</v>
      </c>
      <c r="G20" s="10" t="s">
        <v>69</v>
      </c>
      <c r="I20" s="10" t="s">
        <v>166</v>
      </c>
      <c r="J20" s="10" t="s">
        <v>45</v>
      </c>
      <c r="K20" s="10" t="s">
        <v>46</v>
      </c>
      <c r="O20" s="10">
        <v>5</v>
      </c>
      <c r="P20" s="10">
        <f>Tableau3[[#This Row],[HJ Dev]]*(35%+15%)</f>
        <v>2.5</v>
      </c>
      <c r="Q20" s="10">
        <f>Tableau3[[#This Row],[HJ Analyse et Test]]+Tableau3[[#This Row],[HJ Dev]]</f>
        <v>7.5</v>
      </c>
    </row>
    <row r="21" spans="2:23" s="10" customFormat="1" ht="25.5" x14ac:dyDescent="0.2">
      <c r="B21" s="10" t="s">
        <v>70</v>
      </c>
      <c r="C21" s="10" t="s">
        <v>71</v>
      </c>
      <c r="G21" s="10" t="s">
        <v>72</v>
      </c>
      <c r="H21" s="10" t="s">
        <v>73</v>
      </c>
      <c r="I21" s="10" t="s">
        <v>74</v>
      </c>
      <c r="J21" s="10" t="s">
        <v>45</v>
      </c>
      <c r="K21" s="10" t="s">
        <v>46</v>
      </c>
      <c r="O21" s="10">
        <v>2</v>
      </c>
      <c r="P21" s="10">
        <f>Tableau3[[#This Row],[HJ Dev]]*(35%+15%)</f>
        <v>1</v>
      </c>
      <c r="Q21" s="10">
        <f>Tableau3[[#This Row],[HJ Analyse et Test]]+Tableau3[[#This Row],[HJ Dev]]</f>
        <v>3</v>
      </c>
    </row>
    <row r="22" spans="2:23" s="10" customFormat="1" ht="25.5" x14ac:dyDescent="0.2">
      <c r="B22" s="10" t="s">
        <v>75</v>
      </c>
      <c r="C22" s="10" t="s">
        <v>76</v>
      </c>
      <c r="G22" s="10" t="s">
        <v>76</v>
      </c>
      <c r="I22" s="10" t="s">
        <v>77</v>
      </c>
      <c r="J22" s="10" t="s">
        <v>45</v>
      </c>
      <c r="K22" s="10" t="s">
        <v>46</v>
      </c>
      <c r="O22" s="10">
        <v>3</v>
      </c>
      <c r="P22" s="10">
        <f>Tableau3[[#This Row],[HJ Dev]]*(35%+15%)</f>
        <v>1.5</v>
      </c>
      <c r="Q22" s="10">
        <f>Tableau3[[#This Row],[HJ Analyse et Test]]+Tableau3[[#This Row],[HJ Dev]]</f>
        <v>4.5</v>
      </c>
    </row>
    <row r="23" spans="2:23" s="10" customFormat="1" ht="38.25" hidden="1" x14ac:dyDescent="0.2">
      <c r="B23" s="10" t="s">
        <v>78</v>
      </c>
      <c r="C23" s="10" t="s">
        <v>79</v>
      </c>
      <c r="G23" s="10" t="s">
        <v>79</v>
      </c>
      <c r="I23" s="10" t="s">
        <v>80</v>
      </c>
      <c r="J23" s="10" t="s">
        <v>81</v>
      </c>
      <c r="K23" s="10" t="s">
        <v>46</v>
      </c>
      <c r="O23" s="10">
        <v>0</v>
      </c>
      <c r="P23" s="10">
        <f>Tableau3[[#This Row],[HJ Dev]]*(35%+15%)</f>
        <v>0</v>
      </c>
      <c r="Q23" s="10">
        <f>Tableau3[[#This Row],[HJ Analyse et Test]]+Tableau3[[#This Row],[HJ Dev]]</f>
        <v>0</v>
      </c>
    </row>
    <row r="24" spans="2:23" s="10" customFormat="1" ht="63.75" hidden="1" x14ac:dyDescent="0.2">
      <c r="B24" s="10" t="s">
        <v>82</v>
      </c>
      <c r="C24" s="10" t="s">
        <v>83</v>
      </c>
      <c r="G24" s="10" t="s">
        <v>84</v>
      </c>
      <c r="I24" s="10" t="s">
        <v>85</v>
      </c>
      <c r="J24" s="10" t="s">
        <v>81</v>
      </c>
      <c r="K24" s="10" t="s">
        <v>46</v>
      </c>
      <c r="O24" s="10">
        <v>3</v>
      </c>
      <c r="P24" s="10">
        <f>Tableau3[[#This Row],[HJ Dev]]*(35%+15%)</f>
        <v>1.5</v>
      </c>
      <c r="Q24" s="10">
        <f>Tableau3[[#This Row],[HJ Analyse et Test]]+Tableau3[[#This Row],[HJ Dev]]</f>
        <v>4.5</v>
      </c>
    </row>
    <row r="25" spans="2:23" s="10" customFormat="1" ht="63.75" hidden="1" x14ac:dyDescent="0.2">
      <c r="B25" s="10" t="s">
        <v>86</v>
      </c>
      <c r="C25" s="10" t="s">
        <v>87</v>
      </c>
      <c r="G25" s="10" t="s">
        <v>88</v>
      </c>
      <c r="I25" s="10" t="s">
        <v>89</v>
      </c>
      <c r="J25" s="10" t="s">
        <v>81</v>
      </c>
      <c r="K25" s="10" t="s">
        <v>46</v>
      </c>
      <c r="O25" s="10">
        <v>10</v>
      </c>
      <c r="P25" s="10">
        <f>Tableau3[[#This Row],[HJ Dev]]*(35%+15%)</f>
        <v>5</v>
      </c>
      <c r="Q25" s="10">
        <f>Tableau3[[#This Row],[HJ Analyse et Test]]+Tableau3[[#This Row],[HJ Dev]]</f>
        <v>15</v>
      </c>
    </row>
    <row r="26" spans="2:23" s="10" customFormat="1" ht="38.25" hidden="1" x14ac:dyDescent="0.2">
      <c r="B26" s="10" t="s">
        <v>90</v>
      </c>
      <c r="C26" s="10" t="s">
        <v>91</v>
      </c>
      <c r="G26" s="10" t="s">
        <v>91</v>
      </c>
      <c r="I26" s="10" t="s">
        <v>92</v>
      </c>
      <c r="J26" s="10" t="s">
        <v>81</v>
      </c>
      <c r="K26" s="10" t="s">
        <v>46</v>
      </c>
      <c r="O26" s="10">
        <v>5</v>
      </c>
      <c r="P26" s="10">
        <f>Tableau3[[#This Row],[HJ Dev]]*(35%+15%)</f>
        <v>2.5</v>
      </c>
      <c r="Q26" s="10">
        <f>Tableau3[[#This Row],[HJ Analyse et Test]]+Tableau3[[#This Row],[HJ Dev]]</f>
        <v>7.5</v>
      </c>
    </row>
    <row r="27" spans="2:23" s="10" customFormat="1" ht="63.75" hidden="1" x14ac:dyDescent="0.2">
      <c r="B27" s="10" t="s">
        <v>93</v>
      </c>
      <c r="C27" s="10" t="s">
        <v>94</v>
      </c>
      <c r="D27" s="10" t="s">
        <v>95</v>
      </c>
      <c r="E27" s="10" t="s">
        <v>96</v>
      </c>
      <c r="F27" s="10" t="s">
        <v>97</v>
      </c>
      <c r="G27" s="10" t="s">
        <v>98</v>
      </c>
      <c r="I27" s="10" t="s">
        <v>99</v>
      </c>
      <c r="J27" s="10" t="s">
        <v>81</v>
      </c>
      <c r="K27" s="10" t="s">
        <v>46</v>
      </c>
      <c r="O27" s="10">
        <v>15</v>
      </c>
      <c r="P27" s="10">
        <f>Tableau3[[#This Row],[HJ Dev]]*(35%+15%)</f>
        <v>7.5</v>
      </c>
      <c r="Q27" s="10">
        <f>Tableau3[[#This Row],[HJ Analyse et Test]]+Tableau3[[#This Row],[HJ Dev]]</f>
        <v>22.5</v>
      </c>
    </row>
    <row r="28" spans="2:23" s="10" customFormat="1" ht="25.5" x14ac:dyDescent="0.2">
      <c r="B28" s="10" t="s">
        <v>78</v>
      </c>
      <c r="C28" s="10" t="s">
        <v>100</v>
      </c>
      <c r="G28" s="10" t="s">
        <v>101</v>
      </c>
      <c r="I28" s="10" t="s">
        <v>102</v>
      </c>
      <c r="J28" s="10" t="s">
        <v>45</v>
      </c>
      <c r="K28" s="10" t="s">
        <v>46</v>
      </c>
      <c r="O28" s="10">
        <v>2</v>
      </c>
      <c r="P28" s="10">
        <f>Tableau3[[#This Row],[HJ Dev]]*(35%+15%)</f>
        <v>1</v>
      </c>
      <c r="Q28" s="10">
        <f>Tableau3[[#This Row],[HJ Analyse et Test]]+Tableau3[[#This Row],[HJ Dev]]</f>
        <v>3</v>
      </c>
    </row>
    <row r="29" spans="2:23" s="10" customFormat="1" ht="25.5" x14ac:dyDescent="0.2">
      <c r="B29" s="10" t="s">
        <v>82</v>
      </c>
      <c r="C29" s="10" t="s">
        <v>103</v>
      </c>
      <c r="G29" s="10" t="s">
        <v>104</v>
      </c>
      <c r="I29" s="10" t="s">
        <v>105</v>
      </c>
      <c r="J29" s="10" t="s">
        <v>45</v>
      </c>
      <c r="K29" s="10" t="s">
        <v>46</v>
      </c>
      <c r="O29" s="10">
        <v>1</v>
      </c>
      <c r="P29" s="10">
        <f>Tableau3[[#This Row],[HJ Dev]]*(35%+15%)</f>
        <v>0.5</v>
      </c>
      <c r="Q29" s="10">
        <f>Tableau3[[#This Row],[HJ Analyse et Test]]+Tableau3[[#This Row],[HJ Dev]]</f>
        <v>1.5</v>
      </c>
    </row>
    <row r="30" spans="2:23" x14ac:dyDescent="0.2">
      <c r="B30" s="10"/>
      <c r="C30" s="10"/>
      <c r="D30" s="10"/>
      <c r="E30" s="10"/>
      <c r="F30" s="10"/>
      <c r="G30" s="10"/>
      <c r="H30" s="10"/>
      <c r="I30" s="10"/>
      <c r="J30" s="10"/>
      <c r="K30" s="10"/>
      <c r="L30" s="10"/>
      <c r="M30" s="10"/>
      <c r="N30" s="10"/>
      <c r="O30" s="10">
        <f>SUBTOTAL(109,Tableau3[HJ Dev])</f>
        <v>35</v>
      </c>
      <c r="P30" s="10">
        <f>SUBTOTAL(109,Tableau3[HJ Analyse et Test])</f>
        <v>17.5</v>
      </c>
      <c r="Q30" s="10">
        <f>SUBTOTAL(109,Tableau3[Total HJ])</f>
        <v>52.5</v>
      </c>
      <c r="R30" s="10"/>
      <c r="S30" s="10"/>
      <c r="T30" s="10"/>
      <c r="U30" s="10"/>
      <c r="V30" s="10"/>
      <c r="W30" s="10"/>
    </row>
  </sheetData>
  <mergeCells count="3">
    <mergeCell ref="R2:W2"/>
    <mergeCell ref="B2:N2"/>
    <mergeCell ref="O2:Q2"/>
  </mergeCells>
  <phoneticPr fontId="2" type="noConversion"/>
  <dataValidations count="2">
    <dataValidation type="whole" operator="greaterThanOrEqual" allowBlank="1" showInputMessage="1" showErrorMessage="1" sqref="O24:Q27 P21:Q23 O23 O14:O20 Q14:Q20 P15:P20" xr:uid="{10E2E794-3894-4CC1-AB1A-9BB5BF41EABB}">
      <formula1>0</formula1>
    </dataValidation>
    <dataValidation operator="greaterThanOrEqual" allowBlank="1" showInputMessage="1" showErrorMessage="1" sqref="P14" xr:uid="{36FAC47C-761E-44C7-817B-C5F3BD277693}"/>
  </dataValidations>
  <pageMargins left="0.7" right="0.7" top="0.75" bottom="0.75" header="0.3" footer="0.3"/>
  <pageSetup paperSize="9" scale="75"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9E253E9F-6967-4CE3-BEC2-E6EF086F8550}">
          <x14:formula1>
            <xm:f>Params!$B$3:$B$10</xm:f>
          </x14:formula1>
          <xm:sqref>D4</xm:sqref>
        </x14:dataValidation>
        <x14:dataValidation type="list" allowBlank="1" showInputMessage="1" showErrorMessage="1" xr:uid="{C43D2377-E8A5-4EC4-8F56-2516FCD07F2A}">
          <x14:formula1>
            <xm:f>Params!$E$3:$E$12</xm:f>
          </x14:formula1>
          <xm:sqref>H21:H22 H27</xm:sqref>
        </x14:dataValidation>
        <x14:dataValidation type="list" allowBlank="1" showInputMessage="1" showErrorMessage="1" xr:uid="{63E576AD-8CDE-4B1B-8DEC-1BE67CC8DE6D}">
          <x14:formula1>
            <xm:f>Params!$D$3:$D$10</xm:f>
          </x14:formula1>
          <xm:sqref>F21:F22 F27</xm:sqref>
        </x14:dataValidation>
        <x14:dataValidation type="list" allowBlank="1" showInputMessage="1" showErrorMessage="1" xr:uid="{63FB3CBD-0303-4DD5-A1D9-0AE10EE7B36C}">
          <x14:formula1>
            <xm:f>Params!$C$3:$C$10</xm:f>
          </x14:formula1>
          <xm:sqref>D21:D22 D27</xm:sqref>
        </x14:dataValidation>
        <x14:dataValidation type="list" allowBlank="1" showInputMessage="1" showErrorMessage="1" xr:uid="{ACD971DD-EBC0-49A2-8B0F-955749BFC348}">
          <x14:formula1>
            <xm:f>Params!$I$3:$I$19</xm:f>
          </x14:formula1>
          <xm:sqref>E21:E22 E27</xm:sqref>
        </x14:dataValidation>
        <x14:dataValidation type="list" allowBlank="1" showInputMessage="1" showErrorMessage="1" xr:uid="{06B2A4DB-2A94-4B0B-971B-CDFF438E23BA}">
          <x14:formula1>
            <xm:f>Params!$G$3:$G$9</xm:f>
          </x14:formula1>
          <xm:sqref>N23:N27 N14:N20</xm:sqref>
        </x14:dataValidation>
        <x14:dataValidation type="list" allowBlank="1" showInputMessage="1" showErrorMessage="1" xr:uid="{1F2CF1C1-BE35-4DC9-A975-F49F788F3D6A}">
          <x14:formula1>
            <xm:f>Params!$H$3:$H$6</xm:f>
          </x14:formula1>
          <xm:sqref>L23:L27 L14:L20</xm:sqref>
        </x14:dataValidation>
        <x14:dataValidation type="list" allowBlank="1" showInputMessage="1" showErrorMessage="1" xr:uid="{73BCC8B2-0A62-4D97-8AA7-64C19AC774B1}">
          <x14:formula1>
            <xm:f>Params!$J$3:$J$5</xm:f>
          </x14:formula1>
          <xm:sqref>J14:J29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A18" activeCellId="1" sqref="B14:G14 A18"/>
    </sheetView>
  </sheetViews>
  <sheetFormatPr baseColWidth="10" defaultColWidth="11.42578125" defaultRowHeight="15" x14ac:dyDescent="0.2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75" thickBot="1" x14ac:dyDescent="0.3"/>
    <row r="3" spans="1:7" ht="24" customHeight="1" thickBot="1" x14ac:dyDescent="0.3">
      <c r="A3" s="2" t="s">
        <v>106</v>
      </c>
      <c r="B3" s="43" t="s">
        <v>0</v>
      </c>
      <c r="C3" s="44"/>
      <c r="D3" s="44"/>
      <c r="E3" s="44"/>
      <c r="F3" s="44"/>
      <c r="G3" s="45"/>
    </row>
    <row r="4" spans="1:7" x14ac:dyDescent="0.25">
      <c r="B4" s="4"/>
      <c r="C4" s="5"/>
      <c r="D4" s="5"/>
      <c r="E4" s="5"/>
      <c r="F4" s="5"/>
      <c r="G4" s="5"/>
    </row>
    <row r="5" spans="1:7" x14ac:dyDescent="0.25">
      <c r="B5" s="12" t="str">
        <f>'Gestion Exigences'!B5</f>
        <v>Client</v>
      </c>
      <c r="D5" s="12" t="str">
        <f>'Gestion Exigences'!D5</f>
        <v>Cotherm</v>
      </c>
      <c r="E5" s="5"/>
      <c r="F5" s="5"/>
      <c r="G5" s="5"/>
    </row>
    <row r="6" spans="1:7" x14ac:dyDescent="0.25">
      <c r="B6" s="12" t="str">
        <f>'Gestion Exigences'!B6</f>
        <v>Projet</v>
      </c>
      <c r="D6" s="12" t="str">
        <f>'Gestion Exigences'!D6</f>
        <v>Mur qualité</v>
      </c>
      <c r="E6" s="5"/>
      <c r="F6" s="5"/>
      <c r="G6" s="5"/>
    </row>
    <row r="7" spans="1:7" x14ac:dyDescent="0.25">
      <c r="B7" s="12" t="str">
        <f>'Gestion Exigences'!B7</f>
        <v>Réf BPA du Devis</v>
      </c>
      <c r="D7" s="12" t="str">
        <f>'Gestion Exigences'!D7</f>
        <v>S0-00xyz</v>
      </c>
      <c r="E7" s="5"/>
      <c r="F7" s="5"/>
      <c r="G7" s="5"/>
    </row>
    <row r="8" spans="1:7" x14ac:dyDescent="0.25">
      <c r="B8" s="12" t="str">
        <f>'Gestion Exigences'!B8</f>
        <v>Réf BPA du Projet</v>
      </c>
      <c r="D8" s="12" t="str">
        <f>'Gestion Exigences'!D8</f>
        <v>PR-22-0xyz</v>
      </c>
      <c r="E8" s="5"/>
      <c r="F8" s="5"/>
      <c r="G8" s="5"/>
    </row>
    <row r="9" spans="1:7" x14ac:dyDescent="0.25">
      <c r="B9" s="4"/>
      <c r="C9" s="12"/>
      <c r="D9" s="5"/>
      <c r="E9" s="5"/>
      <c r="F9" s="5"/>
      <c r="G9" s="5"/>
    </row>
    <row r="10" spans="1:7" x14ac:dyDescent="0.25">
      <c r="B10" s="24" t="str">
        <f>'Gestion Exigences'!B10</f>
        <v>Réf Modèle Document</v>
      </c>
      <c r="C10" s="25" t="str">
        <f>'Gestion Exigences'!D10</f>
        <v>MD203</v>
      </c>
      <c r="D10" s="5"/>
      <c r="E10" s="5"/>
      <c r="F10" s="5"/>
      <c r="G10" s="5"/>
    </row>
    <row r="11" spans="1:7" x14ac:dyDescent="0.25">
      <c r="B11" s="24" t="str">
        <f>'Gestion Exigences'!B11</f>
        <v>Version Modèle Document</v>
      </c>
      <c r="C11" s="25" t="str">
        <f>'Gestion Exigences'!D11</f>
        <v>V1.5</v>
      </c>
      <c r="D11" s="5"/>
      <c r="E11" s="5"/>
      <c r="F11" s="5"/>
      <c r="G11" s="5"/>
    </row>
    <row r="12" spans="1:7" x14ac:dyDescent="0.25">
      <c r="B12" s="4"/>
      <c r="C12" s="5"/>
      <c r="D12" s="5"/>
      <c r="E12" s="5"/>
      <c r="F12" s="5"/>
      <c r="G12" s="5"/>
    </row>
    <row r="13" spans="1:7" x14ac:dyDescent="0.25">
      <c r="B13" s="13" t="s">
        <v>107</v>
      </c>
      <c r="C13" s="13" t="s">
        <v>108</v>
      </c>
      <c r="D13" s="13" t="s">
        <v>109</v>
      </c>
      <c r="E13" s="13" t="s">
        <v>110</v>
      </c>
      <c r="F13" s="13" t="s">
        <v>111</v>
      </c>
      <c r="G13" s="13" t="s">
        <v>112</v>
      </c>
    </row>
    <row r="14" spans="1:7" ht="29.45" customHeight="1" x14ac:dyDescent="0.25">
      <c r="B14" s="6" t="s">
        <v>113</v>
      </c>
      <c r="C14" s="7">
        <v>45219</v>
      </c>
      <c r="D14" s="22" t="s">
        <v>114</v>
      </c>
      <c r="E14" s="6" t="s">
        <v>115</v>
      </c>
      <c r="F14" s="22" t="s">
        <v>116</v>
      </c>
      <c r="G14" s="6" t="s">
        <v>117</v>
      </c>
    </row>
    <row r="15" spans="1:7" x14ac:dyDescent="0.25">
      <c r="C15" s="32"/>
    </row>
    <row r="16" spans="1:7" x14ac:dyDescent="0.25">
      <c r="C16" s="32"/>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22"/>
  <sheetViews>
    <sheetView workbookViewId="0">
      <selection activeCell="F14" sqref="F14"/>
    </sheetView>
  </sheetViews>
  <sheetFormatPr baseColWidth="10" defaultColWidth="11.42578125" defaultRowHeight="12.75" x14ac:dyDescent="0.2"/>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10" ht="25.5" x14ac:dyDescent="0.2">
      <c r="B2" s="11" t="s">
        <v>3</v>
      </c>
      <c r="C2" s="11" t="s">
        <v>21</v>
      </c>
      <c r="D2" s="11" t="s">
        <v>118</v>
      </c>
      <c r="E2" s="11" t="s">
        <v>25</v>
      </c>
      <c r="F2" s="11" t="s">
        <v>119</v>
      </c>
      <c r="G2" s="11" t="s">
        <v>31</v>
      </c>
      <c r="H2" s="11" t="s">
        <v>120</v>
      </c>
      <c r="I2" s="11" t="s">
        <v>22</v>
      </c>
      <c r="J2" s="10" t="s">
        <v>27</v>
      </c>
    </row>
    <row r="3" spans="2:10" x14ac:dyDescent="0.2">
      <c r="B3" s="10" t="s">
        <v>121</v>
      </c>
      <c r="C3" s="10" t="s">
        <v>95</v>
      </c>
      <c r="D3" s="10" t="s">
        <v>97</v>
      </c>
      <c r="E3" s="10" t="s">
        <v>122</v>
      </c>
      <c r="F3" s="10" t="s">
        <v>123</v>
      </c>
      <c r="G3" s="10" t="s">
        <v>124</v>
      </c>
      <c r="H3" s="10" t="s">
        <v>125</v>
      </c>
      <c r="I3" s="10" t="s">
        <v>126</v>
      </c>
      <c r="J3" s="10" t="s">
        <v>45</v>
      </c>
    </row>
    <row r="4" spans="2:10" x14ac:dyDescent="0.2">
      <c r="B4" s="10" t="s">
        <v>127</v>
      </c>
      <c r="C4" s="10" t="s">
        <v>128</v>
      </c>
      <c r="D4" s="10" t="s">
        <v>129</v>
      </c>
      <c r="E4" s="10" t="s">
        <v>73</v>
      </c>
      <c r="F4" s="10" t="s">
        <v>130</v>
      </c>
      <c r="G4" s="10" t="s">
        <v>131</v>
      </c>
      <c r="H4" s="10" t="s">
        <v>132</v>
      </c>
      <c r="I4" s="10" t="s">
        <v>133</v>
      </c>
      <c r="J4" s="10" t="s">
        <v>81</v>
      </c>
    </row>
    <row r="5" spans="2:10" x14ac:dyDescent="0.2">
      <c r="B5" s="10" t="s">
        <v>134</v>
      </c>
      <c r="C5" s="10" t="s">
        <v>135</v>
      </c>
      <c r="D5" s="10" t="s">
        <v>136</v>
      </c>
      <c r="E5" s="10" t="s">
        <v>137</v>
      </c>
      <c r="F5" s="10" t="s">
        <v>47</v>
      </c>
      <c r="G5" s="10" t="s">
        <v>47</v>
      </c>
      <c r="H5" s="10" t="s">
        <v>47</v>
      </c>
      <c r="I5" s="10" t="s">
        <v>138</v>
      </c>
      <c r="J5" s="10" t="s">
        <v>139</v>
      </c>
    </row>
    <row r="6" spans="2:10" x14ac:dyDescent="0.2">
      <c r="B6" s="10" t="s">
        <v>4</v>
      </c>
      <c r="C6" s="10" t="s">
        <v>140</v>
      </c>
      <c r="D6" s="10" t="s">
        <v>141</v>
      </c>
      <c r="E6" s="10" t="s">
        <v>142</v>
      </c>
      <c r="I6" s="10" t="s">
        <v>143</v>
      </c>
    </row>
    <row r="7" spans="2:10" x14ac:dyDescent="0.2">
      <c r="B7" s="10" t="s">
        <v>144</v>
      </c>
      <c r="C7" s="10" t="s">
        <v>145</v>
      </c>
      <c r="D7" s="10" t="s">
        <v>146</v>
      </c>
      <c r="E7" s="10" t="s">
        <v>147</v>
      </c>
      <c r="I7" s="10" t="s">
        <v>148</v>
      </c>
    </row>
    <row r="8" spans="2:10" x14ac:dyDescent="0.2">
      <c r="B8" s="10" t="s">
        <v>149</v>
      </c>
      <c r="C8" s="10" t="s">
        <v>150</v>
      </c>
      <c r="E8" s="10" t="s">
        <v>151</v>
      </c>
      <c r="I8" s="10" t="s">
        <v>152</v>
      </c>
    </row>
    <row r="9" spans="2:10" x14ac:dyDescent="0.2">
      <c r="B9" s="10" t="s">
        <v>153</v>
      </c>
      <c r="E9" s="10" t="s">
        <v>154</v>
      </c>
      <c r="I9" s="10" t="s">
        <v>155</v>
      </c>
    </row>
    <row r="10" spans="2:10" x14ac:dyDescent="0.2">
      <c r="I10" s="10" t="s">
        <v>156</v>
      </c>
    </row>
    <row r="11" spans="2:10" x14ac:dyDescent="0.2">
      <c r="I11" s="10" t="s">
        <v>157</v>
      </c>
    </row>
    <row r="13" spans="2:10" x14ac:dyDescent="0.2">
      <c r="I13" s="10" t="s">
        <v>158</v>
      </c>
    </row>
    <row r="14" spans="2:10" x14ac:dyDescent="0.2">
      <c r="I14" s="10" t="s">
        <v>159</v>
      </c>
    </row>
    <row r="15" spans="2:10" x14ac:dyDescent="0.2">
      <c r="I15" s="10" t="s">
        <v>96</v>
      </c>
    </row>
    <row r="16" spans="2:10" x14ac:dyDescent="0.2">
      <c r="I16" s="10" t="s">
        <v>160</v>
      </c>
    </row>
    <row r="17" spans="9:9" x14ac:dyDescent="0.2">
      <c r="I17" s="10" t="s">
        <v>161</v>
      </c>
    </row>
    <row r="18" spans="9:9" x14ac:dyDescent="0.2">
      <c r="I18" s="10" t="s">
        <v>162</v>
      </c>
    </row>
    <row r="19" spans="9:9" x14ac:dyDescent="0.2">
      <c r="I19" s="10" t="s">
        <v>163</v>
      </c>
    </row>
    <row r="21" spans="9:9" x14ac:dyDescent="0.2">
      <c r="I21" s="10" t="s">
        <v>164</v>
      </c>
    </row>
    <row r="22" spans="9:9" ht="25.5" x14ac:dyDescent="0.2">
      <c r="I22" s="10" t="s">
        <v>165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Props1.xml><?xml version="1.0" encoding="utf-8"?>
<ds:datastoreItem xmlns:ds="http://schemas.openxmlformats.org/officeDocument/2006/customXml" ds:itemID="{AFB3EF8A-5617-4AD2-9AF6-C19EDE8A256D}"/>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85503822-DF13-4051-A489-72B75648E37A}">
  <ds:schemaRefs>
    <ds:schemaRef ds:uri="http://www.w3.org/XML/1998/namespace"/>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98d07ac0-315d-4ba4-a3f8-0e1dfb824eb0"/>
    <ds:schemaRef ds:uri="http://purl.org/dc/dcmitype/"/>
    <ds:schemaRef ds:uri="f681d081-fe2e-4389-8dd1-c7421b0f7b6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2024-05-15T08:09:26Z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