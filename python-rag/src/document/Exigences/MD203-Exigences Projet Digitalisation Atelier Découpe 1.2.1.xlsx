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momsoftware.sharepoint.com/sites/Commercial/Documents partages/04 Clients/009 COGITEL/18 Phase 0   Atelier Decoupe Fin Ligne/2 Préparation Offre/"/>
    </mc:Choice>
  </mc:AlternateContent>
  <xr:revisionPtr revIDLastSave="4" documentId="8_{46F3E770-C115-446E-BE80-74CE8C6D632B}" xr6:coauthVersionLast="47" xr6:coauthVersionMax="47" xr10:uidLastSave="{81E473DF-AB8F-478E-B045-4870CBAF6812}"/>
  <bookViews>
    <workbookView xWindow="-110" yWindow="-110" windowWidth="19420" windowHeight="10420" tabRatio="620" xr2:uid="{00000000-000D-0000-FFFF-FFFF00000000}"/>
  </bookViews>
  <sheets>
    <sheet name="Gestion Exigences" sheetId="27" r:id="rId1"/>
    <sheet name="Modifs Doc" sheetId="29" r:id="rId2"/>
    <sheet name="Params" sheetId="30" r:id="rId3"/>
  </sheets>
  <externalReferences>
    <externalReference r:id="rId4"/>
  </externalReferences>
  <definedNames>
    <definedName name="_xlnm.Print_Area" localSheetId="0">'Gestion Exigences'!$C$2:$I$40</definedName>
    <definedName name="_xlnm.Print_Area" localSheetId="1">'Modifs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2" i="27" l="1"/>
  <c r="Q32" i="27"/>
  <c r="R32" i="27"/>
  <c r="P27" i="27"/>
  <c r="Q27" i="27"/>
  <c r="R27" i="27"/>
  <c r="R23" i="27"/>
  <c r="Q23" i="27"/>
  <c r="P23" i="27"/>
  <c r="P24" i="27"/>
  <c r="Q24" i="27"/>
  <c r="R24" i="27"/>
  <c r="P19" i="27"/>
  <c r="Q19" i="27"/>
  <c r="R19" i="27"/>
  <c r="P25" i="27"/>
  <c r="Q25" i="27"/>
  <c r="R25" i="27"/>
  <c r="P35" i="27"/>
  <c r="Q35" i="27"/>
  <c r="R35" i="27"/>
  <c r="P31" i="27"/>
  <c r="Q31" i="27"/>
  <c r="R31" i="27"/>
  <c r="P33" i="27"/>
  <c r="Q33" i="27"/>
  <c r="R33" i="27"/>
  <c r="P34" i="27"/>
  <c r="Q34" i="27"/>
  <c r="R34" i="27"/>
  <c r="P38" i="27"/>
  <c r="Q38" i="27"/>
  <c r="R38" i="27"/>
  <c r="P39" i="27"/>
  <c r="Q39" i="27"/>
  <c r="R39" i="27"/>
  <c r="P37" i="27"/>
  <c r="Q37" i="27"/>
  <c r="R37" i="27"/>
  <c r="P40" i="27"/>
  <c r="Q40" i="27"/>
  <c r="R40" i="27"/>
  <c r="P22" i="27"/>
  <c r="Q22" i="27"/>
  <c r="R22" i="27"/>
  <c r="P15" i="27"/>
  <c r="Q15" i="27"/>
  <c r="R15" i="27"/>
  <c r="P20" i="27" l="1"/>
  <c r="Q20" i="27"/>
  <c r="R20" i="27"/>
  <c r="P16" i="27"/>
  <c r="Q16" i="27"/>
  <c r="R16" i="27"/>
  <c r="P29" i="27"/>
  <c r="Q29" i="27"/>
  <c r="R29" i="27"/>
  <c r="P30" i="27"/>
  <c r="Q30" i="27"/>
  <c r="R30" i="27"/>
  <c r="P36" i="27"/>
  <c r="Q36" i="27"/>
  <c r="R36" i="27"/>
  <c r="P26" i="27"/>
  <c r="Q26" i="27"/>
  <c r="R26" i="27"/>
  <c r="P28" i="27"/>
  <c r="Q28" i="27"/>
  <c r="R28" i="27"/>
  <c r="P14" i="27"/>
  <c r="Q14" i="27"/>
  <c r="R14" i="27"/>
  <c r="P17" i="27"/>
  <c r="Q17" i="27"/>
  <c r="R17" i="27"/>
  <c r="P18" i="27"/>
  <c r="Q18" i="27"/>
  <c r="R18" i="27"/>
  <c r="P21" i="27"/>
  <c r="Q21" i="27"/>
  <c r="R21" i="27"/>
  <c r="C5" i="29"/>
  <c r="C6" i="29"/>
  <c r="C7" i="29"/>
  <c r="C8" i="29"/>
  <c r="C9" i="29"/>
  <c r="C10" i="29"/>
  <c r="B6" i="29"/>
  <c r="B7" i="29"/>
  <c r="B8" i="29"/>
  <c r="B9" i="29"/>
  <c r="B10" i="29"/>
  <c r="B5"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Siwar Abbes</author>
  </authors>
  <commentList>
    <comment ref="I28" authorId="0" shapeId="0" xr:uid="{615582CC-AEA7-4C61-BA24-3610C2FECB0A}">
      <text>
        <r>
          <rPr>
            <b/>
            <sz val="9"/>
            <color indexed="81"/>
            <rFont val="Tahoma"/>
            <family val="2"/>
          </rPr>
          <t>Siwar Abbes:</t>
        </r>
        <r>
          <rPr>
            <sz val="9"/>
            <color indexed="81"/>
            <rFont val="Tahoma"/>
            <family val="2"/>
          </rPr>
          <t xml:space="preserve">
Historique prod , histo prod par shift , Détails prod , Détail qté , Résumé OF </t>
        </r>
      </text>
    </comment>
  </commentList>
</comments>
</file>

<file path=xl/sharedStrings.xml><?xml version="1.0" encoding="utf-8"?>
<sst xmlns="http://schemas.openxmlformats.org/spreadsheetml/2006/main" count="353" uniqueCount="221">
  <si>
    <t>Gestion Exigences Projet</t>
  </si>
  <si>
    <t>Client</t>
  </si>
  <si>
    <t>COGITEL</t>
  </si>
  <si>
    <t>Projet</t>
  </si>
  <si>
    <t>Digitalisation Atelier Découpe</t>
  </si>
  <si>
    <t>Réf BPA du Devis</t>
  </si>
  <si>
    <t>Réf BPA du Projet</t>
  </si>
  <si>
    <t>Réf Modèle Document</t>
  </si>
  <si>
    <t>MD203</t>
  </si>
  <si>
    <t>Strictement Confidentiel</t>
  </si>
  <si>
    <t>Version Modèle Document</t>
  </si>
  <si>
    <t>V1.5</t>
  </si>
  <si>
    <t>ID</t>
  </si>
  <si>
    <t>Exigence</t>
  </si>
  <si>
    <t>Nature</t>
  </si>
  <si>
    <t>Catégorie</t>
  </si>
  <si>
    <t>Description de l'exigence</t>
  </si>
  <si>
    <t>Source</t>
  </si>
  <si>
    <t>Validation Interne</t>
  </si>
  <si>
    <t>Colonne1</t>
  </si>
  <si>
    <t>Colonne2</t>
  </si>
  <si>
    <t>Colonne3</t>
  </si>
  <si>
    <t>Colonne4</t>
  </si>
  <si>
    <t>Colonne5</t>
  </si>
  <si>
    <t>Colonne6</t>
  </si>
  <si>
    <t>Colonne7</t>
  </si>
  <si>
    <t>Colonne8</t>
  </si>
  <si>
    <t>Colonne9</t>
  </si>
  <si>
    <t>Colonne10</t>
  </si>
  <si>
    <t>Colonne11</t>
  </si>
  <si>
    <t>Colonne12</t>
  </si>
  <si>
    <t>Colonne13</t>
  </si>
  <si>
    <t>Colonne14</t>
  </si>
  <si>
    <t>Validation Interne par:</t>
  </si>
  <si>
    <t>Statut Client</t>
  </si>
  <si>
    <t>E001</t>
  </si>
  <si>
    <t>Fonctionnelle</t>
  </si>
  <si>
    <t>SF-Fonctionnelle</t>
  </si>
  <si>
    <t>Commerciale</t>
  </si>
  <si>
    <t>Workshop/réunion Interne</t>
  </si>
  <si>
    <t>Validée</t>
  </si>
  <si>
    <t>Mahdi B.</t>
  </si>
  <si>
    <t>E002</t>
  </si>
  <si>
    <t>Lecture des OF à partir de sage X3</t>
  </si>
  <si>
    <t>SF-Intégration SI</t>
  </si>
  <si>
    <t>E003</t>
  </si>
  <si>
    <t>E004</t>
  </si>
  <si>
    <t>E005</t>
  </si>
  <si>
    <t>E006</t>
  </si>
  <si>
    <t>E007</t>
  </si>
  <si>
    <t>E008</t>
  </si>
  <si>
    <t>E009</t>
  </si>
  <si>
    <t>E010</t>
  </si>
  <si>
    <t>E011</t>
  </si>
  <si>
    <t>E012</t>
  </si>
  <si>
    <t>E013</t>
  </si>
  <si>
    <t>E014</t>
  </si>
  <si>
    <t>E015</t>
  </si>
  <si>
    <t>E016</t>
  </si>
  <si>
    <t>E017</t>
  </si>
  <si>
    <t>E018</t>
  </si>
  <si>
    <t>E019</t>
  </si>
  <si>
    <t>E020</t>
  </si>
  <si>
    <t>E021</t>
  </si>
  <si>
    <t xml:space="preserve"> </t>
  </si>
  <si>
    <t>Version</t>
  </si>
  <si>
    <t>Date</t>
  </si>
  <si>
    <t>Modifications</t>
  </si>
  <si>
    <t>Auteur(s)</t>
  </si>
  <si>
    <t>Vérificateur(s)</t>
  </si>
  <si>
    <t>Approbateur</t>
  </si>
  <si>
    <t>V1.0</t>
  </si>
  <si>
    <t>Version interne  (envoyée et validée par client)</t>
  </si>
  <si>
    <t>Nihel K.</t>
  </si>
  <si>
    <t>Amani S.</t>
  </si>
  <si>
    <t>Imed A.</t>
  </si>
  <si>
    <t>V1.1</t>
  </si>
  <si>
    <t xml:space="preserve">Mise à jour des exigences après la visite du 15/17 février </t>
  </si>
  <si>
    <t>V1.2</t>
  </si>
  <si>
    <t>Mise à jour des exigences : 
•Mise à jour des HJ des exigences 
•Rajout des nouvelles demandes au niveau de la fiche qualité "E019--E024"
•Supprimer l'exigence E008</t>
  </si>
  <si>
    <t>Mahdi B. + Ferjania B.</t>
  </si>
  <si>
    <t>Exigence identifiée pendant la phase</t>
  </si>
  <si>
    <t>Oui/Non</t>
  </si>
  <si>
    <t>Statut Interne</t>
  </si>
  <si>
    <t>CdC client</t>
  </si>
  <si>
    <t>Oui</t>
  </si>
  <si>
    <t>Validée par le client</t>
  </si>
  <si>
    <t>*** SE</t>
  </si>
  <si>
    <t>Performance</t>
  </si>
  <si>
    <t>Conception</t>
  </si>
  <si>
    <t>Workshop/réunion client</t>
  </si>
  <si>
    <t>Non</t>
  </si>
  <si>
    <t>Non validée par client</t>
  </si>
  <si>
    <t>Non validée</t>
  </si>
  <si>
    <t>SE-Processus</t>
  </si>
  <si>
    <t>Reglementaire</t>
  </si>
  <si>
    <t>Réalisation</t>
  </si>
  <si>
    <t>N/A</t>
  </si>
  <si>
    <t>SE-Mécanique</t>
  </si>
  <si>
    <t>Sécurité</t>
  </si>
  <si>
    <t>Mise en œuvre</t>
  </si>
  <si>
    <t>Standards client</t>
  </si>
  <si>
    <t>SE-Electrique</t>
  </si>
  <si>
    <t>Standard Client</t>
  </si>
  <si>
    <t>Support et maintenance</t>
  </si>
  <si>
    <t>Standards ADDIXO</t>
  </si>
  <si>
    <t>SE-Soft</t>
  </si>
  <si>
    <t>Standard ADDIXO</t>
  </si>
  <si>
    <t>Reglementation</t>
  </si>
  <si>
    <t>SE-Auto</t>
  </si>
  <si>
    <t>Demande modification</t>
  </si>
  <si>
    <t>SE-Fabrication</t>
  </si>
  <si>
    <t>SE-Intégration</t>
  </si>
  <si>
    <t>SE-Achats</t>
  </si>
  <si>
    <t>*** SF</t>
  </si>
  <si>
    <t>SF-Processus</t>
  </si>
  <si>
    <t>SF-Connectivité Machine</t>
  </si>
  <si>
    <t>SF-Software</t>
  </si>
  <si>
    <t>SF-Infra IT</t>
  </si>
  <si>
    <t>*** TC</t>
  </si>
  <si>
    <t>TC-Prestations sur site client</t>
  </si>
  <si>
    <t xml:space="preserve">Configuration de l'usine </t>
  </si>
  <si>
    <t xml:space="preserve">Configuration produits </t>
  </si>
  <si>
    <t xml:space="preserve">Configurer les données de l'usine </t>
  </si>
  <si>
    <t>Type de la solution</t>
  </si>
  <si>
    <t>Standard</t>
  </si>
  <si>
    <t>Adaptaion</t>
  </si>
  <si>
    <t>Chargement des données via des fichiers CSV</t>
  </si>
  <si>
    <t>Charger les données à partir des fichiers csv</t>
  </si>
  <si>
    <t>Ajustement de la planification et gestion centralisée des OF</t>
  </si>
  <si>
    <t xml:space="preserve">Suivi de la qualité : Fiche d'auto-contrôle </t>
  </si>
  <si>
    <t>Récupération automatique des données : Intégration avec la balance pour récupérer automatiquement le poids et le mètre linéaire de chaque bobine produite.</t>
  </si>
  <si>
    <t xml:space="preserve">Récupération du poids et du métrage des bobines à partir des balances </t>
  </si>
  <si>
    <t>Génération et impression d'étiquettes automatique à la fermeture de palette</t>
  </si>
  <si>
    <t xml:space="preserve">Suivi de la production et qualité en utilisant plusieurs unités </t>
  </si>
  <si>
    <t>La solution permet de suivre et d'historiser la production et la qualité par OF, par shift, et par bobine. Des colonnes supplémentaires sont proposées pour afficher les quantités en poids et en mètres linéaires.</t>
  </si>
  <si>
    <t xml:space="preserve">Fiche de libération </t>
  </si>
  <si>
    <t>Génération automatique de la fiche de libération par palette</t>
  </si>
  <si>
    <t xml:space="preserve">Suivi de la production en temps réel </t>
  </si>
  <si>
    <t>Retour des données des OF vers sage X3</t>
  </si>
  <si>
    <t>Analyser l'évolution des indicateurs clés au cours du temps des lignes de production .</t>
  </si>
  <si>
    <t xml:space="preserve">Tableau de bord qualité </t>
  </si>
  <si>
    <t>Tableau de bord général</t>
  </si>
  <si>
    <r>
      <t xml:space="preserve">La solution comprend un module "Intégration SI" permettant l'intégration automatisée de données: Chargement automatique de données depuis des fichiers CSV ou des systèmes d'information clients. En supportant les entités produits, utilisateurs et outillages, avec une gestion détaillée des erreurs d'intégration. 
</t>
    </r>
    <r>
      <rPr>
        <b/>
        <sz val="11"/>
        <color theme="1"/>
        <rFont val="Calibri Light"/>
        <family val="2"/>
        <scheme val="major"/>
      </rPr>
      <t xml:space="preserve">Adaptation : </t>
    </r>
    <r>
      <rPr>
        <sz val="11"/>
        <color theme="1"/>
        <rFont val="Calibri Light"/>
        <family val="2"/>
        <scheme val="major"/>
      </rPr>
      <t>Adapter le fichier pour supporter plusieurs unité pour chaque produit</t>
    </r>
  </si>
  <si>
    <t>Automatiser l'intégration  des OF à partir de Sage X3 via API</t>
  </si>
  <si>
    <t xml:space="preserve">Planification des opération </t>
  </si>
  <si>
    <t>Visualisation des planifications en temps réel</t>
  </si>
  <si>
    <t xml:space="preserve">Instruction de travail par référence produit </t>
  </si>
  <si>
    <t xml:space="preserve">Chargement , affectation et visualisions des fiches d'instruction par produits </t>
  </si>
  <si>
    <t xml:space="preserve"> Fiche Machine : Déclaration de production en utilisant plusieurs unités ( par bobine - par palette )</t>
  </si>
  <si>
    <t xml:space="preserve">Génération et impression des étiquette pour les palettes </t>
  </si>
  <si>
    <t xml:space="preserve">Suivi et historisation de la production et qualité par poids et mètre linéaire </t>
  </si>
  <si>
    <t xml:space="preserve">Gestion des Rework  </t>
  </si>
  <si>
    <t>Génération automatique d'ordres de Rework</t>
  </si>
  <si>
    <t>Suivi en temps réel des KPIs , des durées d'arrêts et des quantités en poids et en mètre linéaire</t>
  </si>
  <si>
    <t>Suivi en temps réel des KPIs et des quantités par poids et par mètre linéaire</t>
  </si>
  <si>
    <t>Analyse des données  historique de la qualité en poids et en mètre linéaire : Rebut et Rework</t>
  </si>
  <si>
    <r>
      <t xml:space="preserve">La solution offre un tableau de bord qualité fournissant une vue multiniveaux de la non-conformité , les défauts et leurs occurrence , un Pareto des défaut 
</t>
    </r>
    <r>
      <rPr>
        <b/>
        <sz val="11"/>
        <color rgb="FF000000"/>
        <rFont val="Calibri Light"/>
        <family val="2"/>
      </rPr>
      <t>Adaptation : 
-</t>
    </r>
    <r>
      <rPr>
        <sz val="11"/>
        <color rgb="FF000000"/>
        <rFont val="Calibri Light"/>
        <family val="2"/>
      </rPr>
      <t>Ajouter l'option de visualiser les quantités non conforme en poids et en métrage  
- Ajouter un chart pour visualiser le taux de Rework par poids et par mètre linéaire</t>
    </r>
  </si>
  <si>
    <r>
      <t xml:space="preserve">la solution offre un tableau de bord fournissant une vue multi-niveaux de la production en utilisant des indicateurs clés :  TRS, Quantité produite vs Quantité planifiée, Temps d'arrêt vs temps de production, etc.
</t>
    </r>
    <r>
      <rPr>
        <b/>
        <sz val="11"/>
        <color theme="1"/>
        <rFont val="Calibri Light"/>
        <family val="2"/>
        <scheme val="major"/>
      </rPr>
      <t xml:space="preserve">Adaptation </t>
    </r>
    <r>
      <rPr>
        <sz val="11"/>
        <color theme="1"/>
        <rFont val="Calibri Light"/>
        <family val="2"/>
        <scheme val="major"/>
      </rPr>
      <t>: Ajouter l'option de visualiser les indicateurs en poids et en mètre linéaires</t>
    </r>
  </si>
  <si>
    <t>Exigence indéfiée pendant la phase</t>
  </si>
  <si>
    <t>Description de la solution ADDIXO</t>
  </si>
  <si>
    <t>Écart entre exigence client et la solution proposée - préciser aussi les limites et hypothèses si applicable</t>
  </si>
  <si>
    <t>La solution offre un Module Core permettant la configuration complète de l'usine:
- Modélisation hiérarchique de l'usine: Sites, ateliers, lignes, postes, machines.
- Gestion des produits et des palettes.
- Gestion des unités.
- Gestion des défaut qualité et des pannes machines.
- Gestion des utilisateurs et des autorisations: Rôles et accès contrôlés.
- Gestion des équipes: Production, qualité, maintenance.
- Planification des lignes et des équipes: Cycles, équipes, calendrier de travail.
- Configuration des panels
 etc.</t>
  </si>
  <si>
    <t>Hypothèse :  Mètrage min et max , poids min et max  , capacité palette min et max sont différents pour chaque produit</t>
  </si>
  <si>
    <t>Cette exigences nécessite un travail de collaboration entre l'équipe MOMSOFT  et le fournisseur ERP du Client.</t>
  </si>
  <si>
    <t>le module "Intégration SI" permet la lecture des Ordres de fabrication à partir de Sage X3 en utilisant les webservices.
La lecture des OF peut s'effectuer automatiquement en fonction d'une fréquence choisie par le client ou en utilisant l'interface Intégration des OF pour un chargement à sa convenance.</t>
  </si>
  <si>
    <t>Gestion des Ordres de Fabrication</t>
  </si>
  <si>
    <t xml:space="preserve">La solution permet : 
- Lancement des OF sur plusieurs lignes en parallèle ou en série
- Gestion et suivi des différents statuts des OF (planifié, lancé, suspendu, changement de série, etc.)
- Mise à jour en temps réel des statuts
- Workflow de validation des changements de statut paramétrables
- Ajustement de la planification en cas d'aléas 
- Gestion du changement de série de chaque OF
</t>
  </si>
  <si>
    <t>La solution offre un module de planification des opérations permettant de consulter en temps réel l'état des OF. Les utilisateurs peuvent visualiser les OF en cours, leur avancement, ainsi que la disponibilité des lignes et ressources associées, avec mises à jour automatiques pour refléter les ajustements ou imprévus en production.</t>
  </si>
  <si>
    <t xml:space="preserve">Fiche démarrage </t>
  </si>
  <si>
    <t>Génération des fiches de démarrage au lancement e l'OF</t>
  </si>
  <si>
    <t>la solution permet le contrôle de la qualité produit et process , comprenant les fonctionnalités : 
- Configuration des critères de contrôle :
   Définition des critères de mesure des produits (dimensions, aspects, etc.)
   Gestion des tolérances et spécifications par critère
- Génération automatique des contrôles :
   Des fiches de contrôle produit au démarrage.
-Validation et Traçabilité  : 
  Workflow de validation à multi-niveaux des contrôles .
   Archivage des résultats de contrôle</t>
  </si>
  <si>
    <t>La solution offre un module "Instruction de travail" qui permet :
-Chargement : Importation des fichiers d'instructions.
- Catégorisation : Classification par processus qualité, maintenance ou production.
-Affectation : Attribution des instructions par ligne et produit.
- Gestion des Versions : Centralisation et gestion du versionnage des documents.
-Accessibilité : Accès en temps réel aux instructions pour les opérateurs et l'équipe qualité à partir de l'OF.</t>
  </si>
  <si>
    <t>Hypothèse : Ces infomations seront récupérées à partir d'un fichier sur le serveur.</t>
  </si>
  <si>
    <t xml:space="preserve">Une fois qu'une palette est clôturée, la solution génère automatiquement une étiquette contenant les informations essentielles (Code à barre , code produit, poids, mètre linéaire, etc.). </t>
  </si>
  <si>
    <t>La solution proposée permet de génèrer automatiquement des OF de Rework avec le même code OF  dès la déclaration d'un incident de qualité nécessitant un traitement. Les OF de rework seront marqués pour les identifier.</t>
  </si>
  <si>
    <r>
      <rPr>
        <sz val="11"/>
        <rFont val="Calibri Light"/>
        <family val="2"/>
      </rPr>
      <t>É</t>
    </r>
    <r>
      <rPr>
        <sz val="11"/>
        <rFont val="Calibri Light"/>
        <family val="2"/>
        <scheme val="major"/>
      </rPr>
      <t>criture vers Sage X3 par Palette</t>
    </r>
  </si>
  <si>
    <t xml:space="preserve">La solution permet d'automatiser le retour des données des OF vers Sage X3 via webservices , les données envoyées inclut la quantité produite en poids et en  mètres linéaires . </t>
  </si>
  <si>
    <t>Cette adaptation nécessite la collaboration avec l'intégrateur ERP de client .</t>
  </si>
  <si>
    <t xml:space="preserve">Gestion et suivi des arrêts  </t>
  </si>
  <si>
    <t>Suivi des arrêts de production</t>
  </si>
  <si>
    <t>La solution permet d'arrêter manuellement la production, en précisant les causes d'arrêt configurées. Elle offre un suivi détaillé de la durée d'arrêt et de l'occurrence des différentes causes.</t>
  </si>
  <si>
    <r>
      <t xml:space="preserve">La solution offre une supervision de production en temps réel avec le module "Vue 360°" permettant de  : 
• Visualiser l'état des lignes en temps réel avec codification couleur paramétrable.
•Suivie des indicateurs clés de performance (KPI): TRS équipe et OF ,Taux de performance, disponibilité et qualité 
•Suivre la progression des OF.
•Analyser des arrêts: Durées, causes et nombre d'occurrences.
•Visualiser la production et non-conformité en temps réel: Production totale et horaire par équipe , Non-conformité totale et horaire par équipe avec catégorisation par défaut qualité.
</t>
    </r>
    <r>
      <rPr>
        <b/>
        <sz val="11"/>
        <color theme="1"/>
        <rFont val="Calibri Light"/>
        <family val="2"/>
        <scheme val="major"/>
      </rPr>
      <t xml:space="preserve">Adaptation : </t>
    </r>
    <r>
      <rPr>
        <sz val="11"/>
        <color theme="1"/>
        <rFont val="Calibri Light"/>
        <family val="2"/>
        <scheme val="major"/>
      </rPr>
      <t>ajouter l'option de visualiser la progression de l'OF , la quantité totale produite , la non conformité en poids et en métrage.</t>
    </r>
  </si>
  <si>
    <t>Configurer les produits en poids, en mètrage linéaire et en pièce</t>
  </si>
  <si>
    <r>
      <rPr>
        <b/>
        <sz val="11"/>
        <color theme="1"/>
        <rFont val="Calibri Light"/>
        <family val="2"/>
        <scheme val="major"/>
      </rPr>
      <t>Adaptation</t>
    </r>
    <r>
      <rPr>
        <sz val="11"/>
        <color theme="1"/>
        <rFont val="Calibri Light"/>
        <family val="2"/>
        <scheme val="major"/>
      </rPr>
      <t xml:space="preserve">
Permettre au niveau de la configuration des produits :
- L'ajout de plusieurs unités de mesure (ex. kg, mètres, pièces). Pour chaque unité, l'utilisateur saisit une valeur spécifique avec des tolérances .
- L'ajout d'un taux de conversion entre les unités sélectionnées
- L'ajout de la capacité maximale et minimale par palette en poids.</t>
    </r>
  </si>
  <si>
    <t>Déclaration des quantités produite et non-conforme en Kg, en mètre et en pièces (pour les sleeveuses) par bobine et par palette.</t>
  </si>
  <si>
    <t>Gestion des fiches de passation</t>
  </si>
  <si>
    <t>Gérer le changement de responsabilité en utilisant les fiches de passation</t>
  </si>
  <si>
    <t>La solution permet de générer automatiquement des fiches de passation contenant toutes les informations relatives au shift. La validation de ces fiches est nécessaire pour contrôler le changement de responsabilité.</t>
  </si>
  <si>
    <t xml:space="preserve">Digitaliser la génération et le remplissage des fiches de contrôle par OF et par fréquence configurable </t>
  </si>
  <si>
    <r>
      <t xml:space="preserve">La solution permet de :
- Configurer les fréquences des contrôle par produit et par critère, avec des notifications automatiques envoyées aux équipes de qualité .
- Générer automatiquement des fiches de suivi sous forme de check-lists, basées sur des critères qualité définis pour chaque bobine, avec les résultats (conforme/non conforme) et les valeurs associées.
- Afficher des instructions pour les inspections à réaliser et suivre un workflow de validation des fiches de suivi.
- Historiser et suivre toutes les fiches de suivi pour assurer une traçabilité complète.
</t>
    </r>
    <r>
      <rPr>
        <b/>
        <sz val="11"/>
        <color theme="1"/>
        <rFont val="Calibri Light"/>
        <family val="2"/>
        <scheme val="major"/>
      </rPr>
      <t>Adaptation :</t>
    </r>
    <r>
      <rPr>
        <sz val="11"/>
        <color theme="1"/>
        <rFont val="Calibri Light"/>
        <family val="2"/>
        <scheme val="major"/>
      </rPr>
      <t xml:space="preserve"> Ajouter des champs dans la fiche d'auto-contrôle pour identification de la matière (bobine mère ) , bobine fille et palette.</t>
    </r>
  </si>
  <si>
    <r>
      <t>La solution proposée permettra de :
- Suivi de la consommation de la bobine mère : Tracer la consommation de la bobine mère en temps réel, avec possibilité d'ajouter une nouvelle bobine mère en cours de production. L'opérateur doit saisir la référence et les informations relatives à la bobine mère avant de commencer la production.
- Enregistrer automatiquement les quantités (selon les unités du produits) récupérées via la balance pour chaque bobine produite.
- Contrôle du métrage pour s'assurer que le métrage récupéré ne soit pas inférieur au métrage exigé, tel que défini dans la configuration du produit.</t>
    </r>
    <r>
      <rPr>
        <u/>
        <sz val="11"/>
        <color theme="1"/>
        <rFont val="Calibri Light"/>
        <family val="2"/>
        <scheme val="major"/>
      </rPr>
      <t xml:space="preserve">
</t>
    </r>
    <r>
      <rPr>
        <sz val="11"/>
        <color theme="1"/>
        <rFont val="Calibri Light"/>
        <family val="2"/>
        <scheme val="major"/>
      </rPr>
      <t xml:space="preserve">- Génération automatique des palettes au démarrage de production
-Gestion automatique et manuelle des palettes : remplissage et clôture 
- Déclaration des non-conformités par bobine, avec un suivi des défauts qualité et du lieu de détection 
- Gestion  des déchtes déclarés  et  non déclarés. 
- Gestion des restes des bobines en allouant les restes non consommés de la bobine mère pour le shift suivant.
</t>
    </r>
  </si>
  <si>
    <t>Génération automatique de la fiche de contrôle par palette</t>
  </si>
  <si>
    <t xml:space="preserve">La solution permet de générer automatiquement une fiche de libération à la clôture d'une palette, afin de la valider. Cette fiche est présentée sous forme de check-list de contrôle avec des paramètres configurables. 
- Gestion des statuts des palettes ( libérée , en attente , Libérée avec dérogation , bloquée )
- Envoie d'une notification au magasinier une fois le statut de la palette est libérée ou libérée avec dérogation .
De plus, la solution intègre un workflow de validation et assure une historisation complète des fiches.
</t>
  </si>
  <si>
    <t>La solution permet de générer automatiquement une fiche de contrôle lors de la libération d’une palette, afin de la valider avant le conditionnement. Cette fiche se présente sous la forme d’une check-list de contrôle, avec des paramètres configurables.
Elle permet également de vérifier le taux de conversion réel par rapport au taux théorique.
De plus, la solution inclut un workflow de validation et garantit une historisation complète des fiches.</t>
  </si>
  <si>
    <t xml:space="preserve">Génération et impression de la deuxième  étiquette pour les palettes </t>
  </si>
  <si>
    <t xml:space="preserve">Génération et impression d'étiquettes automatique à la validation de la fiche de contrôle </t>
  </si>
  <si>
    <t xml:space="preserve">Une fois qu'une fiche de contrôle est validée la solution permet aux utlisateurs de générer et imprimer une deuxième  étiquette contenant les informations essentielles (Code à barre , code produit, poids, mètre linéaire, etc.). </t>
  </si>
  <si>
    <t xml:space="preserve">Confirmation collage étiquette </t>
  </si>
  <si>
    <t>Scan des deux étiquettes, de comparer leurs données</t>
  </si>
  <si>
    <t>Déclaration de la production pour l'ERP</t>
  </si>
  <si>
    <t xml:space="preserve">Déclaration finale de la production dans l'ERP </t>
  </si>
  <si>
    <t>E022</t>
  </si>
  <si>
    <t>E023</t>
  </si>
  <si>
    <t>E024</t>
  </si>
  <si>
    <t>E025</t>
  </si>
  <si>
    <t>La solution exige de scanner les deux étiquettes, de vérifier la correspondance des données et d'informer l'utilisateur en cas de divergence, avant de déplacer la palette vers le stock.</t>
  </si>
  <si>
    <t>La solution exige aux utilisateurs de confirmer la déclaration de production au niveau de l'ERP.</t>
  </si>
  <si>
    <t>Fiche de contrôle</t>
  </si>
  <si>
    <t xml:space="preserve"> Fiche de contrôle matiére</t>
  </si>
  <si>
    <t>E026</t>
  </si>
  <si>
    <t>E027</t>
  </si>
  <si>
    <t>Fiche d'inspection</t>
  </si>
  <si>
    <t>La solution propose de créer automatiquement ou manuellement les fiches d'inspection sous forme de check-list, contenant tous les critères à inspecter par produit. L'accès à ces fiches est limité aux agents qualité, avec une historisation complète et un suivi de toutes les fiches d'inspection pour assurer une traçabilité totale.</t>
  </si>
  <si>
    <t>Génération automatique et manuelle des fiches d'inspection</t>
  </si>
  <si>
    <t>La solution propose de créer automatiquement ou manuellement les fiches de contrôle matière sous forme de check-list, contenant tous les critères à inspecter par produit (bobine mère). L'accès à ces fiches est limité aux opérateurs, avec un workflow de validation, ainsi qu'une historisation complète et un suivi de toutes les fiches de contrôle matière pour assurer une traçabilité totale.</t>
  </si>
  <si>
    <t>Génération automatique et manuelle des fiches de contrôle matière</t>
  </si>
  <si>
    <t>E028</t>
  </si>
  <si>
    <t>Fiche de contrôle laboratoire</t>
  </si>
  <si>
    <t>Génération automatique ou manuelle de la fiche de contrôle laboratoire</t>
  </si>
  <si>
    <t>La solution permet de créer automatiquement ou manuellement une fiche de contrôle laboratoire, afin de la valider  la qualité du produit (palette).
Cette fiche se présente sous la forme d’une check-list de contrôle, avec des paramètres configurables.
Gestion des statuts des palettes ( libérée , en attente analyse laboratoire, Libérée avec dérogation , bloquée )
De plus, la solution inclut un workflow de validation et garantit une historisation complète des fiches.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</si>
</sst>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sz val="8"/>
      <name val="Calibri Light"/>
      <family val="2"/>
      <scheme val="major"/>
    </font>
    <font>
      <sz val="8"/>
      <name val="Calibri Light"/>
      <family val="2"/>
    </font>
    <font>
      <b/>
      <sz val="11"/>
      <color theme="2" tint="-0.89999084444715716"/>
      <name val="Calibri Light"/>
      <family val="2"/>
    </font>
    <font>
      <b/>
      <sz val="14"/>
      <color rgb="FFFF0000"/>
      <name val="Calibri Light"/>
      <family val="2"/>
      <scheme val="major"/>
    </font>
    <font>
      <sz val="11"/>
      <color theme="1"/>
      <name val="Calibri Light"/>
      <family val="2"/>
      <scheme val="major"/>
    </font>
    <font>
      <b/>
      <sz val="11"/>
      <color theme="1"/>
      <name val="Calibri Light"/>
      <family val="2"/>
      <scheme val="major"/>
    </font>
    <font>
      <u/>
      <sz val="11"/>
      <color theme="1"/>
      <name val="Calibri Light"/>
      <family val="2"/>
      <scheme val="major"/>
    </font>
    <font>
      <sz val="9"/>
      <color indexed="81"/>
      <name val="Tahoma"/>
      <family val="2"/>
    </font>
    <font>
      <b/>
      <sz val="9"/>
      <color indexed="81"/>
      <name val="Tahoma"/>
      <family val="2"/>
    </font>
    <font>
      <sz val="11"/>
      <color rgb="FF000000"/>
      <name val="Calibri Light"/>
      <family val="2"/>
    </font>
    <font>
      <b/>
      <sz val="11"/>
      <color rgb="FF000000"/>
      <name val="Calibri Light"/>
      <family val="2"/>
    </font>
  </fonts>
  <fills count="4">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000000"/>
      </top>
      <bottom/>
      <diagonal/>
    </border>
    <border>
      <left/>
      <right/>
      <top style="medium">
        <color indexed="64"/>
      </top>
      <bottom/>
      <diagonal/>
    </border>
  </borders>
  <cellStyleXfs count="1">
    <xf numFmtId="0" fontId="0" fillId="0" borderId="0"/>
  </cellStyleXfs>
  <cellXfs count="37">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2"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13" fillId="0" borderId="0" xfId="0" applyFont="1" applyAlignment="1">
      <alignment horizontal="left" vertical="center" wrapText="1"/>
    </xf>
    <xf numFmtId="0" fontId="6" fillId="0" borderId="0" xfId="0" applyFont="1" applyAlignment="1">
      <alignment horizontal="left" vertical="center"/>
    </xf>
    <xf numFmtId="0" fontId="13" fillId="0" borderId="0" xfId="0" applyFont="1" applyAlignment="1">
      <alignment horizontal="left" vertical="center"/>
    </xf>
    <xf numFmtId="0" fontId="14" fillId="2" borderId="0" xfId="0" applyFont="1" applyFill="1" applyAlignment="1">
      <alignment horizontal="center" vertical="center" wrapText="1"/>
    </xf>
    <xf numFmtId="0" fontId="10" fillId="0" borderId="0" xfId="0" applyFont="1" applyAlignment="1">
      <alignment wrapText="1"/>
    </xf>
    <xf numFmtId="0" fontId="10" fillId="0" borderId="0" xfId="0" applyFont="1" applyAlignment="1">
      <alignment vertical="center" wrapText="1"/>
    </xf>
    <xf numFmtId="0" fontId="15" fillId="0" borderId="0" xfId="0" applyFont="1" applyAlignment="1">
      <alignment wrapText="1"/>
    </xf>
    <xf numFmtId="14" fontId="3" fillId="0" borderId="0" xfId="0" applyNumberFormat="1" applyFont="1" applyAlignment="1">
      <alignment wrapText="1"/>
    </xf>
    <xf numFmtId="0" fontId="3" fillId="0" borderId="0" xfId="0" applyFont="1" applyAlignment="1">
      <alignment vertical="center" wrapText="1"/>
    </xf>
    <xf numFmtId="0" fontId="16" fillId="0" borderId="0" xfId="0" applyFont="1" applyAlignment="1">
      <alignment vertical="center" wrapText="1"/>
    </xf>
    <xf numFmtId="0" fontId="5" fillId="0" borderId="0" xfId="0" applyFont="1" applyAlignment="1">
      <alignment horizontal="left" wrapText="1"/>
    </xf>
    <xf numFmtId="0" fontId="21" fillId="0" borderId="4" xfId="0" applyFont="1" applyBorder="1" applyAlignment="1">
      <alignment vertical="center" wrapText="1"/>
    </xf>
    <xf numFmtId="0" fontId="10" fillId="3" borderId="1" xfId="0" applyFont="1" applyFill="1" applyBorder="1" applyAlignment="1">
      <alignment vertical="center" wrapText="1"/>
    </xf>
    <xf numFmtId="0" fontId="10" fillId="3" borderId="2" xfId="0" applyFont="1" applyFill="1" applyBorder="1" applyAlignment="1">
      <alignment vertical="center" wrapText="1"/>
    </xf>
    <xf numFmtId="0" fontId="10" fillId="3" borderId="3" xfId="0" applyFont="1" applyFill="1" applyBorder="1" applyAlignment="1">
      <alignment vertical="center" wrapText="1"/>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5" fillId="0" borderId="0" xfId="0" applyFont="1" applyAlignment="1">
      <alignment horizontal="left" wrapText="1"/>
    </xf>
    <xf numFmtId="0" fontId="5" fillId="0" borderId="0" xfId="0" applyFont="1" applyAlignment="1">
      <alignment horizontal="center" wrapText="1"/>
    </xf>
    <xf numFmtId="0" fontId="1" fillId="0" borderId="5" xfId="0" applyFont="1" applyBorder="1" applyAlignment="1">
      <alignment horizontal="center" wrapText="1"/>
    </xf>
    <xf numFmtId="0" fontId="1" fillId="0" borderId="0" xfId="0" applyFont="1" applyAlignment="1">
      <alignment horizontal="center" wrapTex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cellXfs>
  <cellStyles count="1">
    <cellStyle name="Normal" xfId="0" builtinId="0"/>
  </cellStyles>
  <dxfs count="62">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strike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strike val="0"/>
        <outline val="0"/>
        <shadow val="0"/>
        <u val="none"/>
        <vertAlign val="baseline"/>
        <sz val="11"/>
        <color auto="1"/>
        <name val="Calibri Light"/>
        <family val="2"/>
        <scheme val="major"/>
      </font>
      <alignment horizontal="general" vertical="center" textRotation="0" wrapText="1" indent="0" justifyLastLine="0" shrinkToFit="0" readingOrder="0"/>
    </dxf>
    <dxf>
      <font>
        <strike val="0"/>
        <outline val="0"/>
        <shadow val="0"/>
        <u val="none"/>
        <vertAlign val="baseline"/>
        <sz val="11"/>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105833</xdr:colOff>
      <xdr:row>2</xdr:row>
      <xdr:rowOff>21169</xdr:rowOff>
    </xdr:from>
    <xdr:to>
      <xdr:col>3</xdr:col>
      <xdr:colOff>211667</xdr:colOff>
      <xdr:row>3</xdr:row>
      <xdr:rowOff>254010</xdr:rowOff>
    </xdr:to>
    <xdr:pic>
      <xdr:nvPicPr>
        <xdr:cNvPr id="2" name="Image 1">
          <a:extLst>
            <a:ext uri="{FF2B5EF4-FFF2-40B4-BE49-F238E27FC236}">
              <a16:creationId xmlns:a16="http://schemas.microsoft.com/office/drawing/2014/main" id="{D5509CB4-FBAC-5054-3C05-B80018D7E7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0166" y="465669"/>
          <a:ext cx="2656418" cy="5143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momsoftware.sharepoint.com/sites/Production/Documents%20partages/15%20COGITEL%20-%20Altea%20Packaging/01%20COGITEL%20Phase%201/2%20Besoins/MD203-%20Exigences%20Cogitel%20Digitalisation%20usine%20V2.2.xlsx" TargetMode="External"/><Relationship Id="rId1" Type="http://schemas.openxmlformats.org/officeDocument/2006/relationships/externalLinkPath" Target="/sites/Production/Documents%20partages/15%20COGITEL%20-%20Altea%20Packaging/01%20COGITEL%20Phase%201/2%20Besoins/MD203-%20Exigences%20Cogitel%20Digitalisation%20usine%20V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stion Exigences"/>
      <sheetName val="Modifs Doc"/>
      <sheetName val="Params"/>
      <sheetName val="MD203- Exigences Cogitel Digita"/>
    </sheetNames>
    <sheetDataSet>
      <sheetData sheetId="0"/>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2:AA40" totalsRowShown="0" headerRowDxfId="61" dataDxfId="60">
  <autoFilter ref="B12:AA40" xr:uid="{DDEA2C8B-EE0D-4C55-9256-CCC64E002CE6}"/>
  <tableColumns count="26">
    <tableColumn id="1" xr3:uid="{E467E0EE-CDAA-4FF5-85A8-CDC0B23A5AD9}" name="ID" dataDxfId="59" totalsRowDxfId="25"/>
    <tableColumn id="2" xr3:uid="{E53952AC-4972-47BD-8B1D-C7EF23088D0D}" name="Exigence" dataDxfId="58" totalsRowDxfId="24"/>
    <tableColumn id="8" xr3:uid="{B2D0BC2C-C803-4015-8FA6-70F84517BDB2}" name="Nature" dataDxfId="57" totalsRowDxfId="23"/>
    <tableColumn id="7" xr3:uid="{24F2F0ED-022E-4EC1-91D8-BFE0E4F2FD36}" name="Catégorie" dataDxfId="56" totalsRowDxfId="22"/>
    <tableColumn id="10" xr3:uid="{1FF81CF1-6D35-421C-8767-9E7FA06FEE6A}" name="Exigence indéfiée pendant la phase" dataDxfId="55" totalsRowDxfId="21"/>
    <tableColumn id="3" xr3:uid="{E7621A68-9552-4853-96A5-92A226EA42DD}" name="Description de l'exigence" dataDxfId="54" totalsRowDxfId="20"/>
    <tableColumn id="9" xr3:uid="{E6EEEC82-3576-4980-94B3-1423906CE531}" name="Source" dataDxfId="53" totalsRowDxfId="19"/>
    <tableColumn id="16" xr3:uid="{1441554A-79F9-4040-9CF5-AEBFF7ADF7D1}" name="Description de la solution ADDIXO" dataDxfId="52" totalsRowDxfId="18"/>
    <tableColumn id="17" xr3:uid="{D1BC9C86-C3CE-417F-AC83-FC4786A7656D}" name="Écart entre exigence client et la solution proposée - préciser aussi les limites et hypothèses si applicable" dataDxfId="51" totalsRowDxfId="17"/>
    <tableColumn id="5" xr3:uid="{2649C3B7-E8B9-44F9-8883-E5BB6F91B4B1}" name="Validation Interne" dataDxfId="50" totalsRowDxfId="16"/>
    <tableColumn id="19" xr3:uid="{1684315C-4BF1-4202-9296-395A9CBBCF5B}" name="Colonne1" dataDxfId="49" totalsRowDxfId="15"/>
    <tableColumn id="23" xr3:uid="{B6C3130B-09EF-45AC-BADA-90DC4AA315FC}" name="Colonne2" dataDxfId="48" totalsRowDxfId="14"/>
    <tableColumn id="24" xr3:uid="{ED6C4BB9-0261-4756-9E2F-D66985E18ED3}" name="Colonne3" dataDxfId="47" totalsRowDxfId="13"/>
    <tableColumn id="25" xr3:uid="{78150193-1C14-44BE-96A3-D80FFAA537A1}" name="Colonne4" dataDxfId="46" totalsRowDxfId="12"/>
    <tableColumn id="26" xr3:uid="{675E0A2C-BB54-404C-AA93-815EC984D2D6}" name="Colonne5" dataDxfId="45" totalsRowDxfId="11">
      <calculatedColumnFormula>[1]!Tableau32[[#This Row],[HJ Dev]]*(25%+25%)</calculatedColumnFormula>
    </tableColumn>
    <tableColumn id="27" xr3:uid="{CBA3FCD9-30EA-4D19-BD7E-D0C0216A2D2C}" name="Colonne6" dataDxfId="44" totalsRowDxfId="10">
      <calculatedColumnFormula>[1]!Tableau32[[#This Row],[HJ Analyse et test]]+[1]!Tableau32[[#This Row],[HJ Dev]]</calculatedColumnFormula>
    </tableColumn>
    <tableColumn id="28" xr3:uid="{64F4902E-4937-4A74-910C-13A5511F7340}" name="Colonne7" dataDxfId="43" totalsRowDxfId="9">
      <calculatedColumnFormula>[1]!Tableau32[[#This Row],[Total HJ]]*8</calculatedColumnFormula>
    </tableColumn>
    <tableColumn id="29" xr3:uid="{D26DE321-3DF3-4A2C-8283-3F62F92E87F7}" name="Colonne8" dataDxfId="42" totalsRowDxfId="8"/>
    <tableColumn id="30" xr3:uid="{5434348C-D2DE-493F-94CA-198AB6E4DAB4}" name="Colonne9" dataDxfId="41" totalsRowDxfId="7"/>
    <tableColumn id="31" xr3:uid="{06456D23-93D7-4397-815B-7D05CC6463D2}" name="Colonne10" dataDxfId="40" totalsRowDxfId="6"/>
    <tableColumn id="32" xr3:uid="{FB8D074E-F786-450E-8A8C-7D77D212C0ED}" name="Colonne11" dataDxfId="39" totalsRowDxfId="5"/>
    <tableColumn id="33" xr3:uid="{8C68935C-FF3F-4366-B375-B488B353BA68}" name="Colonne12" dataDxfId="38" totalsRowDxfId="4"/>
    <tableColumn id="34" xr3:uid="{78D71331-AEFF-45A6-96F8-D15DAA307F14}" name="Colonne13" dataDxfId="37" totalsRowDxfId="3"/>
    <tableColumn id="35" xr3:uid="{A9FCD645-19CA-4DCD-93DF-19C36E49D180}" name="Colonne14" dataDxfId="36" totalsRowDxfId="2"/>
    <tableColumn id="6" xr3:uid="{8CC493F8-0886-498D-AB98-B77300CC6510}" name="Validation Interne par:" dataDxfId="35" totalsRowDxfId="1"/>
    <tableColumn id="15" xr3:uid="{78231C60-0932-4386-925D-4C689A91C0E3}" name="Statut Client" dataDxfId="26" totalsRow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34" dataDxfId="33">
  <autoFilter ref="B13:G18" xr:uid="{96AD1385-A1F5-4391-ABC2-C9F250557626}"/>
  <tableColumns count="6">
    <tableColumn id="1" xr3:uid="{56DA355E-F205-482A-9CF1-CA3361A1D801}" name="Version" dataDxfId="32"/>
    <tableColumn id="2" xr3:uid="{C9D8A0D7-1D6E-479B-AF74-6D39D19E4653}" name="Date" dataDxfId="31"/>
    <tableColumn id="3" xr3:uid="{79109713-8A38-4162-A269-136157905B75}" name="Modifications" dataDxfId="30"/>
    <tableColumn id="4" xr3:uid="{AC928B3E-399C-4A3D-9FB5-9CD96F5D4745}" name="Auteur(s)" dataDxfId="29"/>
    <tableColumn id="5" xr3:uid="{0D0A428D-4F18-4D4E-A0CB-4D1A5057B6E9}" name="Vérificateur(s)" dataDxfId="28"/>
    <tableColumn id="6" xr3:uid="{D81EAB57-FBCA-44D9-8F45-58AF13AA08B6}" name="Approbateur" dataDxfId="27"/>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AA40"/>
  <sheetViews>
    <sheetView tabSelected="1" topLeftCell="A39" zoomScaleNormal="100" workbookViewId="0">
      <selection activeCell="D48" sqref="D48"/>
    </sheetView>
  </sheetViews>
  <sheetFormatPr baseColWidth="10" defaultColWidth="11.453125" defaultRowHeight="13" x14ac:dyDescent="0.3"/>
  <cols>
    <col min="1" max="1" width="11.453125" style="1"/>
    <col min="2" max="2" width="6.1796875" style="1" customWidth="1"/>
    <col min="3" max="3" width="30.36328125" style="1" customWidth="1"/>
    <col min="4" max="4" width="16.1796875" style="1" customWidth="1"/>
    <col min="5" max="5" width="15.6328125" style="1" customWidth="1"/>
    <col min="6" max="6" width="24.54296875" style="1" customWidth="1"/>
    <col min="7" max="7" width="56.54296875" style="1" customWidth="1"/>
    <col min="8" max="8" width="18.453125" style="1" hidden="1" customWidth="1"/>
    <col min="9" max="9" width="79.6328125" style="1" customWidth="1"/>
    <col min="10" max="10" width="72.54296875" style="1" customWidth="1"/>
    <col min="11" max="25" width="10.54296875" style="1" hidden="1" customWidth="1"/>
    <col min="26" max="26" width="12" style="1" hidden="1" customWidth="1"/>
    <col min="27" max="27" width="12.81640625" style="1" customWidth="1"/>
    <col min="28" max="28" width="9.1796875" style="1" customWidth="1"/>
    <col min="29" max="29" width="14.81640625" style="1" customWidth="1"/>
    <col min="30" max="30" width="10.1796875" style="1" customWidth="1"/>
    <col min="31" max="31" width="33.1796875" style="1" customWidth="1"/>
    <col min="32" max="32" width="15.453125" style="1" customWidth="1"/>
    <col min="33" max="33" width="14.81640625" style="1" customWidth="1"/>
    <col min="34" max="34" width="17.453125" style="1" customWidth="1"/>
    <col min="35" max="35" width="24.1796875" style="1" customWidth="1"/>
    <col min="36" max="36" width="9" style="1" customWidth="1"/>
    <col min="37" max="37" width="5.54296875" style="1" customWidth="1"/>
    <col min="38" max="39" width="11.453125" style="1" customWidth="1"/>
    <col min="40" max="16384" width="11.453125" style="1"/>
  </cols>
  <sheetData>
    <row r="1" spans="2:27" ht="13.5" thickBot="1" x14ac:dyDescent="0.35"/>
    <row r="2" spans="2:27" ht="21.75" customHeight="1" thickBot="1" x14ac:dyDescent="0.5">
      <c r="B2" s="27" t="s">
        <v>0</v>
      </c>
      <c r="C2" s="28"/>
      <c r="D2" s="28"/>
      <c r="E2" s="28"/>
      <c r="F2" s="28"/>
      <c r="G2" s="28"/>
      <c r="H2" s="28"/>
      <c r="I2" s="28"/>
      <c r="J2" s="28"/>
      <c r="K2" s="28"/>
      <c r="L2" s="28"/>
      <c r="M2" s="28"/>
      <c r="N2" s="28"/>
      <c r="O2" s="28"/>
      <c r="P2" s="28"/>
      <c r="Q2" s="28"/>
      <c r="R2" s="28"/>
      <c r="S2" s="28"/>
      <c r="T2" s="28"/>
      <c r="U2" s="28"/>
      <c r="V2" s="28"/>
      <c r="W2" s="28"/>
      <c r="X2" s="28"/>
      <c r="Y2" s="28"/>
      <c r="Z2" s="28"/>
      <c r="AA2" s="29"/>
    </row>
    <row r="3" spans="2:27" ht="21.75" customHeight="1" x14ac:dyDescent="0.3">
      <c r="B3" s="32"/>
      <c r="C3" s="32"/>
      <c r="D3" s="32"/>
      <c r="E3" s="8"/>
      <c r="F3" s="8"/>
      <c r="G3" s="8"/>
      <c r="H3" s="8"/>
      <c r="I3" s="8"/>
    </row>
    <row r="4" spans="2:27" ht="21.75" customHeight="1" x14ac:dyDescent="0.3">
      <c r="B4" s="33"/>
      <c r="C4" s="33"/>
      <c r="D4" s="33"/>
    </row>
    <row r="5" spans="2:27" ht="19.5" customHeight="1" x14ac:dyDescent="0.35">
      <c r="C5" s="3" t="s">
        <v>1</v>
      </c>
      <c r="D5" s="30" t="s">
        <v>2</v>
      </c>
      <c r="E5" s="30"/>
      <c r="F5" s="30"/>
      <c r="G5" s="30"/>
      <c r="H5" s="30"/>
      <c r="I5" s="30"/>
    </row>
    <row r="6" spans="2:27" ht="23.5" customHeight="1" x14ac:dyDescent="0.35">
      <c r="C6" s="3" t="s">
        <v>3</v>
      </c>
      <c r="D6" s="31" t="s">
        <v>4</v>
      </c>
      <c r="E6" s="31"/>
      <c r="F6" s="22"/>
      <c r="G6" s="22"/>
      <c r="H6" s="22"/>
      <c r="I6" s="22"/>
    </row>
    <row r="7" spans="2:27" ht="14.5" x14ac:dyDescent="0.35">
      <c r="C7" s="3" t="s">
        <v>5</v>
      </c>
      <c r="D7" s="22"/>
      <c r="E7" s="22"/>
      <c r="F7" s="22"/>
      <c r="G7" s="22"/>
      <c r="H7" s="22"/>
      <c r="I7" s="22"/>
    </row>
    <row r="8" spans="2:27" ht="14.5" x14ac:dyDescent="0.35">
      <c r="C8" s="3" t="s">
        <v>6</v>
      </c>
      <c r="D8" s="22"/>
      <c r="E8" s="22"/>
      <c r="F8" s="22"/>
      <c r="G8" s="22"/>
      <c r="H8" s="22"/>
      <c r="I8" s="22"/>
    </row>
    <row r="9" spans="2:27" ht="18.5" x14ac:dyDescent="0.45">
      <c r="C9" s="9" t="s">
        <v>7</v>
      </c>
      <c r="D9" s="9" t="s">
        <v>8</v>
      </c>
      <c r="E9" s="9"/>
      <c r="F9" s="9"/>
      <c r="I9" s="18" t="s">
        <v>9</v>
      </c>
    </row>
    <row r="10" spans="2:27" x14ac:dyDescent="0.3">
      <c r="C10" s="9" t="s">
        <v>10</v>
      </c>
      <c r="D10" s="9" t="s">
        <v>11</v>
      </c>
      <c r="E10" s="9"/>
      <c r="F10" s="9"/>
    </row>
    <row r="11" spans="2:27" s="10" customFormat="1" ht="54" customHeight="1" thickBot="1" x14ac:dyDescent="0.3"/>
    <row r="12" spans="2:27" s="10" customFormat="1" ht="61.5" customHeight="1" thickBot="1" x14ac:dyDescent="0.3">
      <c r="B12" s="24" t="s">
        <v>12</v>
      </c>
      <c r="C12" s="25" t="s">
        <v>13</v>
      </c>
      <c r="D12" s="25" t="s">
        <v>14</v>
      </c>
      <c r="E12" s="25" t="s">
        <v>15</v>
      </c>
      <c r="F12" s="25" t="s">
        <v>159</v>
      </c>
      <c r="G12" s="25" t="s">
        <v>16</v>
      </c>
      <c r="H12" s="25" t="s">
        <v>17</v>
      </c>
      <c r="I12" s="25" t="s">
        <v>160</v>
      </c>
      <c r="J12" s="25" t="s">
        <v>161</v>
      </c>
      <c r="K12" s="25" t="s">
        <v>18</v>
      </c>
      <c r="L12" s="25" t="s">
        <v>19</v>
      </c>
      <c r="M12" s="25" t="s">
        <v>20</v>
      </c>
      <c r="N12" s="25" t="s">
        <v>21</v>
      </c>
      <c r="O12" s="25" t="s">
        <v>22</v>
      </c>
      <c r="P12" s="25" t="s">
        <v>23</v>
      </c>
      <c r="Q12" s="25" t="s">
        <v>24</v>
      </c>
      <c r="R12" s="25" t="s">
        <v>25</v>
      </c>
      <c r="S12" s="25" t="s">
        <v>26</v>
      </c>
      <c r="T12" s="25" t="s">
        <v>27</v>
      </c>
      <c r="U12" s="25" t="s">
        <v>28</v>
      </c>
      <c r="V12" s="25" t="s">
        <v>29</v>
      </c>
      <c r="W12" s="25" t="s">
        <v>30</v>
      </c>
      <c r="X12" s="25" t="s">
        <v>31</v>
      </c>
      <c r="Y12" s="25" t="s">
        <v>32</v>
      </c>
      <c r="Z12" s="25" t="s">
        <v>33</v>
      </c>
      <c r="AA12" s="26" t="s">
        <v>34</v>
      </c>
    </row>
    <row r="13" spans="2:27" s="10" customFormat="1" ht="176" customHeight="1" x14ac:dyDescent="0.25">
      <c r="B13" s="20" t="s">
        <v>35</v>
      </c>
      <c r="C13" s="20" t="s">
        <v>121</v>
      </c>
      <c r="D13" s="20" t="s">
        <v>36</v>
      </c>
      <c r="E13" s="20" t="s">
        <v>37</v>
      </c>
      <c r="F13" s="20" t="s">
        <v>38</v>
      </c>
      <c r="G13" s="21" t="s">
        <v>123</v>
      </c>
      <c r="H13" s="20"/>
      <c r="I13" s="21" t="s">
        <v>162</v>
      </c>
      <c r="J13" s="21"/>
      <c r="K13" s="21" t="s">
        <v>40</v>
      </c>
      <c r="L13" s="20"/>
      <c r="M13" s="20"/>
      <c r="N13" s="20"/>
      <c r="O13" s="20"/>
      <c r="P13" s="20"/>
      <c r="Q13" s="20"/>
      <c r="R13" s="20"/>
      <c r="Z13" s="10" t="s">
        <v>41</v>
      </c>
    </row>
    <row r="14" spans="2:27" s="10" customFormat="1" ht="84" customHeight="1" x14ac:dyDescent="0.25">
      <c r="B14" s="20" t="s">
        <v>42</v>
      </c>
      <c r="C14" s="20" t="s">
        <v>122</v>
      </c>
      <c r="D14" s="20" t="s">
        <v>36</v>
      </c>
      <c r="E14" s="20" t="s">
        <v>37</v>
      </c>
      <c r="F14" s="20" t="s">
        <v>38</v>
      </c>
      <c r="G14" s="21" t="s">
        <v>183</v>
      </c>
      <c r="H14" s="20"/>
      <c r="I14" s="21" t="s">
        <v>184</v>
      </c>
      <c r="J14" s="21" t="s">
        <v>163</v>
      </c>
      <c r="K14" s="21" t="s">
        <v>40</v>
      </c>
      <c r="L14" s="20"/>
      <c r="M14" s="20"/>
      <c r="N14" s="20"/>
      <c r="O14" s="20"/>
      <c r="P14" s="20" t="e">
        <f>[1]!Tableau32[[#This Row],[HJ Dev]]*(25%+25%)</f>
        <v>#REF!</v>
      </c>
      <c r="Q14" s="20" t="e">
        <f>[1]!Tableau32[[#This Row],[HJ Analyse et test]]+[1]!Tableau32[[#This Row],[HJ Dev]]</f>
        <v>#REF!</v>
      </c>
      <c r="R14" s="20" t="e">
        <f>[1]!Tableau32[[#This Row],[Total HJ]]*8</f>
        <v>#REF!</v>
      </c>
      <c r="Z14" s="10" t="s">
        <v>41</v>
      </c>
    </row>
    <row r="15" spans="2:27" s="10" customFormat="1" ht="84" customHeight="1" x14ac:dyDescent="0.25">
      <c r="B15" s="20" t="s">
        <v>45</v>
      </c>
      <c r="C15" s="20" t="s">
        <v>127</v>
      </c>
      <c r="D15" s="20" t="s">
        <v>36</v>
      </c>
      <c r="E15" s="20" t="s">
        <v>37</v>
      </c>
      <c r="F15" s="20" t="s">
        <v>38</v>
      </c>
      <c r="G15" s="21" t="s">
        <v>128</v>
      </c>
      <c r="H15" s="20"/>
      <c r="I15" s="21" t="s">
        <v>143</v>
      </c>
      <c r="J15" s="21"/>
      <c r="K15" s="21" t="s">
        <v>40</v>
      </c>
      <c r="L15" s="20"/>
      <c r="M15" s="20"/>
      <c r="N15" s="20"/>
      <c r="O15" s="20"/>
      <c r="P15" s="20" t="e">
        <f>[1]!Tableau32[[#This Row],[HJ Dev]]*(25%+25%)</f>
        <v>#REF!</v>
      </c>
      <c r="Q15" s="20" t="e">
        <f>[1]!Tableau32[[#This Row],[HJ Analyse et test]]+[1]!Tableau32[[#This Row],[HJ Dev]]</f>
        <v>#REF!</v>
      </c>
      <c r="R15" s="20" t="e">
        <f>[1]!Tableau32[[#This Row],[Total HJ]]*8</f>
        <v>#REF!</v>
      </c>
      <c r="Z15" s="10" t="s">
        <v>41</v>
      </c>
    </row>
    <row r="16" spans="2:27" s="10" customFormat="1" ht="111" customHeight="1" x14ac:dyDescent="0.25">
      <c r="B16" s="20" t="s">
        <v>46</v>
      </c>
      <c r="C16" s="20" t="s">
        <v>43</v>
      </c>
      <c r="D16" s="20" t="s">
        <v>36</v>
      </c>
      <c r="E16" s="20" t="s">
        <v>37</v>
      </c>
      <c r="F16" s="20" t="s">
        <v>38</v>
      </c>
      <c r="G16" s="21" t="s">
        <v>144</v>
      </c>
      <c r="H16" s="20"/>
      <c r="I16" s="21" t="s">
        <v>165</v>
      </c>
      <c r="J16" s="21" t="s">
        <v>164</v>
      </c>
      <c r="K16" s="21" t="s">
        <v>40</v>
      </c>
      <c r="L16" s="20"/>
      <c r="M16" s="20"/>
      <c r="N16" s="20"/>
      <c r="O16" s="20"/>
      <c r="P16" s="20" t="e">
        <f>[1]!Tableau32[[#This Row],[HJ Dev]]*(25%+25%)</f>
        <v>#REF!</v>
      </c>
      <c r="Q16" s="20" t="e">
        <f>[1]!Tableau32[[#This Row],[HJ Analyse et test]]+[1]!Tableau32[[#This Row],[HJ Dev]]</f>
        <v>#REF!</v>
      </c>
      <c r="R16" s="20" t="e">
        <f>[1]!Tableau32[[#This Row],[Total HJ]]*8</f>
        <v>#REF!</v>
      </c>
      <c r="Z16" s="10" t="s">
        <v>41</v>
      </c>
    </row>
    <row r="17" spans="2:26" s="10" customFormat="1" ht="130.5" x14ac:dyDescent="0.25">
      <c r="B17" s="20" t="s">
        <v>47</v>
      </c>
      <c r="C17" s="20" t="s">
        <v>166</v>
      </c>
      <c r="D17" s="20" t="s">
        <v>36</v>
      </c>
      <c r="E17" s="20" t="s">
        <v>37</v>
      </c>
      <c r="F17" s="20" t="s">
        <v>38</v>
      </c>
      <c r="G17" s="21" t="s">
        <v>129</v>
      </c>
      <c r="H17" s="20"/>
      <c r="I17" s="21" t="s">
        <v>167</v>
      </c>
      <c r="J17" s="21"/>
      <c r="K17" s="21" t="s">
        <v>40</v>
      </c>
      <c r="L17" s="20"/>
      <c r="M17" s="20"/>
      <c r="N17" s="20"/>
      <c r="O17" s="20"/>
      <c r="P17" s="20" t="e">
        <f>[1]!Tableau32[[#This Row],[HJ Dev]]*(25%+25%)</f>
        <v>#REF!</v>
      </c>
      <c r="Q17" s="20" t="e">
        <f>[1]!Tableau32[[#This Row],[HJ Analyse et test]]+[1]!Tableau32[[#This Row],[HJ Dev]]</f>
        <v>#REF!</v>
      </c>
      <c r="R17" s="20" t="e">
        <f>[1]!Tableau32[[#This Row],[Total HJ]]*8</f>
        <v>#REF!</v>
      </c>
      <c r="Z17" s="10" t="s">
        <v>41</v>
      </c>
    </row>
    <row r="18" spans="2:26" s="10" customFormat="1" ht="84" customHeight="1" x14ac:dyDescent="0.25">
      <c r="B18" s="20" t="s">
        <v>48</v>
      </c>
      <c r="C18" s="20" t="s">
        <v>145</v>
      </c>
      <c r="D18" s="20" t="s">
        <v>36</v>
      </c>
      <c r="E18" s="20" t="s">
        <v>37</v>
      </c>
      <c r="F18" s="20" t="s">
        <v>38</v>
      </c>
      <c r="G18" s="21" t="s">
        <v>146</v>
      </c>
      <c r="H18" s="20"/>
      <c r="I18" s="21" t="s">
        <v>168</v>
      </c>
      <c r="J18" s="21"/>
      <c r="K18" s="21" t="s">
        <v>40</v>
      </c>
      <c r="L18" s="20"/>
      <c r="M18" s="20"/>
      <c r="N18" s="20"/>
      <c r="O18" s="20"/>
      <c r="P18" s="20" t="e">
        <f>[1]!Tableau32[[#This Row],[HJ Dev]]*(25%+25%)</f>
        <v>#REF!</v>
      </c>
      <c r="Q18" s="20" t="e">
        <f>[1]!Tableau32[[#This Row],[HJ Analyse et test]]+[1]!Tableau32[[#This Row],[HJ Dev]]</f>
        <v>#REF!</v>
      </c>
      <c r="R18" s="20" t="e">
        <f>[1]!Tableau32[[#This Row],[Total HJ]]*8</f>
        <v>#REF!</v>
      </c>
      <c r="Z18" s="10" t="s">
        <v>41</v>
      </c>
    </row>
    <row r="19" spans="2:26" s="10" customFormat="1" ht="187" customHeight="1" x14ac:dyDescent="0.25">
      <c r="B19" s="20" t="s">
        <v>49</v>
      </c>
      <c r="C19" s="20" t="s">
        <v>209</v>
      </c>
      <c r="D19" s="20" t="s">
        <v>36</v>
      </c>
      <c r="E19" s="20" t="s">
        <v>37</v>
      </c>
      <c r="F19" s="20" t="s">
        <v>38</v>
      </c>
      <c r="G19" s="21" t="s">
        <v>216</v>
      </c>
      <c r="H19" s="20"/>
      <c r="I19" s="21" t="s">
        <v>215</v>
      </c>
      <c r="J19" s="21"/>
      <c r="K19" s="21"/>
      <c r="L19" s="20"/>
      <c r="M19" s="20"/>
      <c r="N19" s="20"/>
      <c r="O19" s="20"/>
      <c r="P19" s="10" t="e">
        <f>[1]!Tableau32[[#This Row],[HJ Dev]]*(25%+25%)</f>
        <v>#REF!</v>
      </c>
      <c r="Q19" s="10" t="e">
        <f>[1]!Tableau32[[#This Row],[HJ Analyse et test]]+[1]!Tableau32[[#This Row],[HJ Dev]]</f>
        <v>#REF!</v>
      </c>
      <c r="R19" s="10" t="e">
        <f>[1]!Tableau32[[#This Row],[Total HJ]]*8</f>
        <v>#REF!</v>
      </c>
    </row>
    <row r="20" spans="2:26" s="10" customFormat="1" ht="130" customHeight="1" x14ac:dyDescent="0.25">
      <c r="B20" s="20" t="s">
        <v>50</v>
      </c>
      <c r="C20" s="20" t="s">
        <v>169</v>
      </c>
      <c r="D20" s="20" t="s">
        <v>36</v>
      </c>
      <c r="E20" s="20" t="s">
        <v>37</v>
      </c>
      <c r="F20" s="20" t="s">
        <v>38</v>
      </c>
      <c r="G20" s="21" t="s">
        <v>170</v>
      </c>
      <c r="H20" s="20"/>
      <c r="I20" s="21" t="s">
        <v>171</v>
      </c>
      <c r="J20" s="21"/>
      <c r="K20" s="21" t="s">
        <v>40</v>
      </c>
      <c r="L20" s="20"/>
      <c r="M20" s="20"/>
      <c r="N20" s="20"/>
      <c r="O20" s="20"/>
      <c r="P20" s="20" t="e">
        <f>[1]!Tableau32[[#This Row],[HJ Dev]]*(25%+25%)</f>
        <v>#REF!</v>
      </c>
      <c r="Q20" s="20" t="e">
        <f>[1]!Tableau32[[#This Row],[HJ Analyse et test]]+[1]!Tableau32[[#This Row],[HJ Dev]]</f>
        <v>#REF!</v>
      </c>
      <c r="R20" s="20" t="e">
        <f>[1]!Tableau32[[#This Row],[Total HJ]]*8</f>
        <v>#REF!</v>
      </c>
      <c r="Z20" s="10" t="s">
        <v>41</v>
      </c>
    </row>
    <row r="21" spans="2:26" s="10" customFormat="1" ht="170.5" customHeight="1" x14ac:dyDescent="0.25">
      <c r="B21" s="20" t="s">
        <v>51</v>
      </c>
      <c r="C21" s="20" t="s">
        <v>147</v>
      </c>
      <c r="D21" s="20" t="s">
        <v>36</v>
      </c>
      <c r="E21" s="20" t="s">
        <v>37</v>
      </c>
      <c r="F21" s="20" t="s">
        <v>38</v>
      </c>
      <c r="G21" s="21" t="s">
        <v>148</v>
      </c>
      <c r="H21" s="20"/>
      <c r="I21" s="21" t="s">
        <v>172</v>
      </c>
      <c r="J21" s="21"/>
      <c r="K21" s="21" t="s">
        <v>40</v>
      </c>
      <c r="L21" s="20"/>
      <c r="M21" s="20"/>
      <c r="N21" s="20"/>
      <c r="O21" s="20"/>
      <c r="P21" s="20" t="e">
        <f>[1]!Tableau32[[#This Row],[HJ Dev]]*(25%+25%)</f>
        <v>#REF!</v>
      </c>
      <c r="Q21" s="20" t="e">
        <f>[1]!Tableau32[[#This Row],[HJ Analyse et test]]+[1]!Tableau32[[#This Row],[HJ Dev]]</f>
        <v>#REF!</v>
      </c>
      <c r="R21" s="20" t="e">
        <f>[1]!Tableau32[[#This Row],[Total HJ]]*8</f>
        <v>#REF!</v>
      </c>
      <c r="Z21" s="10" t="s">
        <v>41</v>
      </c>
    </row>
    <row r="22" spans="2:26" s="10" customFormat="1" ht="140.5" customHeight="1" x14ac:dyDescent="0.25">
      <c r="B22" s="20" t="s">
        <v>52</v>
      </c>
      <c r="C22" s="20" t="s">
        <v>132</v>
      </c>
      <c r="D22" s="20" t="s">
        <v>36</v>
      </c>
      <c r="E22" s="20" t="s">
        <v>37</v>
      </c>
      <c r="F22" s="20" t="s">
        <v>38</v>
      </c>
      <c r="G22" s="21" t="s">
        <v>132</v>
      </c>
      <c r="H22" s="20"/>
      <c r="I22" s="21" t="s">
        <v>131</v>
      </c>
      <c r="J22" s="21" t="s">
        <v>173</v>
      </c>
      <c r="K22" s="21" t="s">
        <v>40</v>
      </c>
      <c r="L22" s="20"/>
      <c r="M22" s="20"/>
      <c r="N22" s="20"/>
      <c r="O22" s="20"/>
      <c r="P22" s="10" t="e">
        <f>[1]!Tableau32[[#This Row],[HJ Dev]]*(25%+25%)</f>
        <v>#REF!</v>
      </c>
      <c r="Q22" s="10" t="e">
        <f>[1]!Tableau32[[#This Row],[HJ Analyse et test]]+[1]!Tableau32[[#This Row],[HJ Dev]]</f>
        <v>#REF!</v>
      </c>
      <c r="R22" s="10" t="e">
        <f>[1]!Tableau32[[#This Row],[Total HJ]]*8</f>
        <v>#REF!</v>
      </c>
      <c r="Z22" s="10" t="s">
        <v>41</v>
      </c>
    </row>
    <row r="23" spans="2:26" s="10" customFormat="1" ht="275" customHeight="1" x14ac:dyDescent="0.25">
      <c r="B23" s="20" t="s">
        <v>53</v>
      </c>
      <c r="C23" s="20" t="s">
        <v>149</v>
      </c>
      <c r="D23" s="20" t="s">
        <v>36</v>
      </c>
      <c r="E23" s="20" t="s">
        <v>37</v>
      </c>
      <c r="F23" s="20" t="s">
        <v>38</v>
      </c>
      <c r="G23" s="21" t="s">
        <v>185</v>
      </c>
      <c r="H23" s="20"/>
      <c r="I23" s="21" t="s">
        <v>191</v>
      </c>
      <c r="J23" s="21"/>
      <c r="K23" s="21" t="s">
        <v>40</v>
      </c>
      <c r="L23" s="20"/>
      <c r="M23" s="20"/>
      <c r="N23" s="20"/>
      <c r="O23" s="20"/>
      <c r="P23" s="10" t="e">
        <f>[1]!Tableau32[[#This Row],[HJ Dev]]*(25%+25%)</f>
        <v>#REF!</v>
      </c>
      <c r="Q23" s="10" t="e">
        <f>[1]!Tableau32[[#This Row],[HJ Analyse et test]]+[1]!Tableau32[[#This Row],[HJ Dev]]</f>
        <v>#REF!</v>
      </c>
      <c r="R23" s="10" t="e">
        <f>[1]!Tableau32[[#This Row],[Total HJ]]*8</f>
        <v>#REF!</v>
      </c>
      <c r="Z23" s="10" t="s">
        <v>41</v>
      </c>
    </row>
    <row r="24" spans="2:26" s="10" customFormat="1" ht="84" customHeight="1" x14ac:dyDescent="0.25">
      <c r="B24" s="20" t="s">
        <v>54</v>
      </c>
      <c r="C24" s="20" t="s">
        <v>130</v>
      </c>
      <c r="D24" s="20" t="s">
        <v>36</v>
      </c>
      <c r="E24" s="20" t="s">
        <v>37</v>
      </c>
      <c r="F24" s="20" t="s">
        <v>38</v>
      </c>
      <c r="G24" s="21" t="s">
        <v>189</v>
      </c>
      <c r="H24" s="20"/>
      <c r="I24" s="21" t="s">
        <v>190</v>
      </c>
      <c r="J24" s="21"/>
      <c r="K24" s="21"/>
      <c r="L24" s="20"/>
      <c r="M24" s="20"/>
      <c r="N24" s="20"/>
      <c r="O24" s="20"/>
      <c r="P24" s="10" t="e">
        <f>[1]!Tableau32[[#This Row],[HJ Dev]]*(25%+25%)</f>
        <v>#REF!</v>
      </c>
      <c r="Q24" s="10" t="e">
        <f>[1]!Tableau32[[#This Row],[HJ Analyse et test]]+[1]!Tableau32[[#This Row],[HJ Dev]]</f>
        <v>#REF!</v>
      </c>
      <c r="R24" s="10" t="e">
        <f>[1]!Tableau32[[#This Row],[Total HJ]]*8</f>
        <v>#REF!</v>
      </c>
    </row>
    <row r="25" spans="2:26" s="10" customFormat="1" ht="84" customHeight="1" x14ac:dyDescent="0.25">
      <c r="B25" s="20" t="s">
        <v>55</v>
      </c>
      <c r="C25" s="20" t="s">
        <v>186</v>
      </c>
      <c r="D25" s="20" t="s">
        <v>36</v>
      </c>
      <c r="E25" s="20" t="s">
        <v>37</v>
      </c>
      <c r="F25" s="20" t="s">
        <v>38</v>
      </c>
      <c r="G25" s="21" t="s">
        <v>187</v>
      </c>
      <c r="H25" s="20"/>
      <c r="I25" s="21" t="s">
        <v>188</v>
      </c>
      <c r="J25" s="21"/>
      <c r="K25" s="21"/>
      <c r="L25" s="20"/>
      <c r="M25" s="20"/>
      <c r="N25" s="20"/>
      <c r="O25" s="20"/>
      <c r="P25" s="10" t="e">
        <f>[1]!Tableau32[[#This Row],[HJ Dev]]*(25%+25%)</f>
        <v>#REF!</v>
      </c>
      <c r="Q25" s="10" t="e">
        <f>[1]!Tableau32[[#This Row],[HJ Analyse et test]]+[1]!Tableau32[[#This Row],[HJ Dev]]</f>
        <v>#REF!</v>
      </c>
      <c r="R25" s="10" t="e">
        <f>[1]!Tableau32[[#This Row],[Total HJ]]*8</f>
        <v>#REF!</v>
      </c>
    </row>
    <row r="26" spans="2:26" s="10" customFormat="1" ht="84" customHeight="1" x14ac:dyDescent="0.25">
      <c r="B26" s="20" t="s">
        <v>56</v>
      </c>
      <c r="C26" s="20" t="s">
        <v>150</v>
      </c>
      <c r="D26" s="20" t="s">
        <v>36</v>
      </c>
      <c r="E26" s="20" t="s">
        <v>37</v>
      </c>
      <c r="F26" s="20" t="s">
        <v>38</v>
      </c>
      <c r="G26" s="21" t="s">
        <v>133</v>
      </c>
      <c r="H26" s="20"/>
      <c r="I26" s="21" t="s">
        <v>174</v>
      </c>
      <c r="J26" s="21"/>
      <c r="K26" s="21" t="s">
        <v>40</v>
      </c>
      <c r="L26" s="20"/>
      <c r="M26" s="20"/>
      <c r="N26" s="20"/>
      <c r="O26" s="20"/>
      <c r="P26" s="20" t="e">
        <f>[1]!Tableau32[[#This Row],[HJ Dev]]*(25%+25%)</f>
        <v>#REF!</v>
      </c>
      <c r="Q26" s="20" t="e">
        <f>[1]!Tableau32[[#This Row],[HJ Analyse et test]]+[1]!Tableau32[[#This Row],[HJ Dev]]</f>
        <v>#REF!</v>
      </c>
      <c r="R26" s="20" t="e">
        <f>[1]!Tableau32[[#This Row],[Total HJ]]*8</f>
        <v>#REF!</v>
      </c>
      <c r="Z26" s="10" t="s">
        <v>41</v>
      </c>
    </row>
    <row r="27" spans="2:26" s="10" customFormat="1" ht="154" customHeight="1" x14ac:dyDescent="0.25">
      <c r="B27" s="20" t="s">
        <v>57</v>
      </c>
      <c r="C27" s="20" t="s">
        <v>212</v>
      </c>
      <c r="D27" s="20" t="s">
        <v>36</v>
      </c>
      <c r="E27" s="20" t="s">
        <v>37</v>
      </c>
      <c r="F27" s="20" t="s">
        <v>38</v>
      </c>
      <c r="G27" s="21" t="s">
        <v>214</v>
      </c>
      <c r="H27" s="20"/>
      <c r="I27" s="21" t="s">
        <v>213</v>
      </c>
      <c r="J27" s="21"/>
      <c r="K27" s="21"/>
      <c r="L27" s="20"/>
      <c r="M27" s="20"/>
      <c r="N27" s="20"/>
      <c r="O27" s="20"/>
      <c r="P27" s="10" t="e">
        <f>[1]!Tableau32[[#This Row],[HJ Dev]]*(25%+25%)</f>
        <v>#REF!</v>
      </c>
      <c r="Q27" s="10" t="e">
        <f>[1]!Tableau32[[#This Row],[HJ Analyse et test]]+[1]!Tableau32[[#This Row],[HJ Dev]]</f>
        <v>#REF!</v>
      </c>
      <c r="R27" s="10" t="e">
        <f>[1]!Tableau32[[#This Row],[Total HJ]]*8</f>
        <v>#REF!</v>
      </c>
    </row>
    <row r="28" spans="2:26" s="10" customFormat="1" ht="99" customHeight="1" x14ac:dyDescent="0.25">
      <c r="B28" s="20" t="s">
        <v>58</v>
      </c>
      <c r="C28" s="20" t="s">
        <v>134</v>
      </c>
      <c r="D28" s="20" t="s">
        <v>36</v>
      </c>
      <c r="E28" s="20" t="s">
        <v>37</v>
      </c>
      <c r="F28" s="20" t="s">
        <v>38</v>
      </c>
      <c r="G28" s="21" t="s">
        <v>151</v>
      </c>
      <c r="H28" s="20"/>
      <c r="I28" s="21" t="s">
        <v>135</v>
      </c>
      <c r="J28" s="21"/>
      <c r="K28" s="21" t="s">
        <v>40</v>
      </c>
      <c r="L28" s="20"/>
      <c r="M28" s="20"/>
      <c r="N28" s="20"/>
      <c r="O28" s="20"/>
      <c r="P28" s="20" t="e">
        <f>[1]!Tableau32[[#This Row],[HJ Dev]]*(25%+25%)</f>
        <v>#REF!</v>
      </c>
      <c r="Q28" s="20" t="e">
        <f>[1]!Tableau32[[#This Row],[HJ Analyse et test]]+[1]!Tableau32[[#This Row],[HJ Dev]]</f>
        <v>#REF!</v>
      </c>
      <c r="R28" s="20" t="e">
        <f>[1]!Tableau32[[#This Row],[Total HJ]]*8</f>
        <v>#REF!</v>
      </c>
      <c r="Z28" s="10" t="s">
        <v>41</v>
      </c>
    </row>
    <row r="29" spans="2:26" s="10" customFormat="1" ht="84" customHeight="1" x14ac:dyDescent="0.25">
      <c r="B29" s="20" t="s">
        <v>59</v>
      </c>
      <c r="C29" s="20" t="s">
        <v>152</v>
      </c>
      <c r="D29" s="20" t="s">
        <v>36</v>
      </c>
      <c r="E29" s="20" t="s">
        <v>37</v>
      </c>
      <c r="F29" s="20" t="s">
        <v>38</v>
      </c>
      <c r="G29" s="21" t="s">
        <v>153</v>
      </c>
      <c r="H29" s="20"/>
      <c r="I29" s="21" t="s">
        <v>175</v>
      </c>
      <c r="J29" s="21"/>
      <c r="K29" s="21" t="s">
        <v>40</v>
      </c>
      <c r="L29" s="20"/>
      <c r="M29" s="20"/>
      <c r="N29" s="20"/>
      <c r="O29" s="20"/>
      <c r="P29" s="20" t="e">
        <f>[1]!Tableau32[[#This Row],[HJ Dev]]*(25%+25%)</f>
        <v>#REF!</v>
      </c>
      <c r="Q29" s="20" t="e">
        <f>[1]!Tableau32[[#This Row],[HJ Analyse et test]]+[1]!Tableau32[[#This Row],[HJ Dev]]</f>
        <v>#REF!</v>
      </c>
      <c r="R29" s="20" t="e">
        <f>[1]!Tableau32[[#This Row],[Total HJ]]*8</f>
        <v>#REF!</v>
      </c>
      <c r="Z29" s="10" t="s">
        <v>41</v>
      </c>
    </row>
    <row r="30" spans="2:26" s="10" customFormat="1" ht="84" customHeight="1" x14ac:dyDescent="0.25">
      <c r="B30" s="20" t="s">
        <v>60</v>
      </c>
      <c r="C30" s="20" t="s">
        <v>136</v>
      </c>
      <c r="D30" s="20" t="s">
        <v>36</v>
      </c>
      <c r="E30" s="20" t="s">
        <v>37</v>
      </c>
      <c r="F30" s="20" t="s">
        <v>38</v>
      </c>
      <c r="G30" s="21" t="s">
        <v>137</v>
      </c>
      <c r="H30" s="20"/>
      <c r="I30" s="21" t="s">
        <v>193</v>
      </c>
      <c r="J30" s="21"/>
      <c r="K30" s="21" t="s">
        <v>40</v>
      </c>
      <c r="L30" s="20"/>
      <c r="M30" s="20"/>
      <c r="N30" s="20"/>
      <c r="O30" s="20"/>
      <c r="P30" s="20" t="e">
        <f>[1]!Tableau32[[#This Row],[HJ Dev]]*(25%+25%)</f>
        <v>#REF!</v>
      </c>
      <c r="Q30" s="20" t="e">
        <f>[1]!Tableau32[[#This Row],[HJ Analyse et test]]+[1]!Tableau32[[#This Row],[HJ Dev]]</f>
        <v>#REF!</v>
      </c>
      <c r="R30" s="20" t="e">
        <f>[1]!Tableau32[[#This Row],[Total HJ]]*8</f>
        <v>#REF!</v>
      </c>
      <c r="Z30" s="10" t="s">
        <v>41</v>
      </c>
    </row>
    <row r="31" spans="2:26" s="10" customFormat="1" ht="239" customHeight="1" x14ac:dyDescent="0.25">
      <c r="B31" s="20" t="s">
        <v>61</v>
      </c>
      <c r="C31" s="20" t="s">
        <v>208</v>
      </c>
      <c r="D31" s="20" t="s">
        <v>36</v>
      </c>
      <c r="E31" s="20" t="s">
        <v>37</v>
      </c>
      <c r="F31" s="20" t="s">
        <v>38</v>
      </c>
      <c r="G31" s="21" t="s">
        <v>192</v>
      </c>
      <c r="H31" s="20"/>
      <c r="I31" s="21" t="s">
        <v>194</v>
      </c>
      <c r="J31" s="21"/>
      <c r="K31" s="21"/>
      <c r="L31" s="20"/>
      <c r="M31" s="20"/>
      <c r="N31" s="20"/>
      <c r="O31" s="20"/>
      <c r="P31" s="10" t="e">
        <f>[1]!Tableau32[[#This Row],[HJ Dev]]*(25%+25%)</f>
        <v>#REF!</v>
      </c>
      <c r="Q31" s="10" t="e">
        <f>[1]!Tableau32[[#This Row],[HJ Analyse et test]]+[1]!Tableau32[[#This Row],[HJ Dev]]</f>
        <v>#REF!</v>
      </c>
      <c r="R31" s="10" t="e">
        <f>[1]!Tableau32[[#This Row],[Total HJ]]*8</f>
        <v>#REF!</v>
      </c>
    </row>
    <row r="32" spans="2:26" s="10" customFormat="1" ht="146" customHeight="1" x14ac:dyDescent="0.25">
      <c r="B32" s="20" t="s">
        <v>62</v>
      </c>
      <c r="C32" s="20" t="s">
        <v>218</v>
      </c>
      <c r="D32" s="20" t="s">
        <v>36</v>
      </c>
      <c r="E32" s="20" t="s">
        <v>37</v>
      </c>
      <c r="F32" s="20" t="s">
        <v>38</v>
      </c>
      <c r="G32" s="21" t="s">
        <v>219</v>
      </c>
      <c r="H32" s="20"/>
      <c r="I32" s="21" t="s">
        <v>220</v>
      </c>
      <c r="J32" s="21"/>
      <c r="K32" s="21"/>
      <c r="L32" s="20"/>
      <c r="M32" s="20"/>
      <c r="N32" s="20"/>
      <c r="O32" s="20"/>
      <c r="P32" s="10" t="e">
        <f>[1]!Tableau32[[#This Row],[HJ Dev]]*(25%+25%)</f>
        <v>#REF!</v>
      </c>
      <c r="Q32" s="10" t="e">
        <f>[1]!Tableau32[[#This Row],[HJ Analyse et test]]+[1]!Tableau32[[#This Row],[HJ Dev]]</f>
        <v>#REF!</v>
      </c>
      <c r="R32" s="10" t="e">
        <f>[1]!Tableau32[[#This Row],[Total HJ]]*8</f>
        <v>#REF!</v>
      </c>
    </row>
    <row r="33" spans="2:27" s="10" customFormat="1" ht="97" customHeight="1" x14ac:dyDescent="0.25">
      <c r="B33" s="20" t="s">
        <v>63</v>
      </c>
      <c r="C33" s="20" t="s">
        <v>195</v>
      </c>
      <c r="D33" s="20" t="s">
        <v>36</v>
      </c>
      <c r="E33" s="20" t="s">
        <v>37</v>
      </c>
      <c r="F33" s="20" t="s">
        <v>38</v>
      </c>
      <c r="G33" s="21" t="s">
        <v>196</v>
      </c>
      <c r="H33" s="20"/>
      <c r="I33" s="21" t="s">
        <v>197</v>
      </c>
      <c r="J33" s="21"/>
      <c r="K33" s="21"/>
      <c r="L33" s="20"/>
      <c r="M33" s="20"/>
      <c r="N33" s="20"/>
      <c r="O33" s="20"/>
      <c r="P33" s="10" t="e">
        <f>[1]!Tableau32[[#This Row],[HJ Dev]]*(25%+25%)</f>
        <v>#REF!</v>
      </c>
      <c r="Q33" s="10" t="e">
        <f>[1]!Tableau32[[#This Row],[HJ Analyse et test]]+[1]!Tableau32[[#This Row],[HJ Dev]]</f>
        <v>#REF!</v>
      </c>
      <c r="R33" s="10" t="e">
        <f>[1]!Tableau32[[#This Row],[Total HJ]]*8</f>
        <v>#REF!</v>
      </c>
    </row>
    <row r="34" spans="2:27" ht="29" x14ac:dyDescent="0.3">
      <c r="B34" s="20" t="s">
        <v>202</v>
      </c>
      <c r="C34" s="20" t="s">
        <v>198</v>
      </c>
      <c r="D34" s="20" t="s">
        <v>36</v>
      </c>
      <c r="E34" s="20" t="s">
        <v>37</v>
      </c>
      <c r="F34" s="20" t="s">
        <v>38</v>
      </c>
      <c r="G34" s="21" t="s">
        <v>199</v>
      </c>
      <c r="H34" s="20"/>
      <c r="I34" s="21" t="s">
        <v>206</v>
      </c>
      <c r="J34" s="21"/>
      <c r="K34" s="21"/>
      <c r="L34" s="20"/>
      <c r="M34" s="20"/>
      <c r="N34" s="20"/>
      <c r="O34" s="20"/>
      <c r="P34" s="10" t="e">
        <f>[1]!Tableau32[[#This Row],[HJ Dev]]*(25%+25%)</f>
        <v>#REF!</v>
      </c>
      <c r="Q34" s="10" t="e">
        <f>[1]!Tableau32[[#This Row],[HJ Analyse et test]]+[1]!Tableau32[[#This Row],[HJ Dev]]</f>
        <v>#REF!</v>
      </c>
      <c r="R34" s="10" t="e">
        <f>[1]!Tableau32[[#This Row],[Total HJ]]*8</f>
        <v>#REF!</v>
      </c>
      <c r="S34" s="10"/>
      <c r="T34" s="10"/>
      <c r="U34" s="10"/>
      <c r="V34" s="10"/>
      <c r="W34" s="10"/>
      <c r="X34" s="10"/>
      <c r="Y34" s="10"/>
      <c r="Z34" s="10"/>
      <c r="AA34" s="10"/>
    </row>
    <row r="35" spans="2:27" ht="29" x14ac:dyDescent="0.3">
      <c r="B35" s="20" t="s">
        <v>203</v>
      </c>
      <c r="C35" s="20" t="s">
        <v>200</v>
      </c>
      <c r="D35" s="20" t="s">
        <v>36</v>
      </c>
      <c r="E35" s="20" t="s">
        <v>37</v>
      </c>
      <c r="F35" s="20" t="s">
        <v>38</v>
      </c>
      <c r="G35" s="21" t="s">
        <v>201</v>
      </c>
      <c r="H35" s="20"/>
      <c r="I35" s="21" t="s">
        <v>207</v>
      </c>
      <c r="J35" s="21"/>
      <c r="K35" s="21"/>
      <c r="L35" s="20"/>
      <c r="M35" s="20"/>
      <c r="N35" s="20"/>
      <c r="O35" s="20"/>
      <c r="P35" s="10" t="e">
        <f>[1]!Tableau32[[#This Row],[HJ Dev]]*(25%+25%)</f>
        <v>#REF!</v>
      </c>
      <c r="Q35" s="10" t="e">
        <f>[1]!Tableau32[[#This Row],[HJ Analyse et test]]+[1]!Tableau32[[#This Row],[HJ Dev]]</f>
        <v>#REF!</v>
      </c>
      <c r="R35" s="10" t="e">
        <f>[1]!Tableau32[[#This Row],[Total HJ]]*8</f>
        <v>#REF!</v>
      </c>
      <c r="S35" s="10"/>
      <c r="T35" s="10"/>
      <c r="U35" s="10"/>
      <c r="V35" s="10"/>
      <c r="W35" s="10"/>
      <c r="X35" s="10"/>
      <c r="Y35" s="10"/>
      <c r="Z35" s="10"/>
      <c r="AA35" s="10"/>
    </row>
    <row r="36" spans="2:27" ht="29" x14ac:dyDescent="0.3">
      <c r="B36" s="20" t="s">
        <v>204</v>
      </c>
      <c r="C36" s="20" t="s">
        <v>176</v>
      </c>
      <c r="D36" s="20" t="s">
        <v>36</v>
      </c>
      <c r="E36" s="20" t="s">
        <v>37</v>
      </c>
      <c r="F36" s="20" t="s">
        <v>38</v>
      </c>
      <c r="G36" s="21" t="s">
        <v>139</v>
      </c>
      <c r="H36" s="20"/>
      <c r="I36" s="21" t="s">
        <v>177</v>
      </c>
      <c r="J36" s="21" t="s">
        <v>178</v>
      </c>
      <c r="K36" s="21" t="s">
        <v>40</v>
      </c>
      <c r="L36" s="20"/>
      <c r="M36" s="20"/>
      <c r="N36" s="20"/>
      <c r="O36" s="20"/>
      <c r="P36" s="20" t="e">
        <f>[1]!Tableau32[[#This Row],[HJ Dev]]*(25%+25%)</f>
        <v>#REF!</v>
      </c>
      <c r="Q36" s="20" t="e">
        <f>[1]!Tableau32[[#This Row],[HJ Analyse et test]]+[1]!Tableau32[[#This Row],[HJ Dev]]</f>
        <v>#REF!</v>
      </c>
      <c r="R36" s="20" t="e">
        <f>[1]!Tableau32[[#This Row],[Total HJ]]*8</f>
        <v>#REF!</v>
      </c>
      <c r="S36" s="10"/>
      <c r="T36" s="10"/>
      <c r="U36" s="10"/>
      <c r="V36" s="10"/>
      <c r="W36" s="10"/>
      <c r="X36" s="10"/>
      <c r="Y36" s="10"/>
      <c r="Z36" s="10" t="s">
        <v>41</v>
      </c>
      <c r="AA36" s="10"/>
    </row>
    <row r="37" spans="2:27" ht="43.5" x14ac:dyDescent="0.3">
      <c r="B37" s="20" t="s">
        <v>205</v>
      </c>
      <c r="C37" s="20" t="s">
        <v>179</v>
      </c>
      <c r="D37" s="20" t="s">
        <v>36</v>
      </c>
      <c r="E37" s="20" t="s">
        <v>37</v>
      </c>
      <c r="F37" s="20" t="s">
        <v>38</v>
      </c>
      <c r="G37" s="21" t="s">
        <v>180</v>
      </c>
      <c r="H37" s="20"/>
      <c r="I37" s="21" t="s">
        <v>181</v>
      </c>
      <c r="J37" s="21"/>
      <c r="K37" s="21" t="s">
        <v>40</v>
      </c>
      <c r="L37" s="20"/>
      <c r="M37" s="20"/>
      <c r="N37" s="20"/>
      <c r="O37" s="20"/>
      <c r="P37" s="20" t="e">
        <f>[1]!Tableau32[[#This Row],[HJ Dev]]*(25%+25%)</f>
        <v>#REF!</v>
      </c>
      <c r="Q37" s="20" t="e">
        <f>[1]!Tableau32[[#This Row],[HJ Analyse et test]]+[1]!Tableau32[[#This Row],[HJ Dev]]</f>
        <v>#REF!</v>
      </c>
      <c r="R37" s="20" t="e">
        <f>[1]!Tableau32[[#This Row],[Total HJ]]*8</f>
        <v>#REF!</v>
      </c>
      <c r="S37" s="10"/>
      <c r="T37" s="10"/>
      <c r="U37" s="10"/>
      <c r="V37" s="10"/>
      <c r="W37" s="10"/>
      <c r="X37" s="10"/>
      <c r="Y37" s="10"/>
      <c r="Z37" s="10" t="s">
        <v>41</v>
      </c>
      <c r="AA37" s="10"/>
    </row>
    <row r="38" spans="2:27" ht="159.5" x14ac:dyDescent="0.3">
      <c r="B38" s="20" t="s">
        <v>210</v>
      </c>
      <c r="C38" s="23" t="s">
        <v>138</v>
      </c>
      <c r="D38" s="20" t="s">
        <v>36</v>
      </c>
      <c r="E38" s="20" t="s">
        <v>37</v>
      </c>
      <c r="F38" s="20" t="s">
        <v>38</v>
      </c>
      <c r="G38" s="23" t="s">
        <v>154</v>
      </c>
      <c r="H38" s="23" t="s">
        <v>155</v>
      </c>
      <c r="I38" s="21" t="s">
        <v>182</v>
      </c>
      <c r="J38" s="21"/>
      <c r="K38" s="21" t="s">
        <v>40</v>
      </c>
      <c r="L38" s="20"/>
      <c r="M38" s="20"/>
      <c r="N38" s="20"/>
      <c r="O38" s="20"/>
      <c r="P38" s="10" t="e">
        <f>[1]!Tableau32[[#This Row],[HJ Dev]]*(25%+25%)</f>
        <v>#REF!</v>
      </c>
      <c r="Q38" s="10" t="e">
        <f>[1]!Tableau32[[#This Row],[HJ Analyse et test]]+[1]!Tableau32[[#This Row],[HJ Dev]]</f>
        <v>#REF!</v>
      </c>
      <c r="R38" s="10" t="e">
        <f>[1]!Tableau32[[#This Row],[Total HJ]]*8</f>
        <v>#REF!</v>
      </c>
      <c r="S38" s="10"/>
      <c r="T38" s="10"/>
      <c r="U38" s="10"/>
      <c r="V38" s="10"/>
      <c r="W38" s="10"/>
      <c r="X38" s="10"/>
      <c r="Y38" s="10"/>
      <c r="Z38" s="10" t="s">
        <v>41</v>
      </c>
      <c r="AA38" s="10"/>
    </row>
    <row r="39" spans="2:27" ht="72.5" x14ac:dyDescent="0.3">
      <c r="B39" s="20" t="s">
        <v>211</v>
      </c>
      <c r="C39" s="23" t="s">
        <v>141</v>
      </c>
      <c r="D39" s="20" t="s">
        <v>36</v>
      </c>
      <c r="E39" s="20" t="s">
        <v>37</v>
      </c>
      <c r="F39" s="20" t="s">
        <v>38</v>
      </c>
      <c r="G39" s="23" t="s">
        <v>156</v>
      </c>
      <c r="H39" s="23"/>
      <c r="I39" s="23" t="s">
        <v>157</v>
      </c>
      <c r="J39" s="21"/>
      <c r="K39" s="21" t="s">
        <v>40</v>
      </c>
      <c r="L39" s="20"/>
      <c r="M39" s="20"/>
      <c r="N39" s="20"/>
      <c r="O39" s="20"/>
      <c r="P39" s="10" t="e">
        <f>[1]!Tableau32[[#This Row],[HJ Dev]]*(25%+25%)</f>
        <v>#REF!</v>
      </c>
      <c r="Q39" s="10" t="e">
        <f>[1]!Tableau32[[#This Row],[HJ Analyse et test]]+[1]!Tableau32[[#This Row],[HJ Dev]]</f>
        <v>#REF!</v>
      </c>
      <c r="R39" s="10" t="e">
        <f>[1]!Tableau32[[#This Row],[Total HJ]]*8</f>
        <v>#REF!</v>
      </c>
      <c r="S39" s="10"/>
      <c r="T39" s="10"/>
      <c r="U39" s="10"/>
      <c r="V39" s="10"/>
      <c r="W39" s="10"/>
      <c r="X39" s="10"/>
      <c r="Y39" s="10"/>
      <c r="Z39" s="10" t="s">
        <v>41</v>
      </c>
      <c r="AA39" s="10"/>
    </row>
    <row r="40" spans="2:27" ht="58" x14ac:dyDescent="0.3">
      <c r="B40" s="20" t="s">
        <v>217</v>
      </c>
      <c r="C40" s="23" t="s">
        <v>142</v>
      </c>
      <c r="D40" s="20" t="s">
        <v>36</v>
      </c>
      <c r="E40" s="20" t="s">
        <v>37</v>
      </c>
      <c r="F40" s="20" t="s">
        <v>38</v>
      </c>
      <c r="G40" s="23" t="s">
        <v>140</v>
      </c>
      <c r="H40" s="23"/>
      <c r="I40" s="21" t="s">
        <v>158</v>
      </c>
      <c r="J40" s="21"/>
      <c r="K40" s="21" t="s">
        <v>40</v>
      </c>
      <c r="L40" s="20"/>
      <c r="M40" s="20"/>
      <c r="N40" s="20"/>
      <c r="O40" s="20"/>
      <c r="P40" s="20" t="e">
        <f>[1]!Tableau32[[#This Row],[HJ Dev]]*(25%+25%)</f>
        <v>#REF!</v>
      </c>
      <c r="Q40" s="20" t="e">
        <f>[1]!Tableau32[[#This Row],[HJ Analyse et test]]+[1]!Tableau32[[#This Row],[HJ Dev]]</f>
        <v>#REF!</v>
      </c>
      <c r="R40" s="20" t="e">
        <f>[1]!Tableau32[[#This Row],[Total HJ]]*8</f>
        <v>#REF!</v>
      </c>
      <c r="S40" s="10"/>
      <c r="T40" s="10"/>
      <c r="U40" s="10"/>
      <c r="V40" s="10"/>
      <c r="W40" s="10"/>
      <c r="X40" s="10"/>
      <c r="Y40" s="10"/>
      <c r="Z40" s="10" t="s">
        <v>41</v>
      </c>
      <c r="AA40" s="10"/>
    </row>
  </sheetData>
  <mergeCells count="4">
    <mergeCell ref="B2:AA2"/>
    <mergeCell ref="D5:I5"/>
    <mergeCell ref="D6:E6"/>
    <mergeCell ref="B3:D4"/>
  </mergeCells>
  <phoneticPr fontId="2" type="noConversion"/>
  <dataValidations count="1">
    <dataValidation type="whole" operator="greaterThanOrEqual" allowBlank="1" showInputMessage="1" showErrorMessage="1" sqref="O13:R40" xr:uid="{10E2E794-3894-4CC1-AB1A-9BB5BF41EABB}">
      <formula1>0</formula1>
    </dataValidation>
  </dataValidations>
  <pageMargins left="0.7" right="0.7" top="0.75" bottom="0.75" header="0.3" footer="0.3"/>
  <pageSetup paperSize="9" scale="74" fitToHeight="0" orientation="landscape" r:id="rId1"/>
  <drawing r:id="rId2"/>
  <legacyDrawing r:id="rId3"/>
  <tableParts count="1">
    <tablePart r:id="rId4"/>
  </tableParts>
  <extLst>
    <ext xmlns:x14="http://schemas.microsoft.com/office/spreadsheetml/2009/9/main" uri="{CCE6A557-97BC-4b89-ADB6-D9C93CAAB3DF}">
      <x14:dataValidations xmlns:xm="http://schemas.microsoft.com/office/excel/2006/main" count="6">
        <x14:dataValidation type="list" allowBlank="1" showInputMessage="1" showErrorMessage="1" xr:uid="{57EEE19D-B0F4-47CC-B7E3-B1470446B2E6}">
          <x14:formula1>
            <xm:f>Params!$B$3:$B$8</xm:f>
          </x14:formula1>
          <xm:sqref>D13:D40</xm:sqref>
        </x14:dataValidation>
        <x14:dataValidation type="list" allowBlank="1" showInputMessage="1" showErrorMessage="1" xr:uid="{9D4ED8CA-0432-41F4-A501-C44532B178DB}">
          <x14:formula1>
            <xm:f>Params!$H$14:$H$19</xm:f>
          </x14:formula1>
          <xm:sqref>E13:E40</xm:sqref>
        </x14:dataValidation>
        <x14:dataValidation type="list" allowBlank="1" showInputMessage="1" showErrorMessage="1" xr:uid="{FA978F80-7E5C-424E-9777-F280C57E27CC}">
          <x14:formula1>
            <xm:f>Params!$C$3:$C$7</xm:f>
          </x14:formula1>
          <xm:sqref>F13:F40</xm:sqref>
        </x14:dataValidation>
        <x14:dataValidation type="list" allowBlank="1" showInputMessage="1" showErrorMessage="1" xr:uid="{EEAE817C-A869-4F83-BC36-7B714A6F7B15}">
          <x14:formula1>
            <xm:f>Params!$G$3:$G$4</xm:f>
          </x14:formula1>
          <xm:sqref>K13:K40</xm:sqref>
        </x14:dataValidation>
        <x14:dataValidation type="list" allowBlank="1" showInputMessage="1" showErrorMessage="1" xr:uid="{79A4A5D3-E1BF-45F6-A99A-067585AB9CB9}">
          <x14:formula1>
            <xm:f>Params!$F$3:$F$4</xm:f>
          </x14:formula1>
          <xm:sqref>AA13:AA40</xm:sqref>
        </x14:dataValidation>
        <x14:dataValidation type="list" allowBlank="1" showInputMessage="1" showErrorMessage="1" xr:uid="{1F2CF1C1-BE35-4DC9-A975-F49F788F3D6A}">
          <x14:formula1>
            <xm:f>Params!$G$3:$G$6</xm:f>
          </x14:formula1>
          <xm:sqref>S13:Y40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workbookViewId="0">
      <selection activeCell="C9" sqref="C9"/>
    </sheetView>
  </sheetViews>
  <sheetFormatPr baseColWidth="10" defaultColWidth="11.453125" defaultRowHeight="14.5" x14ac:dyDescent="0.35"/>
  <cols>
    <col min="1" max="1" width="16.54296875" style="2" customWidth="1"/>
    <col min="2" max="2" width="19.54296875" style="2" customWidth="1"/>
    <col min="3" max="3" width="11.453125" style="2"/>
    <col min="4" max="4" width="67.81640625" style="2" customWidth="1"/>
    <col min="5" max="5" width="15.81640625" style="2" customWidth="1"/>
    <col min="6" max="6" width="21.1796875" style="2" customWidth="1"/>
    <col min="7" max="7" width="16.54296875" style="2" customWidth="1"/>
    <col min="8" max="16384" width="11.453125" style="2"/>
  </cols>
  <sheetData>
    <row r="2" spans="1:7" ht="15" thickBot="1" x14ac:dyDescent="0.4"/>
    <row r="3" spans="1:7" ht="24" customHeight="1" thickBot="1" x14ac:dyDescent="0.4">
      <c r="A3" s="2" t="s">
        <v>64</v>
      </c>
      <c r="B3" s="34" t="s">
        <v>0</v>
      </c>
      <c r="C3" s="35"/>
      <c r="D3" s="35"/>
      <c r="E3" s="35"/>
      <c r="F3" s="35"/>
      <c r="G3" s="36"/>
    </row>
    <row r="4" spans="1:7" x14ac:dyDescent="0.35">
      <c r="B4" s="4"/>
      <c r="C4" s="5"/>
      <c r="D4" s="5"/>
      <c r="E4" s="5"/>
      <c r="F4" s="5"/>
      <c r="G4" s="5"/>
    </row>
    <row r="5" spans="1:7" x14ac:dyDescent="0.35">
      <c r="B5" s="4" t="str">
        <f>'Gestion Exigences'!C5</f>
        <v>Client</v>
      </c>
      <c r="C5" s="13" t="str">
        <f>'Gestion Exigences'!D5</f>
        <v>COGITEL</v>
      </c>
      <c r="D5" s="5"/>
      <c r="E5" s="5"/>
      <c r="F5" s="5"/>
      <c r="G5" s="5"/>
    </row>
    <row r="6" spans="1:7" x14ac:dyDescent="0.35">
      <c r="B6" s="4" t="str">
        <f>'Gestion Exigences'!C6</f>
        <v>Projet</v>
      </c>
      <c r="C6" s="13" t="str">
        <f>'Gestion Exigences'!D6</f>
        <v>Digitalisation Atelier Découpe</v>
      </c>
      <c r="D6" s="5"/>
      <c r="E6" s="5"/>
      <c r="F6" s="5"/>
      <c r="G6" s="5"/>
    </row>
    <row r="7" spans="1:7" x14ac:dyDescent="0.35">
      <c r="B7" s="4" t="str">
        <f>'Gestion Exigences'!C7</f>
        <v>Réf BPA du Devis</v>
      </c>
      <c r="C7" s="13">
        <f>'Gestion Exigences'!D7</f>
        <v>0</v>
      </c>
      <c r="D7" s="5"/>
      <c r="E7" s="5"/>
      <c r="F7" s="5"/>
      <c r="G7" s="5"/>
    </row>
    <row r="8" spans="1:7" x14ac:dyDescent="0.35">
      <c r="B8" s="4" t="str">
        <f>'Gestion Exigences'!C8</f>
        <v>Réf BPA du Projet</v>
      </c>
      <c r="C8" s="13">
        <f>'Gestion Exigences'!D8</f>
        <v>0</v>
      </c>
      <c r="D8" s="5"/>
      <c r="E8" s="5"/>
      <c r="F8" s="5"/>
      <c r="G8" s="5"/>
    </row>
    <row r="9" spans="1:7" x14ac:dyDescent="0.35">
      <c r="B9" s="12" t="str">
        <f>'Gestion Exigences'!C9</f>
        <v>Réf Modèle Document</v>
      </c>
      <c r="C9" s="14" t="str">
        <f>'Gestion Exigences'!D9</f>
        <v>MD203</v>
      </c>
      <c r="D9" s="5"/>
      <c r="E9" s="5"/>
      <c r="F9" s="5"/>
      <c r="G9" s="5"/>
    </row>
    <row r="10" spans="1:7" x14ac:dyDescent="0.35">
      <c r="B10" s="12" t="str">
        <f>'Gestion Exigences'!C10</f>
        <v>Version Modèle Document</v>
      </c>
      <c r="C10" s="14" t="str">
        <f>'Gestion Exigences'!D10</f>
        <v>V1.5</v>
      </c>
      <c r="D10" s="5"/>
      <c r="E10" s="5"/>
      <c r="F10" s="5"/>
      <c r="G10" s="5"/>
    </row>
    <row r="11" spans="1:7" x14ac:dyDescent="0.35">
      <c r="B11" s="4"/>
      <c r="C11" s="5"/>
      <c r="D11" s="5"/>
      <c r="E11" s="5"/>
      <c r="F11" s="5"/>
      <c r="G11" s="5"/>
    </row>
    <row r="12" spans="1:7" x14ac:dyDescent="0.35">
      <c r="B12" s="4"/>
      <c r="C12" s="5"/>
      <c r="D12" s="5"/>
      <c r="E12" s="5"/>
      <c r="F12" s="5"/>
      <c r="G12" s="5"/>
    </row>
    <row r="13" spans="1:7" x14ac:dyDescent="0.35">
      <c r="B13" s="15" t="s">
        <v>65</v>
      </c>
      <c r="C13" s="15" t="s">
        <v>66</v>
      </c>
      <c r="D13" s="15" t="s">
        <v>67</v>
      </c>
      <c r="E13" s="15" t="s">
        <v>68</v>
      </c>
      <c r="F13" s="15" t="s">
        <v>69</v>
      </c>
      <c r="G13" s="15" t="s">
        <v>70</v>
      </c>
    </row>
    <row r="14" spans="1:7" x14ac:dyDescent="0.35">
      <c r="B14" s="6" t="s">
        <v>71</v>
      </c>
      <c r="C14" s="7">
        <v>44741</v>
      </c>
      <c r="D14" s="17" t="s">
        <v>72</v>
      </c>
      <c r="E14" s="6" t="s">
        <v>73</v>
      </c>
      <c r="F14" s="16" t="s">
        <v>74</v>
      </c>
      <c r="G14" s="6" t="s">
        <v>75</v>
      </c>
    </row>
    <row r="15" spans="1:7" x14ac:dyDescent="0.35">
      <c r="B15" s="2" t="s">
        <v>76</v>
      </c>
      <c r="C15" s="19">
        <v>44978</v>
      </c>
      <c r="D15" s="2" t="s">
        <v>77</v>
      </c>
      <c r="E15" s="6" t="s">
        <v>73</v>
      </c>
      <c r="F15" s="2" t="s">
        <v>41</v>
      </c>
      <c r="G15" s="2" t="s">
        <v>75</v>
      </c>
    </row>
    <row r="16" spans="1:7" ht="58" x14ac:dyDescent="0.35">
      <c r="B16" s="2" t="s">
        <v>78</v>
      </c>
      <c r="C16" s="19">
        <v>45021</v>
      </c>
      <c r="D16" s="20" t="s">
        <v>79</v>
      </c>
      <c r="E16" s="6" t="s">
        <v>73</v>
      </c>
      <c r="F16" s="20" t="s">
        <v>80</v>
      </c>
      <c r="G16" s="20" t="s">
        <v>75</v>
      </c>
    </row>
  </sheetData>
  <mergeCells count="1">
    <mergeCell ref="B3:G3"/>
  </mergeCells>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22"/>
  <sheetViews>
    <sheetView workbookViewId="0">
      <selection activeCell="I4" sqref="I4"/>
    </sheetView>
  </sheetViews>
  <sheetFormatPr baseColWidth="10" defaultColWidth="11.453125" defaultRowHeight="13" x14ac:dyDescent="0.25"/>
  <cols>
    <col min="1" max="1" width="11.453125" style="10"/>
    <col min="2" max="3" width="19.81640625" style="10" customWidth="1"/>
    <col min="4" max="4" width="21.54296875" style="10" customWidth="1"/>
    <col min="5" max="5" width="11.453125" style="10"/>
    <col min="6" max="6" width="16.1796875" style="10" customWidth="1"/>
    <col min="7" max="16384" width="11.453125" style="10"/>
  </cols>
  <sheetData>
    <row r="2" spans="2:9" ht="26" x14ac:dyDescent="0.25">
      <c r="B2" s="11" t="s">
        <v>14</v>
      </c>
      <c r="C2" s="11" t="s">
        <v>81</v>
      </c>
      <c r="D2" s="11" t="s">
        <v>17</v>
      </c>
      <c r="E2" s="11" t="s">
        <v>82</v>
      </c>
      <c r="F2" s="11" t="s">
        <v>34</v>
      </c>
      <c r="G2" s="11" t="s">
        <v>83</v>
      </c>
      <c r="H2" s="11" t="s">
        <v>15</v>
      </c>
      <c r="I2" s="10" t="s">
        <v>124</v>
      </c>
    </row>
    <row r="3" spans="2:9" x14ac:dyDescent="0.25">
      <c r="B3" s="10" t="s">
        <v>36</v>
      </c>
      <c r="C3" s="10" t="s">
        <v>38</v>
      </c>
      <c r="D3" s="10" t="s">
        <v>84</v>
      </c>
      <c r="E3" s="10" t="s">
        <v>85</v>
      </c>
      <c r="F3" s="10" t="s">
        <v>86</v>
      </c>
      <c r="G3" s="10" t="s">
        <v>40</v>
      </c>
      <c r="H3" s="10" t="s">
        <v>87</v>
      </c>
      <c r="I3" s="10" t="s">
        <v>125</v>
      </c>
    </row>
    <row r="4" spans="2:9" ht="26" x14ac:dyDescent="0.25">
      <c r="B4" s="10" t="s">
        <v>88</v>
      </c>
      <c r="C4" s="10" t="s">
        <v>89</v>
      </c>
      <c r="D4" s="10" t="s">
        <v>90</v>
      </c>
      <c r="E4" s="10" t="s">
        <v>91</v>
      </c>
      <c r="F4" s="10" t="s">
        <v>92</v>
      </c>
      <c r="G4" s="10" t="s">
        <v>93</v>
      </c>
      <c r="H4" s="10" t="s">
        <v>94</v>
      </c>
      <c r="I4" s="10" t="s">
        <v>126</v>
      </c>
    </row>
    <row r="5" spans="2:9" x14ac:dyDescent="0.25">
      <c r="B5" s="10" t="s">
        <v>95</v>
      </c>
      <c r="C5" s="10" t="s">
        <v>96</v>
      </c>
      <c r="D5" s="10" t="s">
        <v>39</v>
      </c>
      <c r="E5" s="10" t="s">
        <v>97</v>
      </c>
      <c r="H5" s="10" t="s">
        <v>98</v>
      </c>
    </row>
    <row r="6" spans="2:9" x14ac:dyDescent="0.25">
      <c r="B6" s="10" t="s">
        <v>99</v>
      </c>
      <c r="C6" s="10" t="s">
        <v>100</v>
      </c>
      <c r="D6" s="10" t="s">
        <v>101</v>
      </c>
      <c r="H6" s="10" t="s">
        <v>102</v>
      </c>
    </row>
    <row r="7" spans="2:9" x14ac:dyDescent="0.25">
      <c r="B7" s="10" t="s">
        <v>103</v>
      </c>
      <c r="C7" s="10" t="s">
        <v>104</v>
      </c>
      <c r="D7" s="10" t="s">
        <v>105</v>
      </c>
      <c r="H7" s="10" t="s">
        <v>106</v>
      </c>
    </row>
    <row r="8" spans="2:9" x14ac:dyDescent="0.25">
      <c r="B8" s="10" t="s">
        <v>107</v>
      </c>
      <c r="D8" s="10" t="s">
        <v>108</v>
      </c>
      <c r="H8" s="10" t="s">
        <v>109</v>
      </c>
    </row>
    <row r="9" spans="2:9" x14ac:dyDescent="0.25">
      <c r="D9" s="10" t="s">
        <v>110</v>
      </c>
      <c r="H9" s="10" t="s">
        <v>111</v>
      </c>
    </row>
    <row r="10" spans="2:9" x14ac:dyDescent="0.25">
      <c r="H10" s="10" t="s">
        <v>112</v>
      </c>
    </row>
    <row r="11" spans="2:9" x14ac:dyDescent="0.25">
      <c r="H11" s="10" t="s">
        <v>113</v>
      </c>
    </row>
    <row r="13" spans="2:9" x14ac:dyDescent="0.25">
      <c r="H13" s="10" t="s">
        <v>114</v>
      </c>
    </row>
    <row r="14" spans="2:9" x14ac:dyDescent="0.25">
      <c r="H14" s="10" t="s">
        <v>115</v>
      </c>
    </row>
    <row r="15" spans="2:9" ht="26" x14ac:dyDescent="0.25">
      <c r="H15" s="10" t="s">
        <v>37</v>
      </c>
    </row>
    <row r="16" spans="2:9" ht="39" x14ac:dyDescent="0.25">
      <c r="H16" s="10" t="s">
        <v>116</v>
      </c>
    </row>
    <row r="17" spans="8:8" ht="26" x14ac:dyDescent="0.25">
      <c r="H17" s="10" t="s">
        <v>44</v>
      </c>
    </row>
    <row r="18" spans="8:8" x14ac:dyDescent="0.25">
      <c r="H18" s="10" t="s">
        <v>117</v>
      </c>
    </row>
    <row r="19" spans="8:8" x14ac:dyDescent="0.25">
      <c r="H19" s="10" t="s">
        <v>118</v>
      </c>
    </row>
    <row r="21" spans="8:8" x14ac:dyDescent="0.25">
      <c r="H21" s="10" t="s">
        <v>119</v>
      </c>
    </row>
    <row r="22" spans="8:8" ht="26" x14ac:dyDescent="0.25">
      <c r="H22" s="10" t="s">
        <v>120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SharedWithUsers xmlns="43b908ec-9e92-424c-a4ad-3174bac6e888">
      <UserInfo>
        <DisplayName/>
        <AccountId xsi:nil="true"/>
        <AccountType/>
      </UserInfo>
    </SharedWithUsers>
    <MediaLengthInSeconds xmlns="5f2f9e80-f74a-40c7-b145-b94d8e4966f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5AB8AB-DCE3-4A43-AB46-98D779B9E281}"/>
</file>

<file path=customXml/itemProps2.xml><?xml version="1.0" encoding="utf-8"?>
<ds:datastoreItem xmlns:ds="http://schemas.openxmlformats.org/officeDocument/2006/customXml" ds:itemID="{85503822-DF13-4051-A489-72B75648E37A}">
  <ds:schemaRefs>
    <ds:schemaRef ds:uri="http://purl.org/dc/terms/"/>
    <ds:schemaRef ds:uri="http://purl.org/dc/elements/1.1/"/>
    <ds:schemaRef ds:uri="http://schemas.microsoft.com/office/infopath/2007/PartnerControls"/>
    <ds:schemaRef ds:uri="http://schemas.microsoft.com/office/2006/documentManagement/types"/>
    <ds:schemaRef ds:uri="5f2f9e80-f74a-40c7-b145-b94d8e4966f0"/>
    <ds:schemaRef ds:uri="http://purl.org/dc/dcmitype/"/>
    <ds:schemaRef ds:uri="http://schemas.microsoft.com/office/2006/metadata/properties"/>
    <ds:schemaRef ds:uri="http://schemas.openxmlformats.org/package/2006/metadata/core-properties"/>
    <ds:schemaRef ds:uri="43b908ec-9e92-424c-a4ad-3174bac6e888"/>
    <ds:schemaRef ds:uri="http://www.w3.org/XML/1998/namespace"/>
  </ds:schemaRefs>
</ds:datastoreItem>
</file>

<file path=customXml/itemProps3.xml><?xml version="1.0" encoding="utf-8"?>
<ds:datastoreItem xmlns:ds="http://schemas.openxmlformats.org/officeDocument/2006/customXml" ds:itemID="{431C8B5B-7A06-4686-9F8A-E8F24EECD8B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2</vt:i4>
      </vt:variant>
    </vt:vector>
  </HeadingPairs>
  <TitlesOfParts>
    <vt:vector size="5" baseType="lpstr">
      <vt:lpstr>Gestion Exigences</vt:lpstr>
      <vt:lpstr>Modifs Doc</vt:lpstr>
      <vt:lpstr>Params</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Moatez Derbala</cp:lastModifiedBy>
  <cp:revision/>
  <dcterms:created xsi:type="dcterms:W3CDTF">2000-07-05T17:03:55Z</dcterms:created>
  <dcterms:modified xsi:type="dcterms:W3CDTF">2024-11-14T09:07:44Z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Order">
    <vt:r8>206300</vt:r8>
  </property>
  <property fmtid="{D5CDD505-2E9C-101B-9397-08002B2CF9AE}" pid="6" name="xd_Signature">
    <vt:bool>false</vt:bool>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ies>
</file>