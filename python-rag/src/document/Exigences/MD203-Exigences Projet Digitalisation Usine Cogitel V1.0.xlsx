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4 Clients/009 COGITEL/19 Digitalisation Usine Cogitel/2 Préparation Offre/"/>
    </mc:Choice>
  </mc:AlternateContent>
  <xr:revisionPtr revIDLastSave="0" documentId="14_{3652F66B-653A-488D-B8DB-4CA6281C1752}" xr6:coauthVersionLast="47" xr6:coauthVersionMax="47" xr10:uidLastSave="{00000000-0000-0000-0000-000000000000}"/>
  <bookViews>
    <workbookView xWindow="-110" yWindow="-110" windowWidth="19420" windowHeight="10300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externalReferences>
    <externalReference r:id="rId4"/>
  </externalReferences>
  <definedNames>
    <definedName name="_xlnm.Print_Area" localSheetId="0">'Gestion Exigences'!$C$2:$I$12</definedName>
    <definedName name="_xlnm.Print_Area" localSheetId="1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3" i="27" l="1"/>
  <c r="AD13" i="27" s="1"/>
  <c r="AC14" i="27"/>
  <c r="AD14" i="27" s="1"/>
  <c r="AC15" i="27"/>
  <c r="AD15" i="27" s="1"/>
  <c r="AC16" i="27"/>
  <c r="AD16" i="27" s="1"/>
  <c r="AC17" i="27"/>
  <c r="AD17" i="27" s="1"/>
  <c r="AC18" i="27"/>
  <c r="AD18" i="27" s="1"/>
  <c r="AC19" i="27"/>
  <c r="AD19" i="27" s="1"/>
  <c r="AC20" i="27"/>
  <c r="AD20" i="27" s="1"/>
  <c r="AC21" i="27"/>
  <c r="AD21" i="27" s="1"/>
  <c r="P13" i="27"/>
  <c r="Q13" i="27"/>
  <c r="R13" i="27"/>
  <c r="P14" i="27"/>
  <c r="Q14" i="27"/>
  <c r="R14" i="27"/>
  <c r="P15" i="27"/>
  <c r="Q15" i="27"/>
  <c r="R15" i="27"/>
  <c r="P16" i="27"/>
  <c r="Q16" i="27"/>
  <c r="R16" i="27"/>
  <c r="P17" i="27"/>
  <c r="Q17" i="27"/>
  <c r="R17" i="27"/>
  <c r="P18" i="27"/>
  <c r="Q18" i="27"/>
  <c r="R18" i="27"/>
  <c r="P19" i="27"/>
  <c r="Q19" i="27"/>
  <c r="R19" i="27"/>
  <c r="P20" i="27"/>
  <c r="Q20" i="27"/>
  <c r="R20" i="27"/>
  <c r="P21" i="27"/>
  <c r="Q21" i="27"/>
  <c r="R21" i="27"/>
  <c r="AB22" i="27"/>
  <c r="C5" i="29"/>
  <c r="C6" i="29"/>
  <c r="C7" i="29"/>
  <c r="C8" i="29"/>
  <c r="C9" i="29"/>
  <c r="C10" i="29"/>
  <c r="B6" i="29"/>
  <c r="B7" i="29"/>
  <c r="B8" i="29"/>
  <c r="B9" i="29"/>
  <c r="B10" i="29"/>
  <c r="B5" i="29"/>
  <c r="AD22" i="27" l="1"/>
  <c r="AC22" i="27"/>
</calcChain>
</file>

<file path=xl/sharedStrings.xml><?xml version="1.0" encoding="utf-8"?>
<sst xmlns="http://schemas.openxmlformats.org/spreadsheetml/2006/main" count="230" uniqueCount="149">
  <si>
    <t>Gestion Exigences Projet</t>
  </si>
  <si>
    <t>Chiffrage Réalisation SF</t>
  </si>
  <si>
    <t>Revue et Vérification pendant la Conception</t>
  </si>
  <si>
    <t>Client</t>
  </si>
  <si>
    <t>Projet</t>
  </si>
  <si>
    <t>Réf BPA du Devis</t>
  </si>
  <si>
    <t>Réf BPA du Projet</t>
  </si>
  <si>
    <t>Réf Modèle Document</t>
  </si>
  <si>
    <t>MD203</t>
  </si>
  <si>
    <t>Strictement Confidentiel</t>
  </si>
  <si>
    <t>Version Modèle Document</t>
  </si>
  <si>
    <t>V1.5</t>
  </si>
  <si>
    <t>ID</t>
  </si>
  <si>
    <t>Exigence</t>
  </si>
  <si>
    <t>Nature</t>
  </si>
  <si>
    <t>Catégorie</t>
  </si>
  <si>
    <t>Exigence idenfiée pendant la phase</t>
  </si>
  <si>
    <t>Description de l'exigence</t>
  </si>
  <si>
    <t>Source</t>
  </si>
  <si>
    <t>Desciption de la solution ADDIXO</t>
  </si>
  <si>
    <t>Ecart entre exigence client et la solution proposée - préciser aussi les limites et hypothèses si applicable</t>
  </si>
  <si>
    <t>Validation Interne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</si>
  <si>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</si>
  <si>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</si>
  <si>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</si>
  <si>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</si>
  <si>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</si>
  <si>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</si>
  <si>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</si>
  <si>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</si>
  <si>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</si>
  <si>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</si>
  <si>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</si>
  <si>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</si>
  <si>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</si>
  <si>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</si>
  <si>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</si>
  <si>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</si>
  <si>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</si>
  <si>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</si>
  <si>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</si>
  <si>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</si>
  <si>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</si>
  <si>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</si>
  <si>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</si>
  <si>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</si>
  <si>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</si>
  <si>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Fonctionnelle</t>
  </si>
  <si>
    <t>SF-Processus</t>
  </si>
  <si>
    <t>Commerciale</t>
  </si>
  <si>
    <t>Workshop/réunion client</t>
  </si>
  <si>
    <t>Validée</t>
  </si>
  <si>
    <t>Mahdi B.</t>
  </si>
  <si>
    <t>SF-Connectivité Machine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</si>
  <si>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</si>
  <si>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</si>
  <si>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</si>
  <si>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</si>
  <si>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</si>
  <si>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</si>
  <si>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</si>
  <si>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</si>
  <si>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>Version interne  (envoyée et validée par client)</t>
  </si>
  <si>
    <t>Nihel K.</t>
  </si>
  <si>
    <t>Amani S.</t>
  </si>
  <si>
    <t>Imed A.</t>
  </si>
  <si>
    <t>V1.1</t>
  </si>
  <si>
    <t xml:space="preserve">Mise à jour des exigences après la visite du 15/17 février </t>
  </si>
  <si>
    <t>V1.2</t>
  </si>
  <si>
    <t>Mise à jour des exigences : 
•Mise à jour des HJ des exigences 
•Rajout des nouvelles demandes au niveau de la fiche qualité "E019--E024"
•Supprimer l'exigence E008</t>
  </si>
  <si>
    <t>Mahdi B. + Ferjania B.</t>
  </si>
  <si>
    <t>Exigence identifiée pendant la phase</t>
  </si>
  <si>
    <t>Oui/Non</t>
  </si>
  <si>
    <t>Statut Interne</t>
  </si>
  <si>
    <t>CdC client</t>
  </si>
  <si>
    <t>Oui</t>
  </si>
  <si>
    <t>Validée par le client</t>
  </si>
  <si>
    <t>*** SE</t>
  </si>
  <si>
    <t>Performance</t>
  </si>
  <si>
    <t>Conception</t>
  </si>
  <si>
    <t>Non</t>
  </si>
  <si>
    <t>Non validée par client</t>
  </si>
  <si>
    <t>Non validée</t>
  </si>
  <si>
    <t>SE-Processus</t>
  </si>
  <si>
    <t>Reglementaire</t>
  </si>
  <si>
    <t>Réalisation</t>
  </si>
  <si>
    <t>Workshop/réunion Interne</t>
  </si>
  <si>
    <t>N/A</t>
  </si>
  <si>
    <t>SE-Mécanique</t>
  </si>
  <si>
    <t>Sécurité</t>
  </si>
  <si>
    <t>Mise en œuvre</t>
  </si>
  <si>
    <t>Standards client</t>
  </si>
  <si>
    <t>SE-Electrique</t>
  </si>
  <si>
    <t>Standard Client</t>
  </si>
  <si>
    <t>Support et maintenance</t>
  </si>
  <si>
    <t>Standards ADDIXO</t>
  </si>
  <si>
    <t>SE-Soft</t>
  </si>
  <si>
    <t>Standard ADDIXO</t>
  </si>
  <si>
    <t>Reglementation</t>
  </si>
  <si>
    <t>SE-Auto</t>
  </si>
  <si>
    <t>Demande modification</t>
  </si>
  <si>
    <t>SE-Fabrication</t>
  </si>
  <si>
    <t>SE-Intégration</t>
  </si>
  <si>
    <t>SE-Achats</t>
  </si>
  <si>
    <t>*** SF</t>
  </si>
  <si>
    <t>SF-Fonctionnelle</t>
  </si>
  <si>
    <t>SF-Intégration SI</t>
  </si>
  <si>
    <t>SF-Software</t>
  </si>
  <si>
    <t>SF-Infra IT</t>
  </si>
  <si>
    <t>*** TC</t>
  </si>
  <si>
    <t>TC-Prestations sur site client</t>
  </si>
  <si>
    <t>COGITEL</t>
  </si>
  <si>
    <t>E010</t>
  </si>
  <si>
    <t>Ajout d'un filtre mutiliselect au niveau de TB  pour le calcul des indicateurs au niveau tableau de bord  pour la même section et afficher les indicateurs associés</t>
  </si>
  <si>
    <t>E015</t>
  </si>
  <si>
    <t>E016</t>
  </si>
  <si>
    <t>E017</t>
  </si>
  <si>
    <t>E018</t>
  </si>
  <si>
    <t>E019</t>
  </si>
  <si>
    <t>E020</t>
  </si>
  <si>
    <t>E021</t>
  </si>
  <si>
    <t>E022</t>
  </si>
  <si>
    <t xml:space="preserve">Affichage des indicateurs associés à plusieurs lignes </t>
  </si>
  <si>
    <t xml:space="preserve">Calculer et afficher les indicateurs des lignes qui ont la même section </t>
  </si>
  <si>
    <t xml:space="preserve">Gestion des zones de stockage intermédiares </t>
  </si>
  <si>
    <t xml:space="preserve">Gestion la MP entrante </t>
  </si>
  <si>
    <t xml:space="preserve">Gérer la MP entrante à chaque zone </t>
  </si>
  <si>
    <t>Gestion  la MP sortante</t>
  </si>
  <si>
    <t>Gérer la MP sortante à chaque zone</t>
  </si>
  <si>
    <t xml:space="preserve">Gestion de la MP en temps réel </t>
  </si>
  <si>
    <t>Gérer la MP en temps réel</t>
  </si>
  <si>
    <t xml:space="preserve">Gestion des PSF en temps réel </t>
  </si>
  <si>
    <t>Gérer les PSF en temps réel</t>
  </si>
  <si>
    <t>Déclaration de quantité consommée par OF</t>
  </si>
  <si>
    <t>Gestion l'entré/ sortie du MP</t>
  </si>
  <si>
    <t xml:space="preserve">Gérer l'entré/ sortie du MP par des bons de commandes </t>
  </si>
  <si>
    <t xml:space="preserve">Validation de flux de matières  MP/SF </t>
  </si>
  <si>
    <t xml:space="preserve">Validation d'entrée/sortie de la MP ou SF à chaque zone par des interfaces </t>
  </si>
  <si>
    <t>Digitalisation Usine Cogitel</t>
  </si>
  <si>
    <t xml:space="preserve">Gérer les zones de stockage intermédiares </t>
  </si>
  <si>
    <t xml:space="preserve">Adaptation de l'interface de gestion des zones de stockage intermédiaires pour gérer le suivi des palettes et bobines en utilisant plusieurs unités  </t>
  </si>
  <si>
    <t xml:space="preserve">Adaptation des bon d'entrée MP pour gérer le suivi des palettes et bobines en utilisant plusieurs unités  </t>
  </si>
  <si>
    <t xml:space="preserve">Adaptation des bon de sortie MP pour gérer le suivi des palettes et bobines en utilisant plusieurs unités  </t>
  </si>
  <si>
    <t>Adapter le Tableau de la suivi de la MP en temps réel pour suivre les palattes et les bobines en utilisant plusieurs unités</t>
  </si>
  <si>
    <t>Adapter le Tableau de la suivi de la PSF en temps réel pour suivre les palattes et les bobines en utilisant plusieurs unités</t>
  </si>
  <si>
    <t xml:space="preserve">Adaptation des bon de retour MP pour gérer le suivi des palettes et bobines en utilisant plusieurs unités  </t>
  </si>
  <si>
    <t>Adaptaion au niveau du xorkflow de validation d'entrée/sortie MP ou SF</t>
  </si>
  <si>
    <t xml:space="preserve">Permettre la déclaration de la MP consommée au niveau de l'OF </t>
  </si>
  <si>
    <t xml:space="preserve">Déclaration de la MP consommée au niveau de l'OF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</si>
</sst>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sz val="8"/>
      <name val="Calibri Light"/>
      <family val="2"/>
    </font>
    <font>
      <b/>
      <sz val="11"/>
      <color theme="2" tint="-0.89999084444715716"/>
      <name val="Calibri Light"/>
      <family val="2"/>
    </font>
    <font>
      <b/>
      <sz val="14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5" fillId="0" borderId="0" xfId="0" applyFont="1" applyAlignment="1">
      <alignment horizontal="left" wrapText="1"/>
    </xf>
    <xf numFmtId="0" fontId="12" fillId="2" borderId="5" xfId="0" applyFont="1" applyFill="1" applyBorder="1" applyAlignment="1">
      <alignment horizontal="center" wrapText="1"/>
    </xf>
    <xf numFmtId="0" fontId="12" fillId="2" borderId="4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omsoftware.sharepoint.com/sites/Production/Documents%20partages/15%20COGITEL%20-%20Altea%20Packaging/01%20COGITEL%20Phase%201/2%20Besoins/MD203-%20Exigences%20Cogitel%20Digitalisation%20usine%20V2.2.xlsx" TargetMode="External"/><Relationship Id="rId1" Type="http://schemas.openxmlformats.org/officeDocument/2006/relationships/externalLinkPath" Target="/sites/Production/Documents%20partages/15%20COGITEL%20-%20Altea%20Packaging/01%20COGITEL%20Phase%201/2%20Besoins/MD203-%20Exigences%20Cogitel%20Digitalisation%20usine%20V2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stion Exigences"/>
      <sheetName val="Modifs Doc"/>
      <sheetName val="Params"/>
      <sheetName val="MD203- Exigences Cogitel Digita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2:AJ22" totalsRowCount="1" headerRowDxfId="79" dataDxfId="78">
  <autoFilter ref="B12:AJ21" xr:uid="{DDEA2C8B-EE0D-4C55-9256-CCC64E002CE6}"/>
  <tableColumns count="35">
    <tableColumn id="1" xr3:uid="{E467E0EE-CDAA-4FF5-85A8-CDC0B23A5AD9}" name="ID" dataDxfId="77" totalsRowDxfId="76"/>
    <tableColumn id="2" xr3:uid="{E53952AC-4972-47BD-8B1D-C7EF23088D0D}" name="Exigence" dataDxfId="75" totalsRowDxfId="74"/>
    <tableColumn id="8" xr3:uid="{B2D0BC2C-C803-4015-8FA6-70F84517BDB2}" name="Nature" dataDxfId="73" totalsRowDxfId="72"/>
    <tableColumn id="7" xr3:uid="{24F2F0ED-022E-4EC1-91D8-BFE0E4F2FD36}" name="Catégorie" dataDxfId="71" totalsRowDxfId="70"/>
    <tableColumn id="10" xr3:uid="{1FF81CF1-6D35-421C-8767-9E7FA06FEE6A}" name="Exigence idenfiée pendant la phase" dataDxfId="69" totalsRowDxfId="68"/>
    <tableColumn id="3" xr3:uid="{E7621A68-9552-4853-96A5-92A226EA42DD}" name="Description de l'exigence" dataDxfId="67" totalsRowDxfId="66"/>
    <tableColumn id="9" xr3:uid="{E6EEEC82-3576-4980-94B3-1423906CE531}" name="Source" dataDxfId="65" totalsRowDxfId="64"/>
    <tableColumn id="16" xr3:uid="{1441554A-79F9-4040-9CF5-AEBFF7ADF7D1}" name="Desciption de la solution ADDIXO" dataDxfId="63" totalsRowDxfId="62"/>
    <tableColumn id="17" xr3:uid="{D1BC9C86-C3CE-417F-AC83-FC4786A7656D}" name="Ecart entre exigence client et la solution proposée - préciser aussi les limites et hypothèses si applicable" dataDxfId="61" totalsRowDxfId="60"/>
    <tableColumn id="5" xr3:uid="{2649C3B7-E8B9-44F9-8883-E5BB6F91B4B1}" name="Validation Interne" dataDxfId="59" totalsRowDxfId="58"/>
    <tableColumn id="19" xr3:uid="{1684315C-4BF1-4202-9296-395A9CBBCF5B}" name="Colonne1" dataDxfId="57" totalsRowDxfId="56"/>
    <tableColumn id="23" xr3:uid="{B6C3130B-09EF-45AC-BADA-90DC4AA315FC}" name="Colonne2" dataDxfId="55" totalsRowDxfId="54"/>
    <tableColumn id="24" xr3:uid="{ED6C4BB9-0261-4756-9E2F-D66985E18ED3}" name="Colonne3" dataDxfId="53" totalsRowDxfId="52"/>
    <tableColumn id="25" xr3:uid="{78150193-1C14-44BE-96A3-D80FFAA537A1}" name="Colonne4" dataDxfId="51" totalsRowDxfId="50"/>
    <tableColumn id="26" xr3:uid="{675E0A2C-BB54-404C-AA93-815EC984D2D6}" name="Colonne5" dataDxfId="49" totalsRowDxfId="48">
      <calculatedColumnFormula>[1]!Tableau32[[#This Row],[HJ Dev]]*(25%+25%)</calculatedColumnFormula>
    </tableColumn>
    <tableColumn id="27" xr3:uid="{CBA3FCD9-30EA-4D19-BD7E-D0C0216A2D2C}" name="Colonne6" dataDxfId="47" totalsRowDxfId="46">
      <calculatedColumnFormula>[1]!Tableau32[[#This Row],[HJ Analyse et test]]+[1]!Tableau32[[#This Row],[HJ Dev]]</calculatedColumnFormula>
    </tableColumn>
    <tableColumn id="28" xr3:uid="{64F4902E-4937-4A74-910C-13A5511F7340}" name="Colonne7" dataDxfId="45" totalsRowDxfId="44">
      <calculatedColumnFormula>[1]!Tableau32[[#This Row],[Total HJ]]*8</calculatedColumnFormula>
    </tableColumn>
    <tableColumn id="29" xr3:uid="{D26DE321-3DF3-4A2C-8283-3F62F92E87F7}" name="Colonne8" dataDxfId="43" totalsRowDxfId="42"/>
    <tableColumn id="30" xr3:uid="{5434348C-D2DE-493F-94CA-198AB6E4DAB4}" name="Colonne9" dataDxfId="41" totalsRowDxfId="40"/>
    <tableColumn id="31" xr3:uid="{06456D23-93D7-4397-815B-7D05CC6463D2}" name="Colonne10" dataDxfId="39" totalsRowDxfId="38"/>
    <tableColumn id="32" xr3:uid="{FB8D074E-F786-450E-8A8C-7D77D212C0ED}" name="Colonne11" dataDxfId="37" totalsRowDxfId="36"/>
    <tableColumn id="33" xr3:uid="{8C68935C-FF3F-4366-B375-B488B353BA68}" name="Colonne12" dataDxfId="35" totalsRowDxfId="34"/>
    <tableColumn id="34" xr3:uid="{78D71331-AEFF-45A6-96F8-D15DAA307F14}" name="Colonne13" dataDxfId="33" totalsRowDxfId="32"/>
    <tableColumn id="35" xr3:uid="{A9FCD645-19CA-4DCD-93DF-19C36E49D180}" name="Colonne14" dataDxfId="31" totalsRowDxfId="30"/>
    <tableColumn id="6" xr3:uid="{8CC493F8-0886-498D-AB98-B77300CC6510}" name="Validation Interne par:" dataDxfId="29" totalsRowDxfId="28"/>
    <tableColumn id="15" xr3:uid="{78231C60-0932-4386-925D-4C689A91C0E3}" name="Statut Client" dataDxfId="27" totalsRowDxfId="26"/>
    <tableColumn id="22" xr3:uid="{D944A0FD-E468-407F-91A6-BD8A29086A7B}" name="HJ Dev" totalsRowFunction="custom" dataDxfId="25" totalsRowDxfId="24">
      <totalsRowFormula>SUBTOTAL(109,AB13:AB21)</totalsRowFormula>
    </tableColumn>
    <tableColumn id="21" xr3:uid="{818C68C5-1CC3-4DC9-9BB8-2CB7816ABE9F}" name="HJ Analyse et test" totalsRowFunction="custom" dataDxfId="23" totalsRowDxfId="22">
      <calculatedColumnFormula>Tableau3[[#This Row],[HJ Dev]]*(25%+25%)</calculatedColumnFormula>
      <totalsRowFormula>SUBTOTAL(109,AC13:AC21)</totalsRowFormula>
    </tableColumn>
    <tableColumn id="20" xr3:uid="{81CB5860-4285-4425-ABF9-C91F3323BF25}" name="Total HJ" totalsRowFunction="custom" dataDxfId="21" totalsRowDxfId="20">
      <calculatedColumnFormula>Tableau3[[#This Row],[HJ Dev]]+Tableau3[[#This Row],[HJ Analyse et test]]</calculatedColumnFormula>
      <totalsRowFormula>SUBTOTAL(109,AD13:AD21)</totalsRowFormula>
    </tableColumn>
    <tableColumn id="11" xr3:uid="{20685332-73A9-4B9D-874E-F1C9F770405F}" name="Description comment la conception de la solution prend en compte l'exigence client" dataDxfId="19" totalsRowDxfId="18"/>
    <tableColumn id="12" xr3:uid="{36B390F4-625A-46E1-864B-7108903FFD96}" name="Conception réalisée par:" dataDxfId="17" totalsRowDxfId="16"/>
    <tableColumn id="13" xr3:uid="{9016419E-83A5-4950-AB28-EA27A0D72FAD}" name="Revue conception réalisée par" dataDxfId="15" totalsRowDxfId="14"/>
    <tableColumn id="14" xr3:uid="{B5F29B7E-09EB-43EF-BD3D-9ADF38F7CC12}" name="Vérification de la conception réalisée par" dataDxfId="13" totalsRowDxfId="12"/>
    <tableColumn id="18" xr3:uid="{0CA25C90-64D6-43D5-90C8-CE6D70CCA638}" name="Preuve de vérification " dataDxfId="11" totalsRowDxfId="10"/>
    <tableColumn id="4" xr3:uid="{B7406A3A-A365-4F76-9A20-372573D19BC9}" name="Notes" dataDxfId="9" totalsRowDxfId="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7" dataDxfId="6">
  <autoFilter ref="B13:G18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AJ22"/>
  <sheetViews>
    <sheetView tabSelected="1" topLeftCell="C12" zoomScale="70" zoomScaleNormal="70" workbookViewId="0">
      <selection activeCell="I13" sqref="I13"/>
    </sheetView>
  </sheetViews>
  <sheetFormatPr baseColWidth="10" defaultColWidth="11.453125" defaultRowHeight="13" x14ac:dyDescent="0.3"/>
  <cols>
    <col min="1" max="1" width="11.453125" style="1"/>
    <col min="2" max="2" width="6.1796875" style="1" customWidth="1"/>
    <col min="3" max="3" width="25.36328125" style="1" customWidth="1"/>
    <col min="4" max="4" width="14.453125" style="1" customWidth="1"/>
    <col min="5" max="5" width="12.453125" style="1" customWidth="1"/>
    <col min="6" max="6" width="24.6328125" style="1" customWidth="1"/>
    <col min="7" max="7" width="56.54296875" style="1" customWidth="1"/>
    <col min="8" max="8" width="18.453125" style="1" hidden="1" customWidth="1"/>
    <col min="9" max="9" width="97.1796875" style="1" customWidth="1"/>
    <col min="10" max="10" width="36.453125" style="1" customWidth="1"/>
    <col min="11" max="11" width="10.54296875" style="1" customWidth="1"/>
    <col min="12" max="25" width="10.54296875" style="1" hidden="1" customWidth="1"/>
    <col min="26" max="26" width="12" style="1" customWidth="1"/>
    <col min="27" max="27" width="12.81640625" style="1" customWidth="1"/>
    <col min="28" max="28" width="9.1796875" style="1" customWidth="1"/>
    <col min="29" max="29" width="14.81640625" style="1" customWidth="1"/>
    <col min="30" max="30" width="10.1796875" style="1" customWidth="1"/>
    <col min="31" max="31" width="33.1796875" style="1" customWidth="1"/>
    <col min="32" max="32" width="15.453125" style="1" customWidth="1"/>
    <col min="33" max="33" width="14.81640625" style="1" customWidth="1"/>
    <col min="34" max="34" width="17.453125" style="1" customWidth="1"/>
    <col min="35" max="35" width="24.1796875" style="1" customWidth="1"/>
    <col min="36" max="36" width="9" style="1" customWidth="1"/>
    <col min="37" max="37" width="5.54296875" style="1" customWidth="1"/>
    <col min="38" max="39" width="11.453125" style="1" customWidth="1"/>
    <col min="40" max="16384" width="11.453125" style="1"/>
  </cols>
  <sheetData>
    <row r="1" spans="2:36" ht="13.5" thickBot="1" x14ac:dyDescent="0.35"/>
    <row r="2" spans="2:36" ht="21.75" customHeight="1" thickBot="1" x14ac:dyDescent="0.5">
      <c r="B2" s="38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40"/>
      <c r="AB2" s="41" t="s">
        <v>1</v>
      </c>
      <c r="AC2" s="42"/>
      <c r="AD2" s="43"/>
      <c r="AE2" s="36" t="s">
        <v>2</v>
      </c>
      <c r="AF2" s="37"/>
      <c r="AG2" s="37"/>
      <c r="AH2" s="37"/>
      <c r="AI2" s="37"/>
      <c r="AJ2" s="37"/>
    </row>
    <row r="3" spans="2:36" ht="21.75" customHeight="1" x14ac:dyDescent="0.3">
      <c r="C3" s="8"/>
      <c r="D3" s="8"/>
      <c r="E3" s="8"/>
      <c r="F3" s="8"/>
      <c r="G3" s="8"/>
      <c r="H3" s="8"/>
      <c r="I3" s="8"/>
    </row>
    <row r="4" spans="2:36" ht="21.75" customHeight="1" x14ac:dyDescent="0.35">
      <c r="C4" s="3" t="s">
        <v>3</v>
      </c>
      <c r="D4" s="35" t="s">
        <v>111</v>
      </c>
      <c r="E4" s="35"/>
      <c r="F4" s="35"/>
      <c r="G4" s="35"/>
      <c r="H4" s="35"/>
      <c r="I4" s="35"/>
    </row>
    <row r="5" spans="2:36" ht="14.5" x14ac:dyDescent="0.35">
      <c r="C5" s="3" t="s">
        <v>4</v>
      </c>
      <c r="D5" s="35" t="s">
        <v>138</v>
      </c>
      <c r="E5" s="35"/>
      <c r="F5" s="35"/>
      <c r="G5" s="35"/>
      <c r="H5" s="35"/>
      <c r="I5" s="35"/>
    </row>
    <row r="6" spans="2:36" ht="14.5" x14ac:dyDescent="0.35">
      <c r="C6" s="3" t="s">
        <v>5</v>
      </c>
      <c r="D6" s="35"/>
      <c r="E6" s="35"/>
      <c r="F6" s="35"/>
      <c r="G6" s="35"/>
      <c r="H6" s="35"/>
      <c r="I6" s="35"/>
    </row>
    <row r="7" spans="2:36" ht="14.5" x14ac:dyDescent="0.35">
      <c r="C7" s="3" t="s">
        <v>6</v>
      </c>
      <c r="D7" s="35"/>
      <c r="E7" s="35"/>
      <c r="F7" s="35"/>
      <c r="G7" s="35"/>
      <c r="H7" s="35"/>
      <c r="I7" s="35"/>
    </row>
    <row r="8" spans="2:36" ht="18.5" x14ac:dyDescent="0.45">
      <c r="C8" s="9" t="s">
        <v>7</v>
      </c>
      <c r="D8" s="9" t="s">
        <v>8</v>
      </c>
      <c r="E8" s="9"/>
      <c r="F8" s="9"/>
      <c r="I8" s="25" t="s">
        <v>9</v>
      </c>
    </row>
    <row r="9" spans="2:36" x14ac:dyDescent="0.3">
      <c r="C9" s="9" t="s">
        <v>10</v>
      </c>
      <c r="D9" s="9" t="s">
        <v>11</v>
      </c>
      <c r="E9" s="9"/>
      <c r="F9" s="9"/>
    </row>
    <row r="11" spans="2:36" s="10" customFormat="1" ht="54" customHeight="1" thickBot="1" x14ac:dyDescent="0.3"/>
    <row r="12" spans="2:36" s="10" customFormat="1" ht="61.5" customHeight="1" thickBot="1" x14ac:dyDescent="0.3">
      <c r="B12" s="20" t="s">
        <v>12</v>
      </c>
      <c r="C12" s="21" t="s">
        <v>13</v>
      </c>
      <c r="D12" s="21" t="s">
        <v>14</v>
      </c>
      <c r="E12" s="21" t="s">
        <v>15</v>
      </c>
      <c r="F12" s="21" t="s">
        <v>16</v>
      </c>
      <c r="G12" s="21" t="s">
        <v>17</v>
      </c>
      <c r="H12" s="21" t="s">
        <v>18</v>
      </c>
      <c r="I12" s="21" t="s">
        <v>19</v>
      </c>
      <c r="J12" s="21" t="s">
        <v>20</v>
      </c>
      <c r="K12" s="21" t="s">
        <v>21</v>
      </c>
      <c r="L12" s="21" t="s">
        <v>22</v>
      </c>
      <c r="M12" s="21" t="s">
        <v>23</v>
      </c>
      <c r="N12" s="21" t="s">
        <v>24</v>
      </c>
      <c r="O12" s="21" t="s">
        <v>25</v>
      </c>
      <c r="P12" s="21" t="s">
        <v>26</v>
      </c>
      <c r="Q12" s="21" t="s">
        <v>27</v>
      </c>
      <c r="R12" s="21" t="s">
        <v>28</v>
      </c>
      <c r="S12" s="21" t="s">
        <v>29</v>
      </c>
      <c r="T12" s="21" t="s">
        <v>30</v>
      </c>
      <c r="U12" s="21" t="s">
        <v>31</v>
      </c>
      <c r="V12" s="21" t="s">
        <v>32</v>
      </c>
      <c r="W12" s="21" t="s">
        <v>33</v>
      </c>
      <c r="X12" s="21" t="s">
        <v>34</v>
      </c>
      <c r="Y12" s="21" t="s">
        <v>35</v>
      </c>
      <c r="Z12" s="21" t="s">
        <v>36</v>
      </c>
      <c r="AA12" s="22" t="s">
        <v>37</v>
      </c>
      <c r="AB12" s="16" t="s">
        <v>38</v>
      </c>
      <c r="AC12" s="16" t="s">
        <v>39</v>
      </c>
      <c r="AD12" s="16" t="s">
        <v>40</v>
      </c>
      <c r="AE12" s="17" t="s">
        <v>41</v>
      </c>
      <c r="AF12" s="18" t="s">
        <v>42</v>
      </c>
      <c r="AG12" s="18" t="s">
        <v>43</v>
      </c>
      <c r="AH12" s="18" t="s">
        <v>44</v>
      </c>
      <c r="AI12" s="18" t="s">
        <v>45</v>
      </c>
      <c r="AJ12" s="19" t="s">
        <v>46</v>
      </c>
    </row>
    <row r="13" spans="2:36" ht="29" x14ac:dyDescent="0.3">
      <c r="B13" s="27" t="s">
        <v>112</v>
      </c>
      <c r="C13" s="27" t="s">
        <v>122</v>
      </c>
      <c r="D13" s="27" t="s">
        <v>47</v>
      </c>
      <c r="E13" s="27" t="s">
        <v>106</v>
      </c>
      <c r="F13" s="27" t="s">
        <v>49</v>
      </c>
      <c r="G13" s="29" t="s">
        <v>123</v>
      </c>
      <c r="H13" s="27" t="s">
        <v>86</v>
      </c>
      <c r="I13" s="27" t="s">
        <v>113</v>
      </c>
      <c r="J13" s="27"/>
      <c r="K13" s="27" t="s">
        <v>51</v>
      </c>
      <c r="L13" s="27" t="s">
        <v>52</v>
      </c>
      <c r="M13" s="27" t="s">
        <v>52</v>
      </c>
      <c r="N13" s="27"/>
      <c r="O13" s="27">
        <v>34</v>
      </c>
      <c r="P13" s="27" t="e">
        <f>[1]!Tableau32[[#This Row],[HJ Dev]]*(25%+25%)</f>
        <v>#REF!</v>
      </c>
      <c r="Q13" s="27" t="e">
        <f>[1]!Tableau32[[#This Row],[HJ Analyse et test]]+[1]!Tableau32[[#This Row],[HJ Dev]]</f>
        <v>#REF!</v>
      </c>
      <c r="R13" s="27" t="e">
        <f>[1]!Tableau32[[#This Row],[Total HJ]]*8</f>
        <v>#REF!</v>
      </c>
      <c r="S13" s="10"/>
      <c r="T13" s="10"/>
      <c r="U13" s="10"/>
      <c r="V13" s="10"/>
      <c r="W13" s="10"/>
      <c r="X13" s="10"/>
      <c r="Y13" s="10"/>
      <c r="Z13" s="10" t="s">
        <v>52</v>
      </c>
      <c r="AA13" s="10"/>
      <c r="AB13" s="27">
        <v>6</v>
      </c>
      <c r="AC13" s="27">
        <f>Tableau3[[#This Row],[HJ Dev]]*(25%+25%)</f>
        <v>3</v>
      </c>
      <c r="AD13" s="27">
        <f>Tableau3[[#This Row],[HJ Dev]]+Tableau3[[#This Row],[HJ Analyse et test]]</f>
        <v>9</v>
      </c>
      <c r="AE13" s="10"/>
      <c r="AF13" s="10"/>
      <c r="AG13" s="10"/>
      <c r="AH13" s="10"/>
      <c r="AI13" s="10"/>
      <c r="AJ13" s="10"/>
    </row>
    <row r="14" spans="2:36" ht="36" customHeight="1" x14ac:dyDescent="0.3">
      <c r="B14" s="27" t="s">
        <v>114</v>
      </c>
      <c r="C14" s="31" t="s">
        <v>124</v>
      </c>
      <c r="D14" s="31" t="s">
        <v>47</v>
      </c>
      <c r="E14" s="31" t="s">
        <v>105</v>
      </c>
      <c r="F14" s="31" t="s">
        <v>49</v>
      </c>
      <c r="G14" s="32" t="s">
        <v>139</v>
      </c>
      <c r="H14" s="31" t="s">
        <v>86</v>
      </c>
      <c r="I14" s="32" t="s">
        <v>140</v>
      </c>
      <c r="J14" s="32"/>
      <c r="K14" s="27" t="s">
        <v>51</v>
      </c>
      <c r="L14" s="27" t="s">
        <v>52</v>
      </c>
      <c r="M14" s="27" t="s">
        <v>52</v>
      </c>
      <c r="N14" s="27"/>
      <c r="O14" s="27">
        <v>39</v>
      </c>
      <c r="P14" s="27" t="e">
        <f>[1]!Tableau32[[#This Row],[HJ Dev]]*(25%+25%)</f>
        <v>#REF!</v>
      </c>
      <c r="Q14" s="27" t="e">
        <f>[1]!Tableau32[[#This Row],[HJ Analyse et test]]+[1]!Tableau32[[#This Row],[HJ Dev]]</f>
        <v>#REF!</v>
      </c>
      <c r="R14" s="27" t="e">
        <f>[1]!Tableau32[[#This Row],[Total HJ]]*8</f>
        <v>#REF!</v>
      </c>
      <c r="S14" s="10"/>
      <c r="T14" s="10"/>
      <c r="U14" s="10"/>
      <c r="V14" s="10"/>
      <c r="W14" s="10"/>
      <c r="X14" s="10"/>
      <c r="Y14" s="10"/>
      <c r="Z14" s="10" t="s">
        <v>52</v>
      </c>
      <c r="AA14" s="10"/>
      <c r="AB14" s="27">
        <v>4</v>
      </c>
      <c r="AC14" s="27">
        <f>Tableau3[[#This Row],[HJ Dev]]*(25%+25%)</f>
        <v>2</v>
      </c>
      <c r="AD14" s="27">
        <f>Tableau3[[#This Row],[HJ Dev]]+Tableau3[[#This Row],[HJ Analyse et test]]</f>
        <v>6</v>
      </c>
      <c r="AE14" s="10"/>
      <c r="AF14" s="10"/>
      <c r="AG14" s="10"/>
      <c r="AH14" s="10"/>
      <c r="AI14" s="10"/>
      <c r="AJ14" s="10"/>
    </row>
    <row r="15" spans="2:36" ht="29" x14ac:dyDescent="0.3">
      <c r="B15" s="27" t="s">
        <v>115</v>
      </c>
      <c r="C15" s="27" t="s">
        <v>125</v>
      </c>
      <c r="D15" s="27" t="s">
        <v>47</v>
      </c>
      <c r="E15" s="27" t="s">
        <v>105</v>
      </c>
      <c r="F15" s="27" t="s">
        <v>49</v>
      </c>
      <c r="G15" s="29" t="s">
        <v>126</v>
      </c>
      <c r="H15" s="27" t="s">
        <v>86</v>
      </c>
      <c r="I15" s="29" t="s">
        <v>141</v>
      </c>
      <c r="J15" s="29"/>
      <c r="K15" s="27" t="s">
        <v>51</v>
      </c>
      <c r="L15" s="27" t="s">
        <v>52</v>
      </c>
      <c r="M15" s="27" t="s">
        <v>52</v>
      </c>
      <c r="N15" s="27"/>
      <c r="O15" s="27">
        <v>40</v>
      </c>
      <c r="P15" s="27" t="e">
        <f>[1]!Tableau32[[#This Row],[HJ Dev]]*(25%+25%)</f>
        <v>#REF!</v>
      </c>
      <c r="Q15" s="27" t="e">
        <f>[1]!Tableau32[[#This Row],[HJ Analyse et test]]+[1]!Tableau32[[#This Row],[HJ Dev]]</f>
        <v>#REF!</v>
      </c>
      <c r="R15" s="27" t="e">
        <f>[1]!Tableau32[[#This Row],[Total HJ]]*8</f>
        <v>#REF!</v>
      </c>
      <c r="S15" s="10"/>
      <c r="T15" s="10"/>
      <c r="U15" s="10"/>
      <c r="V15" s="10"/>
      <c r="W15" s="10"/>
      <c r="X15" s="10"/>
      <c r="Y15" s="10"/>
      <c r="Z15" s="10" t="s">
        <v>52</v>
      </c>
      <c r="AA15" s="10"/>
      <c r="AB15" s="27">
        <v>3</v>
      </c>
      <c r="AC15" s="27">
        <f>Tableau3[[#This Row],[HJ Dev]]*(25%+25%)</f>
        <v>1.5</v>
      </c>
      <c r="AD15" s="27">
        <f>Tableau3[[#This Row],[HJ Dev]]+Tableau3[[#This Row],[HJ Analyse et test]]</f>
        <v>4.5</v>
      </c>
      <c r="AE15" s="10"/>
      <c r="AF15" s="10"/>
      <c r="AG15" s="10"/>
      <c r="AH15" s="10"/>
      <c r="AI15" s="10"/>
      <c r="AJ15" s="10"/>
    </row>
    <row r="16" spans="2:36" ht="29" x14ac:dyDescent="0.3">
      <c r="B16" s="27" t="s">
        <v>116</v>
      </c>
      <c r="C16" s="27" t="s">
        <v>127</v>
      </c>
      <c r="D16" s="27" t="s">
        <v>47</v>
      </c>
      <c r="E16" s="27" t="s">
        <v>105</v>
      </c>
      <c r="F16" s="27" t="s">
        <v>49</v>
      </c>
      <c r="G16" s="29" t="s">
        <v>128</v>
      </c>
      <c r="H16" s="27" t="s">
        <v>86</v>
      </c>
      <c r="I16" s="29" t="s">
        <v>142</v>
      </c>
      <c r="J16" s="29"/>
      <c r="K16" s="27" t="s">
        <v>51</v>
      </c>
      <c r="L16" s="27" t="s">
        <v>52</v>
      </c>
      <c r="M16" s="27" t="s">
        <v>52</v>
      </c>
      <c r="N16" s="27"/>
      <c r="O16" s="27">
        <v>41</v>
      </c>
      <c r="P16" s="27" t="e">
        <f>[1]!Tableau32[[#This Row],[HJ Dev]]*(25%+25%)</f>
        <v>#REF!</v>
      </c>
      <c r="Q16" s="27" t="e">
        <f>[1]!Tableau32[[#This Row],[HJ Analyse et test]]+[1]!Tableau32[[#This Row],[HJ Dev]]</f>
        <v>#REF!</v>
      </c>
      <c r="R16" s="27" t="e">
        <f>[1]!Tableau32[[#This Row],[Total HJ]]*8</f>
        <v>#REF!</v>
      </c>
      <c r="S16" s="10"/>
      <c r="T16" s="10"/>
      <c r="U16" s="10"/>
      <c r="V16" s="10"/>
      <c r="W16" s="10"/>
      <c r="X16" s="10"/>
      <c r="Y16" s="10"/>
      <c r="Z16" s="10" t="s">
        <v>52</v>
      </c>
      <c r="AA16" s="10"/>
      <c r="AB16" s="27">
        <v>3</v>
      </c>
      <c r="AC16" s="27">
        <f>Tableau3[[#This Row],[HJ Dev]]*(25%+25%)</f>
        <v>1.5</v>
      </c>
      <c r="AD16" s="27">
        <f>Tableau3[[#This Row],[HJ Dev]]+Tableau3[[#This Row],[HJ Analyse et test]]</f>
        <v>4.5</v>
      </c>
      <c r="AE16" s="10"/>
      <c r="AF16" s="10"/>
      <c r="AG16" s="10"/>
      <c r="AH16" s="10"/>
      <c r="AI16" s="10"/>
      <c r="AJ16" s="10"/>
    </row>
    <row r="17" spans="2:36" ht="29" x14ac:dyDescent="0.3">
      <c r="B17" s="27" t="s">
        <v>117</v>
      </c>
      <c r="C17" s="27" t="s">
        <v>129</v>
      </c>
      <c r="D17" s="27" t="s">
        <v>47</v>
      </c>
      <c r="E17" s="27" t="s">
        <v>105</v>
      </c>
      <c r="F17" s="27" t="s">
        <v>49</v>
      </c>
      <c r="G17" s="29" t="s">
        <v>130</v>
      </c>
      <c r="H17" s="27" t="s">
        <v>86</v>
      </c>
      <c r="I17" s="29" t="s">
        <v>143</v>
      </c>
      <c r="J17" s="29"/>
      <c r="K17" s="27" t="s">
        <v>51</v>
      </c>
      <c r="L17" s="27" t="s">
        <v>52</v>
      </c>
      <c r="M17" s="27" t="s">
        <v>52</v>
      </c>
      <c r="N17" s="27"/>
      <c r="O17" s="27">
        <v>42</v>
      </c>
      <c r="P17" s="27" t="e">
        <f>[1]!Tableau32[[#This Row],[HJ Dev]]*(25%+25%)</f>
        <v>#REF!</v>
      </c>
      <c r="Q17" s="27" t="e">
        <f>[1]!Tableau32[[#This Row],[HJ Analyse et test]]+[1]!Tableau32[[#This Row],[HJ Dev]]</f>
        <v>#REF!</v>
      </c>
      <c r="R17" s="27" t="e">
        <f>[1]!Tableau32[[#This Row],[Total HJ]]*8</f>
        <v>#REF!</v>
      </c>
      <c r="S17" s="10"/>
      <c r="T17" s="10"/>
      <c r="U17" s="10"/>
      <c r="V17" s="10"/>
      <c r="W17" s="10"/>
      <c r="X17" s="10"/>
      <c r="Y17" s="10"/>
      <c r="Z17" s="10" t="s">
        <v>52</v>
      </c>
      <c r="AA17" s="10"/>
      <c r="AB17" s="27">
        <v>4</v>
      </c>
      <c r="AC17" s="27">
        <f>Tableau3[[#This Row],[HJ Dev]]*(25%+25%)</f>
        <v>2</v>
      </c>
      <c r="AD17" s="27">
        <f>Tableau3[[#This Row],[HJ Dev]]+Tableau3[[#This Row],[HJ Analyse et test]]</f>
        <v>6</v>
      </c>
      <c r="AE17" s="10"/>
      <c r="AF17" s="10"/>
      <c r="AG17" s="10"/>
      <c r="AH17" s="10"/>
      <c r="AI17" s="10"/>
      <c r="AJ17" s="10"/>
    </row>
    <row r="18" spans="2:36" ht="29" x14ac:dyDescent="0.3">
      <c r="B18" s="27" t="s">
        <v>118</v>
      </c>
      <c r="C18" s="27" t="s">
        <v>131</v>
      </c>
      <c r="D18" s="27" t="s">
        <v>47</v>
      </c>
      <c r="E18" s="27" t="s">
        <v>105</v>
      </c>
      <c r="F18" s="27" t="s">
        <v>49</v>
      </c>
      <c r="G18" s="29" t="s">
        <v>132</v>
      </c>
      <c r="H18" s="27" t="s">
        <v>86</v>
      </c>
      <c r="I18" s="29" t="s">
        <v>144</v>
      </c>
      <c r="J18" s="29"/>
      <c r="K18" s="27" t="s">
        <v>51</v>
      </c>
      <c r="L18" s="27" t="s">
        <v>52</v>
      </c>
      <c r="M18" s="27" t="s">
        <v>52</v>
      </c>
      <c r="N18" s="27"/>
      <c r="O18" s="27">
        <v>43</v>
      </c>
      <c r="P18" s="27" t="e">
        <f>[1]!Tableau32[[#This Row],[HJ Dev]]*(25%+25%)</f>
        <v>#REF!</v>
      </c>
      <c r="Q18" s="27" t="e">
        <f>[1]!Tableau32[[#This Row],[HJ Analyse et test]]+[1]!Tableau32[[#This Row],[HJ Dev]]</f>
        <v>#REF!</v>
      </c>
      <c r="R18" s="27" t="e">
        <f>[1]!Tableau32[[#This Row],[Total HJ]]*8</f>
        <v>#REF!</v>
      </c>
      <c r="S18" s="10"/>
      <c r="T18" s="10"/>
      <c r="U18" s="10"/>
      <c r="V18" s="10"/>
      <c r="W18" s="10"/>
      <c r="X18" s="10"/>
      <c r="Y18" s="10"/>
      <c r="Z18" s="10" t="s">
        <v>52</v>
      </c>
      <c r="AA18" s="10"/>
      <c r="AB18" s="27">
        <v>4</v>
      </c>
      <c r="AC18" s="27">
        <f>Tableau3[[#This Row],[HJ Dev]]*(25%+25%)</f>
        <v>2</v>
      </c>
      <c r="AD18" s="27">
        <f>Tableau3[[#This Row],[HJ Dev]]+Tableau3[[#This Row],[HJ Analyse et test]]</f>
        <v>6</v>
      </c>
      <c r="AE18" s="10"/>
      <c r="AF18" s="10"/>
      <c r="AG18" s="10"/>
      <c r="AH18" s="10"/>
      <c r="AI18" s="10"/>
      <c r="AJ18" s="10"/>
    </row>
    <row r="19" spans="2:36" ht="29" x14ac:dyDescent="0.3">
      <c r="B19" s="27" t="s">
        <v>119</v>
      </c>
      <c r="C19" s="27" t="s">
        <v>133</v>
      </c>
      <c r="D19" s="27" t="s">
        <v>47</v>
      </c>
      <c r="E19" s="27" t="s">
        <v>106</v>
      </c>
      <c r="F19" s="27" t="s">
        <v>49</v>
      </c>
      <c r="G19" s="29" t="s">
        <v>148</v>
      </c>
      <c r="H19" s="27" t="s">
        <v>86</v>
      </c>
      <c r="I19" s="30" t="s">
        <v>147</v>
      </c>
      <c r="J19" s="30"/>
      <c r="K19" s="27" t="s">
        <v>51</v>
      </c>
      <c r="L19" s="27" t="s">
        <v>52</v>
      </c>
      <c r="M19" s="27" t="s">
        <v>52</v>
      </c>
      <c r="N19" s="27"/>
      <c r="O19" s="27">
        <v>44</v>
      </c>
      <c r="P19" s="27" t="e">
        <f>[1]!Tableau32[[#This Row],[HJ Dev]]*(25%+25%)</f>
        <v>#REF!</v>
      </c>
      <c r="Q19" s="27" t="e">
        <f>[1]!Tableau32[[#This Row],[HJ Analyse et test]]+[1]!Tableau32[[#This Row],[HJ Dev]]</f>
        <v>#REF!</v>
      </c>
      <c r="R19" s="27" t="e">
        <f>[1]!Tableau32[[#This Row],[Total HJ]]*8</f>
        <v>#REF!</v>
      </c>
      <c r="S19" s="10"/>
      <c r="T19" s="10"/>
      <c r="U19" s="10"/>
      <c r="V19" s="10"/>
      <c r="W19" s="10"/>
      <c r="X19" s="10"/>
      <c r="Y19" s="10"/>
      <c r="Z19" s="10" t="s">
        <v>52</v>
      </c>
      <c r="AA19" s="10"/>
      <c r="AB19" s="27">
        <v>4</v>
      </c>
      <c r="AC19" s="27">
        <f>Tableau3[[#This Row],[HJ Dev]]*(25%+25%)</f>
        <v>2</v>
      </c>
      <c r="AD19" s="27">
        <f>Tableau3[[#This Row],[HJ Dev]]+Tableau3[[#This Row],[HJ Analyse et test]]</f>
        <v>6</v>
      </c>
      <c r="AE19" s="10"/>
      <c r="AF19" s="10"/>
      <c r="AG19" s="10"/>
      <c r="AH19" s="10"/>
      <c r="AI19" s="10"/>
      <c r="AJ19" s="10"/>
    </row>
    <row r="20" spans="2:36" ht="26" x14ac:dyDescent="0.3">
      <c r="B20" s="27" t="s">
        <v>120</v>
      </c>
      <c r="C20" s="10" t="s">
        <v>134</v>
      </c>
      <c r="D20" s="10" t="s">
        <v>47</v>
      </c>
      <c r="E20" s="10" t="s">
        <v>105</v>
      </c>
      <c r="F20" s="10" t="s">
        <v>49</v>
      </c>
      <c r="G20" s="29" t="s">
        <v>135</v>
      </c>
      <c r="H20" s="10" t="s">
        <v>86</v>
      </c>
      <c r="I20" s="27" t="s">
        <v>145</v>
      </c>
      <c r="J20" s="27"/>
      <c r="K20" s="27" t="s">
        <v>51</v>
      </c>
      <c r="L20" s="27" t="s">
        <v>52</v>
      </c>
      <c r="M20" s="27" t="s">
        <v>52</v>
      </c>
      <c r="N20" s="27"/>
      <c r="O20" s="27">
        <v>45</v>
      </c>
      <c r="P20" s="27" t="e">
        <f>[1]!Tableau32[[#This Row],[HJ Dev]]*(25%+25%)</f>
        <v>#REF!</v>
      </c>
      <c r="Q20" s="27" t="e">
        <f>[1]!Tableau32[[#This Row],[HJ Analyse et test]]+[1]!Tableau32[[#This Row],[HJ Dev]]</f>
        <v>#REF!</v>
      </c>
      <c r="R20" s="27" t="e">
        <f>[1]!Tableau32[[#This Row],[Total HJ]]*8</f>
        <v>#REF!</v>
      </c>
      <c r="S20" s="10"/>
      <c r="T20" s="10"/>
      <c r="U20" s="10"/>
      <c r="V20" s="10"/>
      <c r="W20" s="10"/>
      <c r="X20" s="10"/>
      <c r="Y20" s="10"/>
      <c r="Z20" s="10" t="s">
        <v>52</v>
      </c>
      <c r="AA20" s="10"/>
      <c r="AB20" s="27">
        <v>3</v>
      </c>
      <c r="AC20" s="27">
        <f>Tableau3[[#This Row],[HJ Dev]]*(25%+25%)</f>
        <v>1.5</v>
      </c>
      <c r="AD20" s="27">
        <f>Tableau3[[#This Row],[HJ Dev]]+Tableau3[[#This Row],[HJ Analyse et test]]</f>
        <v>4.5</v>
      </c>
      <c r="AE20" s="10"/>
      <c r="AF20" s="10"/>
      <c r="AG20" s="10"/>
      <c r="AH20" s="10"/>
      <c r="AI20" s="10"/>
      <c r="AJ20" s="10"/>
    </row>
    <row r="21" spans="2:36" ht="29" x14ac:dyDescent="0.3">
      <c r="B21" s="27" t="s">
        <v>121</v>
      </c>
      <c r="C21" s="33" t="s">
        <v>136</v>
      </c>
      <c r="D21" s="33" t="s">
        <v>47</v>
      </c>
      <c r="E21" s="33" t="s">
        <v>105</v>
      </c>
      <c r="F21" s="33" t="s">
        <v>49</v>
      </c>
      <c r="G21" s="34" t="s">
        <v>137</v>
      </c>
      <c r="H21" s="33" t="s">
        <v>86</v>
      </c>
      <c r="I21" s="34" t="s">
        <v>146</v>
      </c>
      <c r="J21" s="34"/>
      <c r="K21" s="27" t="s">
        <v>51</v>
      </c>
      <c r="L21" s="27" t="s">
        <v>52</v>
      </c>
      <c r="M21" s="27" t="s">
        <v>52</v>
      </c>
      <c r="N21" s="27"/>
      <c r="O21" s="27">
        <v>46</v>
      </c>
      <c r="P21" s="27" t="e">
        <f>[1]!Tableau32[[#This Row],[HJ Dev]]*(25%+25%)</f>
        <v>#REF!</v>
      </c>
      <c r="Q21" s="27" t="e">
        <f>[1]!Tableau32[[#This Row],[HJ Analyse et test]]+[1]!Tableau32[[#This Row],[HJ Dev]]</f>
        <v>#REF!</v>
      </c>
      <c r="R21" s="27" t="e">
        <f>[1]!Tableau32[[#This Row],[Total HJ]]*8</f>
        <v>#REF!</v>
      </c>
      <c r="S21" s="10"/>
      <c r="T21" s="10"/>
      <c r="U21" s="10"/>
      <c r="V21" s="10"/>
      <c r="W21" s="10"/>
      <c r="X21" s="10"/>
      <c r="Y21" s="10"/>
      <c r="Z21" s="10" t="s">
        <v>52</v>
      </c>
      <c r="AA21" s="10"/>
      <c r="AB21" s="27">
        <v>4</v>
      </c>
      <c r="AC21" s="27">
        <f>Tableau3[[#This Row],[HJ Dev]]*(25%+25%)</f>
        <v>2</v>
      </c>
      <c r="AD21" s="27">
        <f>Tableau3[[#This Row],[HJ Dev]]+Tableau3[[#This Row],[HJ Analyse et test]]</f>
        <v>6</v>
      </c>
      <c r="AE21" s="10"/>
      <c r="AF21" s="10"/>
      <c r="AG21" s="10"/>
      <c r="AH21" s="10"/>
      <c r="AI21" s="10"/>
      <c r="AJ21" s="10"/>
    </row>
    <row r="22" spans="2:36" x14ac:dyDescent="0.3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>
        <f>SUBTOTAL(109,AB13:AB21)</f>
        <v>35</v>
      </c>
      <c r="AC22" s="10">
        <f>SUBTOTAL(109,AC13:AC21)</f>
        <v>17.5</v>
      </c>
      <c r="AD22" s="28">
        <f>SUBTOTAL(109,AD13:AD21)</f>
        <v>52.5</v>
      </c>
      <c r="AE22" s="10"/>
      <c r="AF22" s="10"/>
      <c r="AG22" s="10"/>
      <c r="AH22" s="10"/>
      <c r="AI22" s="10"/>
      <c r="AJ22" s="10"/>
    </row>
  </sheetData>
  <mergeCells count="7">
    <mergeCell ref="D7:I7"/>
    <mergeCell ref="D6:I6"/>
    <mergeCell ref="AE2:AJ2"/>
    <mergeCell ref="B2:AA2"/>
    <mergeCell ref="D4:I4"/>
    <mergeCell ref="D5:I5"/>
    <mergeCell ref="AB2:AD2"/>
  </mergeCells>
  <phoneticPr fontId="2" type="noConversion"/>
  <dataValidations count="2">
    <dataValidation type="whole" operator="greaterThanOrEqual" allowBlank="1" showInputMessage="1" showErrorMessage="1" sqref="O13:R21 AE13:AE21" xr:uid="{10E2E794-3894-4CC1-AB1A-9BB5BF41EABB}">
      <formula1>0</formula1>
    </dataValidation>
    <dataValidation type="decimal" operator="greaterThanOrEqual" allowBlank="1" showInputMessage="1" showErrorMessage="1" sqref="AB13:AD21" xr:uid="{F2A6A162-65AE-4345-AEBF-FABC27A4C8FA}">
      <formula1>0</formula1>
    </dataValidation>
  </dataValidations>
  <pageMargins left="0.7" right="0.7" top="0.75" bottom="0.75" header="0.3" footer="0.3"/>
  <pageSetup paperSize="9" scale="74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6B2A4DB-2A94-4B0B-971B-CDFF438E23BA}">
          <x14:formula1>
            <xm:f>Params!$F$3:$F$9</xm:f>
          </x14:formula1>
          <xm:sqref>AA13:AA21</xm:sqref>
        </x14:dataValidation>
        <x14:dataValidation type="list" allowBlank="1" showInputMessage="1" showErrorMessage="1" xr:uid="{1F2CF1C1-BE35-4DC9-A975-F49F788F3D6A}">
          <x14:formula1>
            <xm:f>Params!$G$3:$G$6</xm:f>
          </x14:formula1>
          <xm:sqref>S13:Y21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workbookViewId="0">
      <selection activeCell="C9" sqref="C9"/>
    </sheetView>
  </sheetViews>
  <sheetFormatPr baseColWidth="10" defaultColWidth="11.453125" defaultRowHeight="14.5" x14ac:dyDescent="0.35"/>
  <cols>
    <col min="1" max="1" width="16.54296875" style="2" customWidth="1"/>
    <col min="2" max="2" width="19.54296875" style="2" customWidth="1"/>
    <col min="3" max="3" width="11.453125" style="2"/>
    <col min="4" max="4" width="67.81640625" style="2" customWidth="1"/>
    <col min="5" max="5" width="15.81640625" style="2" customWidth="1"/>
    <col min="6" max="6" width="21.1796875" style="2" customWidth="1"/>
    <col min="7" max="7" width="16.54296875" style="2" customWidth="1"/>
    <col min="8" max="16384" width="11.453125" style="2"/>
  </cols>
  <sheetData>
    <row r="2" spans="1:7" ht="15" thickBot="1" x14ac:dyDescent="0.4"/>
    <row r="3" spans="1:7" ht="24" customHeight="1" thickBot="1" x14ac:dyDescent="0.4">
      <c r="A3" s="2" t="s">
        <v>54</v>
      </c>
      <c r="B3" s="44" t="s">
        <v>0</v>
      </c>
      <c r="C3" s="45"/>
      <c r="D3" s="45"/>
      <c r="E3" s="45"/>
      <c r="F3" s="45"/>
      <c r="G3" s="46"/>
    </row>
    <row r="4" spans="1:7" x14ac:dyDescent="0.35">
      <c r="B4" s="4"/>
      <c r="C4" s="5"/>
      <c r="D4" s="5"/>
      <c r="E4" s="5"/>
      <c r="F4" s="5"/>
      <c r="G4" s="5"/>
    </row>
    <row r="5" spans="1:7" x14ac:dyDescent="0.35">
      <c r="B5" s="4" t="str">
        <f>'Gestion Exigences'!C4</f>
        <v>Client</v>
      </c>
      <c r="C5" s="13" t="str">
        <f>'Gestion Exigences'!D4</f>
        <v>COGITEL</v>
      </c>
      <c r="D5" s="5"/>
      <c r="E5" s="5"/>
      <c r="F5" s="5"/>
      <c r="G5" s="5"/>
    </row>
    <row r="6" spans="1:7" x14ac:dyDescent="0.35">
      <c r="B6" s="4" t="str">
        <f>'Gestion Exigences'!C5</f>
        <v>Projet</v>
      </c>
      <c r="C6" s="13" t="str">
        <f>'Gestion Exigences'!D5</f>
        <v>Digitalisation Usine Cogitel</v>
      </c>
      <c r="D6" s="5"/>
      <c r="E6" s="5"/>
      <c r="F6" s="5"/>
      <c r="G6" s="5"/>
    </row>
    <row r="7" spans="1:7" x14ac:dyDescent="0.35">
      <c r="B7" s="4" t="str">
        <f>'Gestion Exigences'!C6</f>
        <v>Réf BPA du Devis</v>
      </c>
      <c r="C7" s="13">
        <f>'Gestion Exigences'!D6</f>
        <v>0</v>
      </c>
      <c r="D7" s="5"/>
      <c r="E7" s="5"/>
      <c r="F7" s="5"/>
      <c r="G7" s="5"/>
    </row>
    <row r="8" spans="1:7" x14ac:dyDescent="0.35">
      <c r="B8" s="4" t="str">
        <f>'Gestion Exigences'!C7</f>
        <v>Réf BPA du Projet</v>
      </c>
      <c r="C8" s="13">
        <f>'Gestion Exigences'!D7</f>
        <v>0</v>
      </c>
      <c r="D8" s="5"/>
      <c r="E8" s="5"/>
      <c r="F8" s="5"/>
      <c r="G8" s="5"/>
    </row>
    <row r="9" spans="1:7" x14ac:dyDescent="0.35">
      <c r="B9" s="12" t="str">
        <f>'Gestion Exigences'!C8</f>
        <v>Réf Modèle Document</v>
      </c>
      <c r="C9" s="14" t="str">
        <f>'Gestion Exigences'!D8</f>
        <v>MD203</v>
      </c>
      <c r="D9" s="5"/>
      <c r="E9" s="5"/>
      <c r="F9" s="5"/>
      <c r="G9" s="5"/>
    </row>
    <row r="10" spans="1:7" x14ac:dyDescent="0.35">
      <c r="B10" s="12" t="str">
        <f>'Gestion Exigences'!C9</f>
        <v>Version Modèle Document</v>
      </c>
      <c r="C10" s="14" t="str">
        <f>'Gestion Exigences'!D9</f>
        <v>V1.5</v>
      </c>
      <c r="D10" s="5"/>
      <c r="E10" s="5"/>
      <c r="F10" s="5"/>
      <c r="G10" s="5"/>
    </row>
    <row r="11" spans="1:7" x14ac:dyDescent="0.35">
      <c r="B11" s="4"/>
      <c r="C11" s="5"/>
      <c r="D11" s="5"/>
      <c r="E11" s="5"/>
      <c r="F11" s="5"/>
      <c r="G11" s="5"/>
    </row>
    <row r="12" spans="1:7" x14ac:dyDescent="0.35">
      <c r="B12" s="4"/>
      <c r="C12" s="5"/>
      <c r="D12" s="5"/>
      <c r="E12" s="5"/>
      <c r="F12" s="5"/>
      <c r="G12" s="5"/>
    </row>
    <row r="13" spans="1:7" x14ac:dyDescent="0.35">
      <c r="B13" s="15" t="s">
        <v>55</v>
      </c>
      <c r="C13" s="15" t="s">
        <v>56</v>
      </c>
      <c r="D13" s="15" t="s">
        <v>57</v>
      </c>
      <c r="E13" s="15" t="s">
        <v>58</v>
      </c>
      <c r="F13" s="15" t="s">
        <v>59</v>
      </c>
      <c r="G13" s="15" t="s">
        <v>60</v>
      </c>
    </row>
    <row r="14" spans="1:7" x14ac:dyDescent="0.35">
      <c r="B14" s="6" t="s">
        <v>61</v>
      </c>
      <c r="C14" s="7">
        <v>44741</v>
      </c>
      <c r="D14" s="24" t="s">
        <v>62</v>
      </c>
      <c r="E14" s="6" t="s">
        <v>63</v>
      </c>
      <c r="F14" s="23" t="s">
        <v>64</v>
      </c>
      <c r="G14" s="6" t="s">
        <v>65</v>
      </c>
    </row>
    <row r="15" spans="1:7" x14ac:dyDescent="0.35">
      <c r="B15" s="2" t="s">
        <v>66</v>
      </c>
      <c r="C15" s="26">
        <v>44978</v>
      </c>
      <c r="D15" s="2" t="s">
        <v>67</v>
      </c>
      <c r="E15" s="6" t="s">
        <v>63</v>
      </c>
      <c r="F15" s="2" t="s">
        <v>52</v>
      </c>
      <c r="G15" s="2" t="s">
        <v>65</v>
      </c>
    </row>
    <row r="16" spans="1:7" ht="58" x14ac:dyDescent="0.35">
      <c r="B16" s="2" t="s">
        <v>68</v>
      </c>
      <c r="C16" s="26">
        <v>45021</v>
      </c>
      <c r="D16" s="27" t="s">
        <v>69</v>
      </c>
      <c r="E16" s="6" t="s">
        <v>63</v>
      </c>
      <c r="F16" s="27" t="s">
        <v>70</v>
      </c>
      <c r="G16" s="27" t="s">
        <v>65</v>
      </c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H22"/>
  <sheetViews>
    <sheetView workbookViewId="0">
      <selection activeCell="C23" sqref="C23"/>
    </sheetView>
  </sheetViews>
  <sheetFormatPr baseColWidth="10" defaultColWidth="11.453125" defaultRowHeight="13" x14ac:dyDescent="0.25"/>
  <cols>
    <col min="1" max="1" width="11.453125" style="10"/>
    <col min="2" max="3" width="19.81640625" style="10" customWidth="1"/>
    <col min="4" max="4" width="21.54296875" style="10" customWidth="1"/>
    <col min="5" max="5" width="11.453125" style="10"/>
    <col min="6" max="6" width="16.1796875" style="10" customWidth="1"/>
    <col min="7" max="16384" width="11.453125" style="10"/>
  </cols>
  <sheetData>
    <row r="2" spans="2:8" ht="26" x14ac:dyDescent="0.25">
      <c r="B2" s="11" t="s">
        <v>14</v>
      </c>
      <c r="C2" s="11" t="s">
        <v>71</v>
      </c>
      <c r="D2" s="11" t="s">
        <v>18</v>
      </c>
      <c r="E2" s="11" t="s">
        <v>72</v>
      </c>
      <c r="F2" s="11" t="s">
        <v>37</v>
      </c>
      <c r="G2" s="11" t="s">
        <v>73</v>
      </c>
      <c r="H2" s="11" t="s">
        <v>15</v>
      </c>
    </row>
    <row r="3" spans="2:8" x14ac:dyDescent="0.25">
      <c r="B3" s="10" t="s">
        <v>47</v>
      </c>
      <c r="C3" s="10" t="s">
        <v>49</v>
      </c>
      <c r="D3" s="10" t="s">
        <v>74</v>
      </c>
      <c r="E3" s="10" t="s">
        <v>75</v>
      </c>
      <c r="F3" s="10" t="s">
        <v>76</v>
      </c>
      <c r="G3" s="10" t="s">
        <v>51</v>
      </c>
      <c r="H3" s="10" t="s">
        <v>77</v>
      </c>
    </row>
    <row r="4" spans="2:8" ht="26" x14ac:dyDescent="0.25">
      <c r="B4" s="10" t="s">
        <v>78</v>
      </c>
      <c r="C4" s="10" t="s">
        <v>79</v>
      </c>
      <c r="D4" s="10" t="s">
        <v>50</v>
      </c>
      <c r="E4" s="10" t="s">
        <v>80</v>
      </c>
      <c r="F4" s="10" t="s">
        <v>81</v>
      </c>
      <c r="G4" s="10" t="s">
        <v>82</v>
      </c>
      <c r="H4" s="10" t="s">
        <v>83</v>
      </c>
    </row>
    <row r="5" spans="2:8" x14ac:dyDescent="0.25">
      <c r="B5" s="10" t="s">
        <v>84</v>
      </c>
      <c r="C5" s="10" t="s">
        <v>85</v>
      </c>
      <c r="D5" s="10" t="s">
        <v>86</v>
      </c>
      <c r="E5" s="10" t="s">
        <v>87</v>
      </c>
      <c r="H5" s="10" t="s">
        <v>88</v>
      </c>
    </row>
    <row r="6" spans="2:8" x14ac:dyDescent="0.25">
      <c r="B6" s="10" t="s">
        <v>89</v>
      </c>
      <c r="C6" s="10" t="s">
        <v>90</v>
      </c>
      <c r="D6" s="10" t="s">
        <v>91</v>
      </c>
      <c r="H6" s="10" t="s">
        <v>92</v>
      </c>
    </row>
    <row r="7" spans="2:8" x14ac:dyDescent="0.25">
      <c r="B7" s="10" t="s">
        <v>93</v>
      </c>
      <c r="C7" s="10" t="s">
        <v>94</v>
      </c>
      <c r="D7" s="10" t="s">
        <v>95</v>
      </c>
      <c r="H7" s="10" t="s">
        <v>96</v>
      </c>
    </row>
    <row r="8" spans="2:8" x14ac:dyDescent="0.25">
      <c r="B8" s="10" t="s">
        <v>97</v>
      </c>
      <c r="D8" s="10" t="s">
        <v>98</v>
      </c>
      <c r="H8" s="10" t="s">
        <v>99</v>
      </c>
    </row>
    <row r="9" spans="2:8" x14ac:dyDescent="0.25">
      <c r="D9" s="10" t="s">
        <v>100</v>
      </c>
      <c r="H9" s="10" t="s">
        <v>101</v>
      </c>
    </row>
    <row r="10" spans="2:8" x14ac:dyDescent="0.25">
      <c r="H10" s="10" t="s">
        <v>102</v>
      </c>
    </row>
    <row r="11" spans="2:8" x14ac:dyDescent="0.25">
      <c r="H11" s="10" t="s">
        <v>103</v>
      </c>
    </row>
    <row r="13" spans="2:8" x14ac:dyDescent="0.25">
      <c r="H13" s="10" t="s">
        <v>104</v>
      </c>
    </row>
    <row r="14" spans="2:8" x14ac:dyDescent="0.25">
      <c r="H14" s="10" t="s">
        <v>48</v>
      </c>
    </row>
    <row r="15" spans="2:8" ht="26" x14ac:dyDescent="0.25">
      <c r="H15" s="10" t="s">
        <v>105</v>
      </c>
    </row>
    <row r="16" spans="2:8" ht="39" x14ac:dyDescent="0.25">
      <c r="H16" s="10" t="s">
        <v>53</v>
      </c>
    </row>
    <row r="17" spans="8:8" ht="26" x14ac:dyDescent="0.25">
      <c r="H17" s="10" t="s">
        <v>106</v>
      </c>
    </row>
    <row r="18" spans="8:8" x14ac:dyDescent="0.25">
      <c r="H18" s="10" t="s">
        <v>107</v>
      </c>
    </row>
    <row r="19" spans="8:8" x14ac:dyDescent="0.25">
      <c r="H19" s="10" t="s">
        <v>108</v>
      </c>
    </row>
    <row r="21" spans="8:8" x14ac:dyDescent="0.25">
      <c r="H21" s="10" t="s">
        <v>109</v>
      </c>
    </row>
    <row r="22" spans="8:8" ht="26" x14ac:dyDescent="0.25">
      <c r="H22" s="10" t="s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908ec-9e92-424c-a4ad-3174bac6e888" xsi:nil="true"/>
    <lcf76f155ced4ddcb4097134ff3c332f xmlns="5f2f9e80-f74a-40c7-b145-b94d8e4966f0">
      <Terms xmlns="http://schemas.microsoft.com/office/infopath/2007/PartnerControls"/>
    </lcf76f155ced4ddcb4097134ff3c332f>
    <SharedWithUsers xmlns="43b908ec-9e92-424c-a4ad-3174bac6e888">
      <UserInfo>
        <DisplayName/>
        <AccountId xsi:nil="true"/>
        <AccountType/>
      </UserInfo>
    </SharedWithUsers>
    <MediaLengthInSeconds xmlns="5f2f9e80-f74a-40c7-b145-b94d8e4966f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503822-DF13-4051-A489-72B75648E37A}">
  <ds:schemaRefs>
    <ds:schemaRef ds:uri="http://schemas.microsoft.com/office/2006/metadata/properties"/>
    <ds:schemaRef ds:uri="http://schemas.microsoft.com/office/infopath/2007/PartnerControls"/>
    <ds:schemaRef ds:uri="43b908ec-9e92-424c-a4ad-3174bac6e888"/>
    <ds:schemaRef ds:uri="5f2f9e80-f74a-40c7-b145-b94d8e4966f0"/>
  </ds:schemaRefs>
</ds:datastoreItem>
</file>

<file path=customXml/itemProps3.xml><?xml version="1.0" encoding="utf-8"?>
<ds:datastoreItem xmlns:ds="http://schemas.openxmlformats.org/officeDocument/2006/customXml" ds:itemID="{17984EAF-332D-49F7-BA31-8EF229329B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Siwar Abbes</cp:lastModifiedBy>
  <cp:revision/>
  <dcterms:created xsi:type="dcterms:W3CDTF">2000-07-05T17:03:55Z</dcterms:created>
  <dcterms:modified xsi:type="dcterms:W3CDTF">2024-10-28T17:58:38Z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Order">
    <vt:r8>206300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