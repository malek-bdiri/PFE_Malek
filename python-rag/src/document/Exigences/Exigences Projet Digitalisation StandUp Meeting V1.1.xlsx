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siwar.abbes\Desktop\"/>
    </mc:Choice>
  </mc:AlternateContent>
  <xr:revisionPtr revIDLastSave="0" documentId="13_ncr:1_{DDB84CF2-6C9C-4FCB-8320-37F7DB150103}" xr6:coauthVersionLast="47" xr6:coauthVersionMax="47" xr10:uidLastSave="{00000000-0000-0000-0000-000000000000}"/>
  <bookViews>
    <workbookView xWindow="-108" yWindow="-108" windowWidth="23256" windowHeight="12456" tabRatio="620" activeTab="1" xr2:uid="{00000000-000D-0000-FFFF-FFFF00000000}"/>
  </bookViews>
  <sheets>
    <sheet name="Fiche Client" sheetId="31" r:id="rId1"/>
    <sheet name="Gestion Exigences" sheetId="27" r:id="rId2"/>
    <sheet name="Modifs Doc" sheetId="29" r:id="rId3"/>
    <sheet name="Params" sheetId="30" r:id="rId4"/>
  </sheets>
  <definedNames>
    <definedName name="_xlnm.Print_Area" localSheetId="1">'Gestion Exigences'!$C$2:$I$14</definedName>
    <definedName name="_xlnm.Print_Area" localSheetId="2">'Modifs Doc'!$B$2:$G$18</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1" i="27" l="1"/>
  <c r="O21" i="27" s="1"/>
  <c r="P21" i="27" s="1"/>
  <c r="O20" i="27"/>
  <c r="P20" i="27" s="1"/>
  <c r="N20" i="27"/>
  <c r="N18" i="27"/>
  <c r="N19" i="27"/>
  <c r="O15" i="27" l="1"/>
  <c r="P15" i="27" s="1"/>
  <c r="O16" i="27"/>
  <c r="P16" i="27" s="1"/>
  <c r="O17" i="27"/>
  <c r="P17" i="27" s="1"/>
  <c r="O18" i="27"/>
  <c r="P18" i="27" s="1"/>
  <c r="O19" i="27"/>
  <c r="P19" i="27" s="1"/>
  <c r="O22" i="27"/>
  <c r="P22" i="27" s="1"/>
  <c r="O23" i="27"/>
  <c r="P23" i="27" s="1"/>
  <c r="O12" i="27"/>
  <c r="P12" i="27" s="1"/>
  <c r="O13" i="27"/>
  <c r="P13" i="27" s="1"/>
  <c r="O14" i="27"/>
  <c r="P14" i="27" s="1"/>
  <c r="D5" i="29"/>
  <c r="D6" i="29"/>
  <c r="D7" i="29"/>
  <c r="D8" i="29"/>
  <c r="C10" i="29"/>
  <c r="C11" i="29"/>
  <c r="B6" i="29"/>
  <c r="B7" i="29"/>
  <c r="B8" i="29"/>
  <c r="B10" i="29"/>
  <c r="B11" i="29"/>
  <c r="B5" i="29"/>
  <c r="N24" i="27" l="1"/>
  <c r="P24" i="27"/>
  <c r="P26" i="27"/>
</calcChain>
</file>

<file path=xl/sharedStrings.xml><?xml version="1.0" encoding="utf-8"?>
<sst xmlns="http://schemas.openxmlformats.org/spreadsheetml/2006/main" count="228" uniqueCount="143">
  <si>
    <t>Gestion Exigences Projet</t>
  </si>
  <si>
    <t>Chiffrage Réalisation (SF only)</t>
  </si>
  <si>
    <t>Revue et Vérification Pendant la Conception</t>
  </si>
  <si>
    <t>BU</t>
  </si>
  <si>
    <t>A définir</t>
  </si>
  <si>
    <t>Client</t>
  </si>
  <si>
    <t>Projet</t>
  </si>
  <si>
    <t>Réf Modèle Document</t>
  </si>
  <si>
    <t>MD203</t>
  </si>
  <si>
    <t>Confidentiel | Usage Client Limité</t>
  </si>
  <si>
    <t>Version Modèle Document</t>
  </si>
  <si>
    <t>V1.5</t>
  </si>
  <si>
    <t>ID</t>
  </si>
  <si>
    <t>Nature</t>
  </si>
  <si>
    <t>Catégorie</t>
  </si>
  <si>
    <t>Exigence idenfiée pendant la phase</t>
  </si>
  <si>
    <t>Source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</si>
  <si>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</si>
  <si>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</si>
  <si>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</si>
  <si>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</si>
  <si>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</si>
  <si>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</si>
  <si>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</si>
  <si>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</si>
  <si>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</si>
  <si>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</si>
  <si>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</si>
  <si>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</si>
  <si>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</si>
  <si>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N/A</t>
  </si>
  <si>
    <t>E006</t>
  </si>
  <si>
    <t>E007</t>
  </si>
  <si>
    <t>E008</t>
  </si>
  <si>
    <t xml:space="preserve"> </t>
  </si>
  <si>
    <t>Version</t>
  </si>
  <si>
    <t>Date</t>
  </si>
  <si>
    <t>Modifications</t>
  </si>
  <si>
    <t>Auteur(s)</t>
  </si>
  <si>
    <t>Vérificateur(s)</t>
  </si>
  <si>
    <t>Approbateur</t>
  </si>
  <si>
    <t>Imed A.</t>
  </si>
  <si>
    <t>Exigence identifiée pendant la phase</t>
  </si>
  <si>
    <t>Oui/Non</t>
  </si>
  <si>
    <t>Statut Interne</t>
  </si>
  <si>
    <t>Fonctionnelle</t>
  </si>
  <si>
    <t>Commerciale</t>
  </si>
  <si>
    <t>CdC client</t>
  </si>
  <si>
    <t>Oui</t>
  </si>
  <si>
    <t>Validée par le client</t>
  </si>
  <si>
    <t>Validée</t>
  </si>
  <si>
    <t>Performance</t>
  </si>
  <si>
    <t>Conception</t>
  </si>
  <si>
    <t>Workshop/réunion client</t>
  </si>
  <si>
    <t>Non</t>
  </si>
  <si>
    <t>Non validée par client</t>
  </si>
  <si>
    <t>Non validée</t>
  </si>
  <si>
    <t>Reglementaire</t>
  </si>
  <si>
    <t>Réalisation</t>
  </si>
  <si>
    <t>Workshop/réunion Interne</t>
  </si>
  <si>
    <t>SF</t>
  </si>
  <si>
    <t>Sécurité</t>
  </si>
  <si>
    <t>Mise en œuvre</t>
  </si>
  <si>
    <t>Standards client</t>
  </si>
  <si>
    <t>R&amp;D</t>
  </si>
  <si>
    <t>Standard Client</t>
  </si>
  <si>
    <t>Support et maintenance</t>
  </si>
  <si>
    <t>Reglementation</t>
  </si>
  <si>
    <t>Demande modification</t>
  </si>
  <si>
    <t>*** SF</t>
  </si>
  <si>
    <t>SF-Processus</t>
  </si>
  <si>
    <t>SF-Fonctionnelle</t>
  </si>
  <si>
    <t>SF-Connectivité Machine</t>
  </si>
  <si>
    <t>SF-Intégration SI</t>
  </si>
  <si>
    <t>SF-Software</t>
  </si>
  <si>
    <t>SF-Infra IT</t>
  </si>
  <si>
    <t>*** TC</t>
  </si>
  <si>
    <t>TC-Prestations sur site client</t>
  </si>
  <si>
    <t>V1.0</t>
  </si>
  <si>
    <t xml:space="preserve">Version initiale </t>
  </si>
  <si>
    <t>Nihel K.</t>
  </si>
  <si>
    <t xml:space="preserve">Mahdi B. + Ferjania BA </t>
  </si>
  <si>
    <t>E009</t>
  </si>
  <si>
    <t>E010</t>
  </si>
  <si>
    <t>Secteur</t>
  </si>
  <si>
    <t>Nombre de ligne de production</t>
  </si>
  <si>
    <t>Nombre de machine</t>
  </si>
  <si>
    <t>Nombre de poste manuel</t>
  </si>
  <si>
    <t>Standard MOMSOFT</t>
  </si>
  <si>
    <t>Standards MOMSOFT</t>
  </si>
  <si>
    <t>Desciption de la solution MOMSOFT</t>
  </si>
  <si>
    <t>V1.1</t>
  </si>
  <si>
    <t>Moatez D.</t>
  </si>
  <si>
    <t>Mahdi B.</t>
  </si>
  <si>
    <t xml:space="preserve"> Adaptation des paramètres et du logo</t>
  </si>
  <si>
    <t>E002</t>
  </si>
  <si>
    <t>E003</t>
  </si>
  <si>
    <t>E004</t>
  </si>
  <si>
    <t>E005</t>
  </si>
  <si>
    <t>APEM</t>
  </si>
  <si>
    <t>Digitalisation Stand Up Meeting</t>
  </si>
  <si>
    <t>Exigence</t>
  </si>
  <si>
    <t>Description de l'exigence</t>
  </si>
  <si>
    <t>Pilotage de l'îlot : Suivi de la performance</t>
  </si>
  <si>
    <t xml:space="preserve">Digitaliser la partie Suivi de la performance du tableau de bord Pilotage de l'ilot. </t>
  </si>
  <si>
    <t>Ecart</t>
  </si>
  <si>
    <t>Pilotage de l'îlot : Suivi 5S</t>
  </si>
  <si>
    <t xml:space="preserve">Digitaliser la partie Suivi 5S du tableau de bord Pilotage de l'ilot. </t>
  </si>
  <si>
    <t>Pilotage de l'îlot : Suivi QRQC</t>
  </si>
  <si>
    <t>Digitaliser la partie Suivi QRQC du tableau de bord Pilotage de l'ilot.</t>
  </si>
  <si>
    <t>Pilotage de l'îlot : Tour de terrain</t>
  </si>
  <si>
    <t>Digitaliser la partie Tour du terrain du tableau de bord Pilotage de l'ilot.</t>
  </si>
  <si>
    <t>Suivi d'activité : KPI du mois</t>
  </si>
  <si>
    <t>Digitaliser la partie KPI du mois du tableau de bord Suivi de l'activité.</t>
  </si>
  <si>
    <t>Suivi d'activité : KPI de la semaine</t>
  </si>
  <si>
    <t>Digitaliser la partie KPI de la semaine</t>
  </si>
  <si>
    <t>Gestion de tâches</t>
  </si>
  <si>
    <t>Digitaliser la gestion des tâches</t>
  </si>
  <si>
    <t>Instructions de travail</t>
  </si>
  <si>
    <t>Permettre d'afficher des instructions de travail au niveau du Tableau de bord</t>
  </si>
  <si>
    <t>Configuration des données</t>
  </si>
  <si>
    <t>Configurer les donnnées nécessaires de l'usine</t>
  </si>
  <si>
    <t>Automatiser la configuration des données</t>
  </si>
  <si>
    <t>La solution comprend un Module Core permettant la modélisation, la gestion et la planification d'une usine connectée :
•Modélisation hiérarchique de l’usine : Sites, ateliers, lignes de production, stations, machines
•Gestion des produits
•Gestion des incidents et des défauts
•Gestion des utilisateurs et des autorisations : Rôles et accès contrôlés
•Gestion des équipes
•Planification des lignes et des équipes</t>
  </si>
  <si>
    <t>la solution intègre un Module d’Intégration SI pour l’automatisation des échanges de données, incluant :
•Importation automatique de données à partir de fichiers CSV ou des systèmes d’information clients
•Intégration des principales entités : Produits, utilisateurs, outillages
•Gestion détaillée des erreurs pour une intégration fluide</t>
  </si>
  <si>
    <t>Gestion des Tâches (Adaptation du Module Standard de Smart Factory)
Ajouts et modifications :
•Ajouter un type de tâche "Suggestion d’amélioration"
•Ajouter "Réclamation client" comme source de tâche
•Limiter la planification des tâches à 2 semaines pour les tâches de priorité haute et moyenne
•Une tâche ne peut être reportée qu’une seule fois après sa création</t>
  </si>
  <si>
    <t>Intégration des Instructions de Travail
Permettre la sélection et l’affichage d’un fichier depuis le module Instructions de Travail dans le tableau de bord</t>
  </si>
  <si>
    <t>Importation des données de configuration</t>
  </si>
  <si>
    <t>La solution intègre une nouvelle catégorie 5S permettant de :
- Suivre les audits 5S par statut (Non commencé, Validé, Non validé).
- Afficher le score 5S hebdomadaire par atelier et son évolution dans le temps.
- Ajouter des images au tableau de bord 5S pour standardiser les îlots.
- Gérer les actions issues des audits 5S (création, mise à jour, suivi).</t>
  </si>
  <si>
    <t>La solution propose d'ajouter une nouvelle catégorie QRQC  permettant de :
- Suivre le nombre de QRQC par statut (ouverts, en cours, traités, etc.).
- Visualiser la répartition des QRQC par niveau de criticité.
- Accéder rapidement aux fiches QRQC depuis le tableau de bord.
- Afficher le Pareto des incidents QRQC.
- Présenter les actions immédiates récentes.
- Gérer les actions issues des QRQC (création, mise à jour, suivi).</t>
  </si>
  <si>
    <t>La solution propose d'ajouter une nouvelle catégorie Gemba Walk permettant de :
- Visualiser les inspections planifiées vs réalisées à travers un graphique.
- Afficher la planification des inspections (date, heure, responsable, zone à contrôler).
- Suivre l’état des postes de production par atelier (Contrôlé, À contrôler).
- Gérer les actions issues des évaluations Gemba Walk (création, mise à jour, suivi).</t>
  </si>
  <si>
    <t>La solution propose d'ajouter une nouvelle catégorie Suivi de la production, permettant de :
- Afficher la production journalière réalisée par rapport à l’objectif.
- Gérer les actions issues du suivi de la production (création, mise à jour, suivi).</t>
  </si>
  <si>
    <r>
      <t xml:space="preserve">La solution propose d'améliorer le module SM Standard en ajoutant :
</t>
    </r>
    <r>
      <rPr>
        <b/>
        <sz val="10"/>
        <rFont val="Calibri Light"/>
        <family val="2"/>
        <scheme val="major"/>
      </rPr>
      <t>- Catégorie Coût :</t>
    </r>
    <r>
      <rPr>
        <sz val="10"/>
        <rFont val="Calibri Light"/>
        <family val="2"/>
        <scheme val="major"/>
      </rPr>
      <t xml:space="preserve">
Un graphique de suivi de l’efficience (jauge et évolution dans le temps).
Un graphique de suivi de la performance (heures réalisées vs objectif horaire), basé sur des données saisies manuellement.
</t>
    </r>
    <r>
      <rPr>
        <b/>
        <sz val="10"/>
        <rFont val="Calibri Light"/>
        <family val="2"/>
        <scheme val="major"/>
      </rPr>
      <t>- Catégorie Qualité :</t>
    </r>
    <r>
      <rPr>
        <sz val="10"/>
        <rFont val="Calibri Light"/>
        <family val="2"/>
        <scheme val="major"/>
      </rPr>
      <t xml:space="preserve">
Un graphique du taux de refus des OF (nombre d’OF refusés vs total des OF).
Un Pareto des défauts les plus fréquents.
</t>
    </r>
    <r>
      <rPr>
        <b/>
        <sz val="10"/>
        <rFont val="Calibri Light"/>
        <family val="2"/>
        <scheme val="major"/>
      </rPr>
      <t>- Catégorie Délais :</t>
    </r>
    <r>
      <rPr>
        <sz val="10"/>
        <rFont val="Calibri Light"/>
        <family val="2"/>
        <scheme val="major"/>
      </rPr>
      <t xml:space="preserve">
Un suivi de l’évolution de l’OTD (On-Time Delivery) pour mesurer le respect des délais, calculé à partir des données importées via fichiers Excel et webservices ERP. (•Les dates de fin planifiées sont extraites d’un fichier Excel chargé chaque semaine
•Les dates de fin réelles sont issues du système ERP)
</t>
    </r>
    <r>
      <rPr>
        <b/>
        <sz val="10"/>
        <rFont val="Calibri Light"/>
        <family val="2"/>
        <scheme val="major"/>
      </rPr>
      <t>- Catégorie Sécurité :</t>
    </r>
    <r>
      <rPr>
        <sz val="10"/>
        <rFont val="Calibri Light"/>
        <family val="2"/>
        <scheme val="major"/>
      </rPr>
      <t xml:space="preserve">
Des indicateurs sur le nombre d’accidents et de presque-accidents environnementaux (croix environnement) avec un graphique, basés sur des données saisies manuellement.</t>
    </r>
  </si>
  <si>
    <r>
      <t xml:space="preserve">La solution propose d'ajouter une nouvelle section KPI mensuels pour l’ensemble des usines du groupe, organisée en quatre catégories :  
</t>
    </r>
    <r>
      <rPr>
        <b/>
        <sz val="10"/>
        <rFont val="Calibri Light"/>
        <family val="2"/>
        <scheme val="major"/>
      </rPr>
      <t xml:space="preserve">- Sécurité et Environnement :  </t>
    </r>
    <r>
      <rPr>
        <sz val="10"/>
        <rFont val="Calibri Light"/>
        <family val="2"/>
        <scheme val="major"/>
      </rPr>
      <t xml:space="preserve">
  - Affichage de la croix de sécurité et environnement.  
  - Graphique présentant le nombre d’accidents avec arrêt (APEM TN) et les incidents environnementaux (SACEMA) dans toutes les usines.  
  - Données importées via fichier Excel.  
</t>
    </r>
    <r>
      <rPr>
        <b/>
        <sz val="10"/>
        <rFont val="Calibri Light"/>
        <family val="2"/>
        <scheme val="major"/>
      </rPr>
      <t xml:space="preserve">- Qualité :  </t>
    </r>
    <r>
      <rPr>
        <sz val="10"/>
        <rFont val="Calibri Light"/>
        <family val="2"/>
        <scheme val="major"/>
      </rPr>
      <t xml:space="preserve">
  - Graphique de performance qualité affichant le PPM mensuel, l’objectif PPM et la moyenne PPM sur 12 mois glissants.  
  - Données issues du système ERP.  
</t>
    </r>
    <r>
      <rPr>
        <b/>
        <sz val="10"/>
        <rFont val="Calibri Light"/>
        <family val="2"/>
        <scheme val="major"/>
      </rPr>
      <t xml:space="preserve">- Délais : </t>
    </r>
    <r>
      <rPr>
        <sz val="10"/>
        <rFont val="Calibri Light"/>
        <family val="2"/>
        <scheme val="major"/>
      </rPr>
      <t xml:space="preserve"> 
  - Graphique de suivi de l’OTD (On-Time Delivery).  
  - Données issues du système ERP.  
</t>
    </r>
    <r>
      <rPr>
        <b/>
        <sz val="10"/>
        <rFont val="Calibri Light"/>
        <family val="2"/>
        <scheme val="major"/>
      </rPr>
      <t xml:space="preserve">- Coût :  </t>
    </r>
    <r>
      <rPr>
        <sz val="10"/>
        <rFont val="Calibri Light"/>
        <family val="2"/>
        <scheme val="major"/>
      </rPr>
      <t xml:space="preserve">
  - Affichage de la marge sur coût direct et des ventes SACEMA.  
  - Données issues du système ERP.</t>
    </r>
  </si>
  <si>
    <t>Utilisation d'un modèle de fichier Excel standard SF</t>
  </si>
  <si>
    <t>La solution permet de charger les données nécessaires au calcul des indicateurs de trois manières :
- Saisie manuelle
- Importation via fichier Excel
- Chargement depuis l’ERP via webservice, soit manuellement via un bouton, soit automatiquement selon une fréquence définie.</t>
  </si>
  <si>
    <t>Digitaliser le chargement des données de calcul des indicateurs</t>
  </si>
  <si>
    <t>Chargement des données des KPIs</t>
  </si>
  <si>
    <t>E011</t>
  </si>
  <si>
    <t>E012</t>
  </si>
  <si>
    <t>Configuration des KPIs</t>
  </si>
  <si>
    <t>Paramétrer l'affichage des indicateurs par Atelier et par îlot</t>
  </si>
  <si>
    <t>La solution permet de paramétrer l’affichage des indicateurs selon plusieurs critères :
- Afficher /Masquer des indicateurs du groupe et les ilôts.
- Affichage e des indicateurs par entité .
- Définition du mode de calcul des indicateurs (automatique ou manuel).
- Configuration de la période de filtrage des données par défaut.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</si>
</sst>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1"/>
      <color theme="2" tint="-0.89999084444715716"/>
      <name val="Calibri Light"/>
      <family val="2"/>
    </font>
    <font>
      <b/>
      <sz val="10"/>
      <color rgb="FFFF0000"/>
      <name val="Calibri Light"/>
      <family val="2"/>
      <scheme val="major"/>
    </font>
    <font>
      <sz val="4"/>
      <name val="Calibri Light"/>
      <family val="2"/>
    </font>
    <font>
      <sz val="4"/>
      <name val="Calibri Light"/>
      <family val="2"/>
      <scheme val="major"/>
    </font>
    <font>
      <sz val="8"/>
      <name val="Arial"/>
    </font>
    <font>
      <sz val="10"/>
      <color rgb="FF000000"/>
      <name val="Calibri Light"/>
      <family val="2"/>
      <scheme val="major"/>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79998168889431442"/>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6">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6" fillId="0" borderId="0" xfId="0" applyFont="1" applyAlignment="1">
      <alignment horizontal="left" vertical="center"/>
    </xf>
    <xf numFmtId="0" fontId="14" fillId="3" borderId="0" xfId="0" applyFont="1" applyFill="1" applyAlignment="1">
      <alignment horizontal="center" vertical="center" wrapText="1"/>
    </xf>
    <xf numFmtId="0" fontId="15" fillId="0" borderId="0" xfId="0" applyFont="1" applyAlignment="1">
      <alignment wrapText="1"/>
    </xf>
    <xf numFmtId="0" fontId="10" fillId="0" borderId="0" xfId="0" applyFont="1" applyAlignment="1">
      <alignment wrapText="1"/>
    </xf>
    <xf numFmtId="0" fontId="10" fillId="0" borderId="0" xfId="0" applyFont="1" applyAlignment="1">
      <alignment vertical="center" wrapText="1"/>
    </xf>
    <xf numFmtId="0" fontId="5" fillId="0" borderId="0" xfId="0" applyFont="1" applyAlignment="1">
      <alignment horizontal="left" wrapText="1"/>
    </xf>
    <xf numFmtId="0" fontId="16" fillId="0" borderId="0" xfId="0" applyFont="1" applyAlignment="1">
      <alignment horizontal="left" vertical="center" wrapText="1"/>
    </xf>
    <xf numFmtId="0" fontId="16" fillId="0" borderId="0" xfId="0" applyFont="1" applyAlignment="1">
      <alignment horizontal="left" vertical="center"/>
    </xf>
    <xf numFmtId="0" fontId="5" fillId="0" borderId="0" xfId="0" applyFont="1"/>
    <xf numFmtId="0" fontId="17" fillId="0" borderId="0" xfId="0" applyFont="1"/>
    <xf numFmtId="0" fontId="1" fillId="0" borderId="0" xfId="0" applyFont="1"/>
    <xf numFmtId="0" fontId="11" fillId="0" borderId="0" xfId="0" applyFont="1" applyAlignment="1">
      <alignment wrapText="1"/>
    </xf>
    <xf numFmtId="0" fontId="11" fillId="0" borderId="0" xfId="0" applyFont="1" applyAlignment="1">
      <alignment horizontal="left" wrapText="1"/>
    </xf>
    <xf numFmtId="14" fontId="3" fillId="0" borderId="0" xfId="0" applyNumberFormat="1" applyFont="1" applyAlignment="1">
      <alignment wrapText="1"/>
    </xf>
    <xf numFmtId="0" fontId="10" fillId="5" borderId="1" xfId="0" applyFont="1" applyFill="1" applyBorder="1" applyAlignment="1">
      <alignment vertical="center" wrapText="1"/>
    </xf>
    <xf numFmtId="0" fontId="10" fillId="5" borderId="2" xfId="0" applyFont="1" applyFill="1" applyBorder="1" applyAlignment="1">
      <alignment vertical="center" wrapText="1"/>
    </xf>
    <xf numFmtId="0" fontId="10" fillId="5" borderId="3" xfId="0" applyFont="1" applyFill="1" applyBorder="1" applyAlignment="1">
      <alignment vertical="center" wrapText="1"/>
    </xf>
    <xf numFmtId="0" fontId="1" fillId="5" borderId="1" xfId="0" applyFont="1" applyFill="1" applyBorder="1" applyAlignment="1">
      <alignment vertical="center" wrapText="1"/>
    </xf>
    <xf numFmtId="0" fontId="1" fillId="5" borderId="2" xfId="0" applyFont="1" applyFill="1" applyBorder="1" applyAlignment="1">
      <alignment vertical="center" wrapText="1"/>
    </xf>
    <xf numFmtId="0" fontId="1" fillId="5" borderId="3" xfId="0" applyFont="1" applyFill="1" applyBorder="1" applyAlignment="1">
      <alignment vertical="center" wrapText="1"/>
    </xf>
    <xf numFmtId="0" fontId="19" fillId="0" borderId="0" xfId="0" applyFont="1" applyAlignment="1">
      <alignment vertical="center" wrapText="1"/>
    </xf>
    <xf numFmtId="0" fontId="12" fillId="2" borderId="1" xfId="0" applyFont="1" applyFill="1" applyBorder="1" applyAlignment="1">
      <alignment horizontal="center" wrapText="1"/>
    </xf>
    <xf numFmtId="0" fontId="12" fillId="2" borderId="2" xfId="0" applyFont="1" applyFill="1" applyBorder="1" applyAlignment="1">
      <alignment horizontal="center" wrapText="1"/>
    </xf>
    <xf numFmtId="0" fontId="12" fillId="2" borderId="3" xfId="0" applyFont="1" applyFill="1" applyBorder="1" applyAlignment="1">
      <alignment horizontal="center" wrapText="1"/>
    </xf>
    <xf numFmtId="0" fontId="4" fillId="5" borderId="1" xfId="0" applyFont="1" applyFill="1" applyBorder="1" applyAlignment="1">
      <alignment horizontal="center" wrapText="1"/>
    </xf>
    <xf numFmtId="0" fontId="4" fillId="5" borderId="2" xfId="0" applyFont="1" applyFill="1" applyBorder="1" applyAlignment="1">
      <alignment horizontal="center" wrapText="1"/>
    </xf>
    <xf numFmtId="0" fontId="4" fillId="5" borderId="3" xfId="0" applyFont="1" applyFill="1" applyBorder="1" applyAlignment="1">
      <alignment horizontal="center"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1" fillId="0" borderId="0" xfId="0" applyNumberFormat="1" applyFont="1" applyAlignment="1">
      <alignment vertical="center" wrapText="1"/>
    </xf>
  </cellXfs>
  <cellStyles count="1">
    <cellStyle name="Normal" xfId="0" builtinId="0"/>
  </cellStyles>
  <dxfs count="52">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fill>
        <patternFill patternType="solid">
          <fgColor indexed="64"/>
          <bgColor theme="9" tint="0.79998168889431442"/>
        </patternFill>
      </fill>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52293</xdr:colOff>
      <xdr:row>2</xdr:row>
      <xdr:rowOff>171825</xdr:rowOff>
    </xdr:from>
    <xdr:to>
      <xdr:col>2</xdr:col>
      <xdr:colOff>1828776</xdr:colOff>
      <xdr:row>2</xdr:row>
      <xdr:rowOff>493060</xdr:rowOff>
    </xdr:to>
    <xdr:pic>
      <xdr:nvPicPr>
        <xdr:cNvPr id="3" name="Image 2" descr="Une image contenant Graphique, graphisme, capture d’écran, Caractère coloré&#10;&#10;Description générée automatiquement">
          <a:extLst>
            <a:ext uri="{FF2B5EF4-FFF2-40B4-BE49-F238E27FC236}">
              <a16:creationId xmlns:a16="http://schemas.microsoft.com/office/drawing/2014/main" id="{E0C86A04-4B7C-4F14-9627-464F2D137E63}"/>
            </a:ext>
          </a:extLst>
        </xdr:cNvPr>
        <xdr:cNvPicPr>
          <a:picLocks noChangeAspect="1"/>
        </xdr:cNvPicPr>
      </xdr:nvPicPr>
      <xdr:blipFill>
        <a:blip xmlns:r="http://schemas.openxmlformats.org/officeDocument/2006/relationships" r:embed="rId1"/>
        <a:stretch>
          <a:fillRect/>
        </a:stretch>
      </xdr:blipFill>
      <xdr:spPr>
        <a:xfrm>
          <a:off x="851646" y="620060"/>
          <a:ext cx="2209777" cy="32123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1:V24" totalsRowCount="1" headerRowDxfId="51" dataDxfId="50">
  <autoFilter ref="B11:V23" xr:uid="{DDEA2C8B-EE0D-4C55-9256-CCC64E002CE6}"/>
  <tableColumns count="21">
    <tableColumn id="1" xr3:uid="{E467E0EE-CDAA-4FF5-85A8-CDC0B23A5AD9}" name="ID" dataDxfId="41" totalsRowDxfId="20"/>
    <tableColumn id="2" xr3:uid="{E53952AC-4972-47BD-8B1D-C7EF23088D0D}" name="Exigence" dataDxfId="40" totalsRowDxfId="19"/>
    <tableColumn id="8" xr3:uid="{B2D0BC2C-C803-4015-8FA6-70F84517BDB2}" name="Nature" dataDxfId="39" totalsRowDxfId="18"/>
    <tableColumn id="7" xr3:uid="{24F2F0ED-022E-4EC1-91D8-BFE0E4F2FD36}" name="Catégorie" dataDxfId="38" totalsRowDxfId="17"/>
    <tableColumn id="10" xr3:uid="{1FF81CF1-6D35-421C-8767-9E7FA06FEE6A}" name="Exigence idenfiée pendant la phase" dataDxfId="37" totalsRowDxfId="16"/>
    <tableColumn id="3" xr3:uid="{E7621A68-9552-4853-96A5-92A226EA42DD}" name="Description de l'exigence" dataDxfId="36" totalsRowDxfId="15"/>
    <tableColumn id="9" xr3:uid="{E6EEEC82-3576-4980-94B3-1423906CE531}" name="Source" dataDxfId="35" totalsRowDxfId="14"/>
    <tableColumn id="16" xr3:uid="{1441554A-79F9-4040-9CF5-AEBFF7ADF7D1}" name="Desciption de la solution MOMSOFT" dataDxfId="34" totalsRowDxfId="13"/>
    <tableColumn id="17" xr3:uid="{D1BC9C86-C3CE-417F-AC83-FC4786A7656D}" name="Ecart" dataDxfId="33" totalsRowDxfId="12"/>
    <tableColumn id="5" xr3:uid="{2649C3B7-E8B9-44F9-8883-E5BB6F91B4B1}" name="Validation Interne" dataDxfId="32" totalsRowDxfId="11"/>
    <tableColumn id="6" xr3:uid="{8CC493F8-0886-498D-AB98-B77300CC6510}" name="Validation Interne par:" dataDxfId="31" totalsRowDxfId="10"/>
    <tableColumn id="15" xr3:uid="{78231C60-0932-4386-925D-4C689A91C0E3}" name="Statut Client" dataDxfId="30" totalsRowDxfId="9"/>
    <tableColumn id="22" xr3:uid="{D944A0FD-E468-407F-91A6-BD8A29086A7B}" name="HJ Dev" totalsRowFunction="sum" dataDxfId="29" totalsRowDxfId="8"/>
    <tableColumn id="21" xr3:uid="{818C68C5-1CC3-4DC9-9BB8-2CB7816ABE9F}" name="HJ Analyse et Test" dataDxfId="28" totalsRowDxfId="7">
      <calculatedColumnFormula>Tableau3[[#This Row],[HJ Dev]]*(25%+25%)</calculatedColumnFormula>
    </tableColumn>
    <tableColumn id="20" xr3:uid="{81CB5860-4285-4425-ABF9-C91F3323BF25}" name="Total HJ" totalsRowFunction="sum" dataDxfId="27" totalsRowDxfId="0">
      <calculatedColumnFormula>Tableau3[[#This Row],[HJ Analyse et Test]]+Tableau3[[#This Row],[HJ Dev]]</calculatedColumnFormula>
    </tableColumn>
    <tableColumn id="11" xr3:uid="{20685332-73A9-4B9D-874E-F1C9F770405F}" name="Description comment la conception de la solution prend en compte l'exigence client" dataDxfId="26" totalsRowDxfId="6"/>
    <tableColumn id="12" xr3:uid="{36B390F4-625A-46E1-864B-7108903FFD96}" name="Conception réalisée par:" dataDxfId="25" totalsRowDxfId="5"/>
    <tableColumn id="13" xr3:uid="{9016419E-83A5-4950-AB28-EA27A0D72FAD}" name="Revue conception réalisée par" dataDxfId="24" totalsRowDxfId="4"/>
    <tableColumn id="14" xr3:uid="{B5F29B7E-09EB-43EF-BD3D-9ADF38F7CC12}" name="Vérification de la conception réalisée par" dataDxfId="23" totalsRowDxfId="3"/>
    <tableColumn id="18" xr3:uid="{0CA25C90-64D6-43D5-90C8-CE6D70CCA638}" name="Preuve de vérification " dataDxfId="22" totalsRowDxfId="2"/>
    <tableColumn id="4" xr3:uid="{B7406A3A-A365-4F76-9A20-372573D19BC9}" name="Notes" dataDxfId="21" totalsRowDxfId="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49" dataDxfId="48">
  <autoFilter ref="B13:G18" xr:uid="{96AD1385-A1F5-4391-ABC2-C9F250557626}"/>
  <tableColumns count="6">
    <tableColumn id="1" xr3:uid="{56DA355E-F205-482A-9CF1-CA3361A1D801}" name="Version" dataDxfId="47"/>
    <tableColumn id="2" xr3:uid="{C9D8A0D7-1D6E-479B-AF74-6D39D19E4653}" name="Date" dataDxfId="46"/>
    <tableColumn id="3" xr3:uid="{79109713-8A38-4162-A269-136157905B75}" name="Modifications" dataDxfId="45"/>
    <tableColumn id="4" xr3:uid="{AC928B3E-399C-4A3D-9FB5-9CD96F5D4745}" name="Auteur(s)" dataDxfId="44"/>
    <tableColumn id="5" xr3:uid="{0D0A428D-4F18-4D4E-A0CB-4D1A5057B6E9}" name="Vérificateur(s)" dataDxfId="43"/>
    <tableColumn id="6" xr3:uid="{D81EAB57-FBCA-44D9-8F45-58AF13AA08B6}" name="Approbateur" dataDxfId="42"/>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D2C8-04DA-4F1F-ACD1-FC1ABC271A02}">
  <dimension ref="B6:B10"/>
  <sheetViews>
    <sheetView workbookViewId="0">
      <selection activeCell="E9" sqref="E9"/>
    </sheetView>
  </sheetViews>
  <sheetFormatPr baseColWidth="10" defaultRowHeight="13.2" x14ac:dyDescent="0.25"/>
  <sheetData>
    <row r="6" spans="2:2" x14ac:dyDescent="0.25">
      <c r="B6" t="s">
        <v>5</v>
      </c>
    </row>
    <row r="7" spans="2:2" x14ac:dyDescent="0.25">
      <c r="B7" t="s">
        <v>84</v>
      </c>
    </row>
    <row r="8" spans="2:2" x14ac:dyDescent="0.25">
      <c r="B8" t="s">
        <v>85</v>
      </c>
    </row>
    <row r="9" spans="2:2" x14ac:dyDescent="0.25">
      <c r="B9" t="s">
        <v>86</v>
      </c>
    </row>
    <row r="10" spans="2:2" x14ac:dyDescent="0.25">
      <c r="B10" t="s">
        <v>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V26"/>
  <sheetViews>
    <sheetView tabSelected="1" topLeftCell="A10" zoomScale="70" zoomScaleNormal="70" workbookViewId="0">
      <selection activeCell="N24" sqref="N24"/>
    </sheetView>
  </sheetViews>
  <sheetFormatPr baseColWidth="10" defaultColWidth="11.44140625" defaultRowHeight="13.8" x14ac:dyDescent="0.3"/>
  <cols>
    <col min="1" max="1" width="11.44140625" style="1"/>
    <col min="2" max="2" width="6.21875" style="1" customWidth="1"/>
    <col min="3" max="3" width="29.21875" style="1" customWidth="1"/>
    <col min="4" max="4" width="32.6640625" style="1" bestFit="1" customWidth="1"/>
    <col min="5" max="5" width="18.21875" style="1" customWidth="1"/>
    <col min="6" max="6" width="19.44140625" style="1" customWidth="1"/>
    <col min="7" max="7" width="49.6640625" style="1" customWidth="1"/>
    <col min="8" max="8" width="18.44140625" style="1" customWidth="1"/>
    <col min="9" max="9" width="114.33203125" style="1" customWidth="1"/>
    <col min="10" max="10" width="21" style="1" customWidth="1"/>
    <col min="11" max="12" width="13.5546875" style="1" hidden="1" customWidth="1"/>
    <col min="13" max="13" width="15.21875" style="1" hidden="1" customWidth="1"/>
    <col min="14" max="14" width="11.77734375" style="1" customWidth="1"/>
    <col min="15" max="15" width="15.44140625" style="1" customWidth="1"/>
    <col min="16" max="16" width="13.77734375" style="1" customWidth="1"/>
    <col min="17" max="17" width="39.77734375" style="1" customWidth="1"/>
    <col min="18" max="18" width="15.77734375" style="1" customWidth="1"/>
    <col min="19" max="19" width="20.5546875" style="1" customWidth="1"/>
    <col min="20" max="20" width="20.21875" style="1" customWidth="1"/>
    <col min="21" max="21" width="15.21875" style="1" customWidth="1"/>
    <col min="22" max="22" width="58" style="1" customWidth="1"/>
    <col min="23" max="16384" width="11.44140625" style="1"/>
  </cols>
  <sheetData>
    <row r="1" spans="2:22" ht="14.4" thickBot="1" x14ac:dyDescent="0.35"/>
    <row r="2" spans="2:22" ht="21.75" customHeight="1" thickBot="1" x14ac:dyDescent="0.4">
      <c r="B2" s="36" t="s">
        <v>0</v>
      </c>
      <c r="C2" s="37"/>
      <c r="D2" s="37"/>
      <c r="E2" s="37"/>
      <c r="F2" s="37"/>
      <c r="G2" s="37"/>
      <c r="H2" s="37"/>
      <c r="I2" s="37"/>
      <c r="J2" s="37"/>
      <c r="K2" s="37"/>
      <c r="L2" s="37"/>
      <c r="M2" s="38"/>
      <c r="N2" s="39" t="s">
        <v>1</v>
      </c>
      <c r="O2" s="40"/>
      <c r="P2" s="41"/>
      <c r="Q2" s="33" t="s">
        <v>2</v>
      </c>
      <c r="R2" s="34"/>
      <c r="S2" s="34"/>
      <c r="T2" s="34"/>
      <c r="U2" s="34"/>
      <c r="V2" s="35"/>
    </row>
    <row r="3" spans="2:22" ht="53.25" customHeight="1" x14ac:dyDescent="0.3">
      <c r="C3" s="8"/>
      <c r="D3" s="8"/>
      <c r="E3" s="8"/>
      <c r="F3" s="8"/>
      <c r="G3" s="8"/>
      <c r="H3" s="8"/>
      <c r="I3" s="8"/>
    </row>
    <row r="4" spans="2:22" ht="21" customHeight="1" x14ac:dyDescent="0.3">
      <c r="B4" s="23" t="s">
        <v>3</v>
      </c>
      <c r="C4" s="8"/>
      <c r="D4" s="24"/>
      <c r="E4" s="8"/>
      <c r="F4" s="8"/>
      <c r="G4" s="8" t="s">
        <v>60</v>
      </c>
      <c r="H4" s="8"/>
      <c r="I4" s="8"/>
    </row>
    <row r="5" spans="2:22" ht="21.75" customHeight="1" x14ac:dyDescent="0.3">
      <c r="B5" s="20" t="s">
        <v>5</v>
      </c>
      <c r="D5" s="3" t="s">
        <v>99</v>
      </c>
      <c r="E5" s="3"/>
      <c r="F5" s="3"/>
    </row>
    <row r="6" spans="2:22" ht="21" customHeight="1" x14ac:dyDescent="0.3">
      <c r="B6" s="20" t="s">
        <v>6</v>
      </c>
      <c r="D6" s="3" t="s">
        <v>100</v>
      </c>
      <c r="E6" s="3"/>
      <c r="F6" s="3"/>
    </row>
    <row r="7" spans="2:22" ht="14.4" x14ac:dyDescent="0.3">
      <c r="C7" s="3"/>
      <c r="D7" s="17"/>
      <c r="E7" s="17"/>
      <c r="F7" s="17"/>
      <c r="G7" s="17"/>
      <c r="H7" s="17"/>
      <c r="I7" s="17"/>
    </row>
    <row r="8" spans="2:22" x14ac:dyDescent="0.3">
      <c r="B8" s="21" t="s">
        <v>7</v>
      </c>
      <c r="C8" s="22"/>
      <c r="D8" s="21" t="s">
        <v>8</v>
      </c>
      <c r="E8" s="9"/>
      <c r="F8" s="9"/>
      <c r="I8" s="14" t="s">
        <v>9</v>
      </c>
    </row>
    <row r="9" spans="2:22" x14ac:dyDescent="0.3">
      <c r="B9" s="21" t="s">
        <v>10</v>
      </c>
      <c r="C9" s="22"/>
      <c r="D9" s="21" t="s">
        <v>11</v>
      </c>
      <c r="E9" s="9"/>
      <c r="F9" s="9"/>
    </row>
    <row r="10" spans="2:22" ht="14.4" thickBot="1" x14ac:dyDescent="0.35"/>
    <row r="11" spans="2:22" s="10" customFormat="1" ht="28.2" thickBot="1" x14ac:dyDescent="0.3">
      <c r="B11" s="26" t="s">
        <v>12</v>
      </c>
      <c r="C11" s="27" t="s">
        <v>101</v>
      </c>
      <c r="D11" s="27" t="s">
        <v>13</v>
      </c>
      <c r="E11" s="27" t="s">
        <v>14</v>
      </c>
      <c r="F11" s="27" t="s">
        <v>15</v>
      </c>
      <c r="G11" s="27" t="s">
        <v>102</v>
      </c>
      <c r="H11" s="27" t="s">
        <v>16</v>
      </c>
      <c r="I11" s="27" t="s">
        <v>90</v>
      </c>
      <c r="J11" s="27" t="s">
        <v>105</v>
      </c>
      <c r="K11" s="27" t="s">
        <v>17</v>
      </c>
      <c r="L11" s="27" t="s">
        <v>18</v>
      </c>
      <c r="M11" s="28" t="s">
        <v>19</v>
      </c>
      <c r="N11" s="27" t="s">
        <v>20</v>
      </c>
      <c r="O11" s="27" t="s">
        <v>21</v>
      </c>
      <c r="P11" s="27" t="s">
        <v>22</v>
      </c>
      <c r="Q11" s="29" t="s">
        <v>23</v>
      </c>
      <c r="R11" s="30" t="s">
        <v>24</v>
      </c>
      <c r="S11" s="30" t="s">
        <v>25</v>
      </c>
      <c r="T11" s="30" t="s">
        <v>26</v>
      </c>
      <c r="U11" s="30" t="s">
        <v>27</v>
      </c>
      <c r="V11" s="31" t="s">
        <v>28</v>
      </c>
    </row>
    <row r="12" spans="2:22" s="10" customFormat="1" ht="103.8" customHeight="1" x14ac:dyDescent="0.25">
      <c r="B12" s="10" t="s">
        <v>29</v>
      </c>
      <c r="C12" s="10" t="s">
        <v>120</v>
      </c>
      <c r="D12" s="10" t="s">
        <v>45</v>
      </c>
      <c r="E12" s="10" t="s">
        <v>71</v>
      </c>
      <c r="F12" s="10" t="s">
        <v>46</v>
      </c>
      <c r="G12" s="10" t="s">
        <v>121</v>
      </c>
      <c r="H12" s="10" t="s">
        <v>53</v>
      </c>
      <c r="I12" s="10" t="s">
        <v>123</v>
      </c>
      <c r="K12" s="10" t="s">
        <v>50</v>
      </c>
      <c r="L12" s="10" t="s">
        <v>93</v>
      </c>
      <c r="N12" s="10">
        <v>0</v>
      </c>
      <c r="O12" s="10">
        <f>Tableau3[[#This Row],[HJ Dev]]*(25%+25%)</f>
        <v>0</v>
      </c>
      <c r="P12" s="10">
        <f>Tableau3[[#This Row],[HJ Analyse et Test]]+Tableau3[[#This Row],[HJ Dev]]</f>
        <v>0</v>
      </c>
      <c r="Q12" s="10" t="s">
        <v>30</v>
      </c>
      <c r="R12" s="10" t="s">
        <v>30</v>
      </c>
      <c r="S12" s="10" t="s">
        <v>30</v>
      </c>
      <c r="T12" s="10" t="s">
        <v>30</v>
      </c>
      <c r="U12" s="10" t="s">
        <v>30</v>
      </c>
    </row>
    <row r="13" spans="2:22" s="10" customFormat="1" ht="55.2" x14ac:dyDescent="0.25">
      <c r="B13" s="10" t="s">
        <v>95</v>
      </c>
      <c r="C13" s="10" t="s">
        <v>127</v>
      </c>
      <c r="D13" s="10" t="s">
        <v>45</v>
      </c>
      <c r="E13" s="10" t="s">
        <v>71</v>
      </c>
      <c r="F13" s="10" t="s">
        <v>46</v>
      </c>
      <c r="G13" s="10" t="s">
        <v>122</v>
      </c>
      <c r="H13" s="10" t="s">
        <v>53</v>
      </c>
      <c r="I13" s="10" t="s">
        <v>124</v>
      </c>
      <c r="K13" s="10" t="s">
        <v>50</v>
      </c>
      <c r="L13" s="10" t="s">
        <v>93</v>
      </c>
      <c r="N13" s="10">
        <v>0</v>
      </c>
      <c r="O13" s="10">
        <f>Tableau3[[#This Row],[HJ Dev]]*(25%+25%)</f>
        <v>0</v>
      </c>
      <c r="P13" s="10">
        <f>Tableau3[[#This Row],[HJ Analyse et Test]]+Tableau3[[#This Row],[HJ Dev]]</f>
        <v>0</v>
      </c>
    </row>
    <row r="14" spans="2:22" s="10" customFormat="1" ht="57" customHeight="1" x14ac:dyDescent="0.25">
      <c r="B14" s="10" t="s">
        <v>96</v>
      </c>
      <c r="C14" s="10" t="s">
        <v>103</v>
      </c>
      <c r="D14" s="10" t="s">
        <v>45</v>
      </c>
      <c r="E14" s="10" t="s">
        <v>71</v>
      </c>
      <c r="F14" s="10" t="s">
        <v>46</v>
      </c>
      <c r="G14" s="10" t="s">
        <v>104</v>
      </c>
      <c r="H14" s="10" t="s">
        <v>53</v>
      </c>
      <c r="I14" s="10" t="s">
        <v>131</v>
      </c>
      <c r="J14" s="32"/>
      <c r="K14" s="10" t="s">
        <v>50</v>
      </c>
      <c r="L14" s="10" t="s">
        <v>93</v>
      </c>
      <c r="N14" s="10">
        <v>2.5</v>
      </c>
      <c r="O14" s="10">
        <f>Tableau3[[#This Row],[HJ Dev]]*(25%+25%)</f>
        <v>1.25</v>
      </c>
      <c r="P14" s="10">
        <f>Tableau3[[#This Row],[HJ Analyse et Test]]+Tableau3[[#This Row],[HJ Dev]]</f>
        <v>3.75</v>
      </c>
    </row>
    <row r="15" spans="2:22" s="10" customFormat="1" ht="98.4" customHeight="1" x14ac:dyDescent="0.25">
      <c r="B15" s="10" t="s">
        <v>97</v>
      </c>
      <c r="C15" s="10" t="s">
        <v>106</v>
      </c>
      <c r="D15" s="10" t="s">
        <v>45</v>
      </c>
      <c r="E15" s="10" t="s">
        <v>71</v>
      </c>
      <c r="F15" s="10" t="s">
        <v>46</v>
      </c>
      <c r="G15" s="10" t="s">
        <v>107</v>
      </c>
      <c r="H15" s="10" t="s">
        <v>53</v>
      </c>
      <c r="I15" s="10" t="s">
        <v>128</v>
      </c>
      <c r="K15" s="10" t="s">
        <v>50</v>
      </c>
      <c r="L15" s="10" t="s">
        <v>93</v>
      </c>
      <c r="N15" s="10">
        <v>3</v>
      </c>
      <c r="O15" s="10">
        <f>Tableau3[[#This Row],[HJ Dev]]*(25%+25%)</f>
        <v>1.5</v>
      </c>
      <c r="P15" s="10">
        <f>Tableau3[[#This Row],[HJ Analyse et Test]]+Tableau3[[#This Row],[HJ Dev]]</f>
        <v>4.5</v>
      </c>
    </row>
    <row r="16" spans="2:22" s="10" customFormat="1" ht="96.6" x14ac:dyDescent="0.25">
      <c r="B16" s="10" t="s">
        <v>98</v>
      </c>
      <c r="C16" s="10" t="s">
        <v>108</v>
      </c>
      <c r="D16" s="10" t="s">
        <v>45</v>
      </c>
      <c r="E16" s="10" t="s">
        <v>71</v>
      </c>
      <c r="F16" s="10" t="s">
        <v>46</v>
      </c>
      <c r="G16" s="10" t="s">
        <v>109</v>
      </c>
      <c r="H16" s="10" t="s">
        <v>53</v>
      </c>
      <c r="I16" s="10" t="s">
        <v>129</v>
      </c>
      <c r="K16" s="10" t="s">
        <v>50</v>
      </c>
      <c r="L16" s="10" t="s">
        <v>93</v>
      </c>
      <c r="N16" s="10">
        <v>4</v>
      </c>
      <c r="O16" s="10">
        <f>Tableau3[[#This Row],[HJ Dev]]*(25%+25%)</f>
        <v>2</v>
      </c>
      <c r="P16" s="10">
        <f>Tableau3[[#This Row],[HJ Analyse et Test]]+Tableau3[[#This Row],[HJ Dev]]</f>
        <v>6</v>
      </c>
    </row>
    <row r="17" spans="2:22" ht="69" x14ac:dyDescent="0.3">
      <c r="B17" s="10" t="s">
        <v>31</v>
      </c>
      <c r="C17" s="10" t="s">
        <v>110</v>
      </c>
      <c r="D17" s="10" t="s">
        <v>45</v>
      </c>
      <c r="E17" s="10" t="s">
        <v>71</v>
      </c>
      <c r="F17" s="10" t="s">
        <v>46</v>
      </c>
      <c r="G17" s="10" t="s">
        <v>111</v>
      </c>
      <c r="H17" s="10" t="s">
        <v>53</v>
      </c>
      <c r="I17" s="10" t="s">
        <v>130</v>
      </c>
      <c r="J17" s="10"/>
      <c r="K17" s="10" t="s">
        <v>50</v>
      </c>
      <c r="L17" s="10" t="s">
        <v>93</v>
      </c>
      <c r="M17" s="10"/>
      <c r="N17" s="10">
        <v>3</v>
      </c>
      <c r="O17" s="10">
        <f>Tableau3[[#This Row],[HJ Dev]]*(25%+25%)</f>
        <v>1.5</v>
      </c>
      <c r="P17" s="10">
        <f>Tableau3[[#This Row],[HJ Analyse et Test]]+Tableau3[[#This Row],[HJ Dev]]</f>
        <v>4.5</v>
      </c>
      <c r="Q17" s="10"/>
      <c r="R17" s="10"/>
      <c r="S17" s="10"/>
      <c r="T17" s="10"/>
      <c r="U17" s="10"/>
      <c r="V17" s="10"/>
    </row>
    <row r="18" spans="2:22" ht="229.2" customHeight="1" x14ac:dyDescent="0.3">
      <c r="B18" s="10" t="s">
        <v>32</v>
      </c>
      <c r="C18" s="10" t="s">
        <v>112</v>
      </c>
      <c r="D18" s="10" t="s">
        <v>45</v>
      </c>
      <c r="E18" s="10" t="s">
        <v>71</v>
      </c>
      <c r="F18" s="10" t="s">
        <v>46</v>
      </c>
      <c r="G18" s="10" t="s">
        <v>113</v>
      </c>
      <c r="H18" s="10" t="s">
        <v>53</v>
      </c>
      <c r="I18" s="10" t="s">
        <v>133</v>
      </c>
      <c r="J18" s="10"/>
      <c r="K18" s="10" t="s">
        <v>50</v>
      </c>
      <c r="L18" s="10" t="s">
        <v>93</v>
      </c>
      <c r="M18" s="10"/>
      <c r="N18" s="10">
        <f>1.5+1+1+2</f>
        <v>5.5</v>
      </c>
      <c r="O18" s="10">
        <f>Tableau3[[#This Row],[HJ Dev]]*(25%+25%)</f>
        <v>2.75</v>
      </c>
      <c r="P18" s="10">
        <f>Tableau3[[#This Row],[HJ Analyse et Test]]+Tableau3[[#This Row],[HJ Dev]]</f>
        <v>8.25</v>
      </c>
      <c r="Q18" s="10"/>
      <c r="R18" s="10"/>
      <c r="S18" s="10"/>
      <c r="T18" s="10"/>
      <c r="U18" s="10"/>
      <c r="V18" s="10"/>
    </row>
    <row r="19" spans="2:22" ht="229.2" customHeight="1" x14ac:dyDescent="0.3">
      <c r="B19" s="10" t="s">
        <v>33</v>
      </c>
      <c r="C19" s="10" t="s">
        <v>114</v>
      </c>
      <c r="D19" s="10" t="s">
        <v>45</v>
      </c>
      <c r="E19" s="10" t="s">
        <v>71</v>
      </c>
      <c r="F19" s="10" t="s">
        <v>46</v>
      </c>
      <c r="G19" s="10" t="s">
        <v>115</v>
      </c>
      <c r="H19" s="10" t="s">
        <v>53</v>
      </c>
      <c r="I19" s="10" t="s">
        <v>132</v>
      </c>
      <c r="J19" s="10"/>
      <c r="K19" s="10" t="s">
        <v>50</v>
      </c>
      <c r="L19" s="10" t="s">
        <v>93</v>
      </c>
      <c r="M19" s="10"/>
      <c r="N19" s="10">
        <f>1.5+3+2+3</f>
        <v>9.5</v>
      </c>
      <c r="O19" s="10">
        <f>Tableau3[[#This Row],[HJ Dev]]*(25%+25%)</f>
        <v>4.75</v>
      </c>
      <c r="P19" s="10">
        <f>Tableau3[[#This Row],[HJ Analyse et Test]]+Tableau3[[#This Row],[HJ Dev]]</f>
        <v>14.25</v>
      </c>
      <c r="Q19" s="10"/>
      <c r="R19" s="10"/>
      <c r="S19" s="10"/>
      <c r="T19" s="10"/>
      <c r="U19" s="10"/>
      <c r="V19" s="10"/>
    </row>
    <row r="20" spans="2:22" ht="229.2" customHeight="1" x14ac:dyDescent="0.3">
      <c r="B20" s="10" t="s">
        <v>82</v>
      </c>
      <c r="C20" s="10" t="s">
        <v>137</v>
      </c>
      <c r="D20" s="10" t="s">
        <v>45</v>
      </c>
      <c r="E20" s="10" t="s">
        <v>71</v>
      </c>
      <c r="F20" s="10" t="s">
        <v>46</v>
      </c>
      <c r="G20" s="10" t="s">
        <v>136</v>
      </c>
      <c r="H20" s="10" t="s">
        <v>53</v>
      </c>
      <c r="I20" s="10" t="s">
        <v>135</v>
      </c>
      <c r="J20" s="10" t="s">
        <v>134</v>
      </c>
      <c r="K20" s="10"/>
      <c r="L20" s="10"/>
      <c r="M20" s="10"/>
      <c r="N20" s="10">
        <f>3+4</f>
        <v>7</v>
      </c>
      <c r="O20" s="45">
        <f>Tableau3[[#This Row],[HJ Dev]]*(25%+25%)</f>
        <v>3.5</v>
      </c>
      <c r="P20" s="45">
        <f>Tableau3[[#This Row],[HJ Analyse et Test]]+Tableau3[[#This Row],[HJ Dev]]</f>
        <v>10.5</v>
      </c>
      <c r="Q20" s="10"/>
      <c r="R20" s="10"/>
      <c r="S20" s="10"/>
      <c r="T20" s="10"/>
      <c r="U20" s="10"/>
      <c r="V20" s="10"/>
    </row>
    <row r="21" spans="2:22" ht="192" customHeight="1" x14ac:dyDescent="0.3">
      <c r="B21" s="10" t="s">
        <v>83</v>
      </c>
      <c r="C21" s="10" t="s">
        <v>140</v>
      </c>
      <c r="D21" s="10" t="s">
        <v>45</v>
      </c>
      <c r="E21" s="10" t="s">
        <v>71</v>
      </c>
      <c r="F21" s="10" t="s">
        <v>46</v>
      </c>
      <c r="G21" s="10" t="s">
        <v>141</v>
      </c>
      <c r="H21" s="10" t="s">
        <v>53</v>
      </c>
      <c r="I21" s="10" t="s">
        <v>142</v>
      </c>
      <c r="J21" s="10"/>
      <c r="K21" s="10"/>
      <c r="L21" s="10"/>
      <c r="M21" s="10"/>
      <c r="N21" s="10">
        <f>3+2+0.5</f>
        <v>5.5</v>
      </c>
      <c r="O21" s="45">
        <f>Tableau3[[#This Row],[HJ Dev]]*(25%+25%)</f>
        <v>2.75</v>
      </c>
      <c r="P21" s="45">
        <f>Tableau3[[#This Row],[HJ Analyse et Test]]+Tableau3[[#This Row],[HJ Dev]]</f>
        <v>8.25</v>
      </c>
      <c r="Q21" s="10"/>
      <c r="R21" s="10"/>
      <c r="S21" s="10"/>
      <c r="T21" s="10"/>
      <c r="U21" s="10"/>
      <c r="V21" s="10"/>
    </row>
    <row r="22" spans="2:22" ht="106.2" customHeight="1" x14ac:dyDescent="0.3">
      <c r="B22" s="10" t="s">
        <v>138</v>
      </c>
      <c r="C22" s="10" t="s">
        <v>116</v>
      </c>
      <c r="D22" s="10" t="s">
        <v>45</v>
      </c>
      <c r="E22" s="10" t="s">
        <v>71</v>
      </c>
      <c r="F22" s="10" t="s">
        <v>46</v>
      </c>
      <c r="G22" s="10" t="s">
        <v>117</v>
      </c>
      <c r="H22" s="10" t="s">
        <v>53</v>
      </c>
      <c r="I22" s="10" t="s">
        <v>125</v>
      </c>
      <c r="J22" s="10"/>
      <c r="K22" s="10" t="s">
        <v>50</v>
      </c>
      <c r="L22" s="10" t="s">
        <v>93</v>
      </c>
      <c r="M22" s="10"/>
      <c r="N22" s="10">
        <v>2</v>
      </c>
      <c r="O22" s="10">
        <f>Tableau3[[#This Row],[HJ Dev]]*(25%+25%)</f>
        <v>1</v>
      </c>
      <c r="P22" s="10">
        <f>Tableau3[[#This Row],[HJ Analyse et Test]]+Tableau3[[#This Row],[HJ Dev]]</f>
        <v>3</v>
      </c>
      <c r="Q22" s="10"/>
      <c r="R22" s="10"/>
      <c r="S22" s="10"/>
      <c r="T22" s="10"/>
      <c r="U22" s="10"/>
      <c r="V22" s="10"/>
    </row>
    <row r="23" spans="2:22" ht="76.8" customHeight="1" x14ac:dyDescent="0.3">
      <c r="B23" s="10" t="s">
        <v>139</v>
      </c>
      <c r="C23" s="10" t="s">
        <v>118</v>
      </c>
      <c r="D23" s="10" t="s">
        <v>45</v>
      </c>
      <c r="E23" s="10" t="s">
        <v>71</v>
      </c>
      <c r="F23" s="10" t="s">
        <v>46</v>
      </c>
      <c r="G23" s="10" t="s">
        <v>119</v>
      </c>
      <c r="H23" s="10" t="s">
        <v>53</v>
      </c>
      <c r="I23" s="10" t="s">
        <v>126</v>
      </c>
      <c r="J23" s="32"/>
      <c r="K23" s="10" t="s">
        <v>50</v>
      </c>
      <c r="L23" s="10" t="s">
        <v>93</v>
      </c>
      <c r="M23" s="10"/>
      <c r="N23" s="10">
        <v>3</v>
      </c>
      <c r="O23" s="10">
        <f>Tableau3[[#This Row],[HJ Dev]]*(25%+25%)</f>
        <v>1.5</v>
      </c>
      <c r="P23" s="10">
        <f>Tableau3[[#This Row],[HJ Analyse et Test]]+Tableau3[[#This Row],[HJ Dev]]</f>
        <v>4.5</v>
      </c>
      <c r="Q23" s="10"/>
      <c r="R23" s="10"/>
      <c r="S23" s="10"/>
      <c r="T23" s="10"/>
      <c r="U23" s="10"/>
      <c r="V23" s="10"/>
    </row>
    <row r="24" spans="2:22" x14ac:dyDescent="0.3">
      <c r="B24" s="10"/>
      <c r="C24" s="10"/>
      <c r="D24" s="10"/>
      <c r="E24" s="10"/>
      <c r="F24" s="10"/>
      <c r="G24" s="10"/>
      <c r="H24" s="10"/>
      <c r="I24" s="10"/>
      <c r="J24" s="10"/>
      <c r="K24" s="10"/>
      <c r="L24" s="10"/>
      <c r="M24" s="10"/>
      <c r="N24" s="10">
        <f>SUBTOTAL(109,Tableau3[HJ Dev])</f>
        <v>45</v>
      </c>
      <c r="O24" s="10"/>
      <c r="P24" s="10">
        <f>SUBTOTAL(109,Tableau3[Total HJ])</f>
        <v>67.5</v>
      </c>
      <c r="Q24" s="10"/>
      <c r="R24" s="10"/>
      <c r="S24" s="10"/>
      <c r="T24" s="10"/>
      <c r="U24" s="10"/>
      <c r="V24" s="10"/>
    </row>
    <row r="26" spans="2:22" x14ac:dyDescent="0.3">
      <c r="P26" s="1">
        <f>SUM(Tableau3[Total HJ])</f>
        <v>67.5</v>
      </c>
    </row>
  </sheetData>
  <mergeCells count="3">
    <mergeCell ref="Q2:V2"/>
    <mergeCell ref="B2:M2"/>
    <mergeCell ref="N2:P2"/>
  </mergeCells>
  <phoneticPr fontId="2" type="noConversion"/>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9E253E9F-6967-4CE3-BEC2-E6EF086F8550}">
          <x14:formula1>
            <xm:f>Params!$B$3:$B$5</xm:f>
          </x14:formula1>
          <xm:sqref>D4</xm:sqref>
        </x14:dataValidation>
        <x14:dataValidation type="list" allowBlank="1" showInputMessage="1" showErrorMessage="1" xr:uid="{06B2A4DB-2A94-4B0B-971B-CDFF438E23BA}">
          <x14:formula1>
            <xm:f>Params!$G$3:$G$9</xm:f>
          </x14:formula1>
          <xm:sqref>M22:M23 M12:M20</xm:sqref>
        </x14:dataValidation>
        <x14:dataValidation type="list" allowBlank="1" showInputMessage="1" showErrorMessage="1" xr:uid="{1F2CF1C1-BE35-4DC9-A975-F49F788F3D6A}">
          <x14:formula1>
            <xm:f>Params!$H$3:$H$6</xm:f>
          </x14:formula1>
          <xm:sqref>K22:K23 K12:K20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zoomScale="80" zoomScaleNormal="80" workbookViewId="0">
      <selection activeCell="J16" sqref="J16"/>
    </sheetView>
  </sheetViews>
  <sheetFormatPr baseColWidth="10" defaultColWidth="11.44140625" defaultRowHeight="14.4" x14ac:dyDescent="0.3"/>
  <cols>
    <col min="1" max="1" width="12" style="2" customWidth="1"/>
    <col min="2" max="2" width="10.21875" style="2" customWidth="1"/>
    <col min="3" max="3" width="11.44140625" style="2"/>
    <col min="4" max="4" width="58.21875" style="2" customWidth="1"/>
    <col min="5" max="5" width="15.77734375" style="2" customWidth="1"/>
    <col min="6" max="6" width="22.21875" style="2" customWidth="1"/>
    <col min="7" max="7" width="16.5546875" style="2" customWidth="1"/>
    <col min="8" max="16384" width="11.44140625" style="2"/>
  </cols>
  <sheetData>
    <row r="2" spans="1:7" ht="15" thickBot="1" x14ac:dyDescent="0.35"/>
    <row r="3" spans="1:7" ht="24" customHeight="1" thickBot="1" x14ac:dyDescent="0.35">
      <c r="A3" s="2" t="s">
        <v>34</v>
      </c>
      <c r="B3" s="42" t="s">
        <v>0</v>
      </c>
      <c r="C3" s="43"/>
      <c r="D3" s="43"/>
      <c r="E3" s="43"/>
      <c r="F3" s="43"/>
      <c r="G3" s="44"/>
    </row>
    <row r="4" spans="1:7" x14ac:dyDescent="0.3">
      <c r="B4" s="4"/>
      <c r="C4" s="5"/>
      <c r="D4" s="5"/>
      <c r="E4" s="5"/>
      <c r="F4" s="5"/>
      <c r="G4" s="5"/>
    </row>
    <row r="5" spans="1:7" x14ac:dyDescent="0.3">
      <c r="B5" s="12" t="str">
        <f>'Gestion Exigences'!B5</f>
        <v>Client</v>
      </c>
      <c r="D5" s="12" t="e">
        <f>'Gestion Exigences'!#REF!</f>
        <v>#REF!</v>
      </c>
      <c r="E5" s="5"/>
      <c r="F5" s="5"/>
      <c r="G5" s="5"/>
    </row>
    <row r="6" spans="1:7" x14ac:dyDescent="0.3">
      <c r="B6" s="12" t="str">
        <f>'Gestion Exigences'!B6</f>
        <v>Projet</v>
      </c>
      <c r="D6" s="12" t="e">
        <f>'Gestion Exigences'!#REF!</f>
        <v>#REF!</v>
      </c>
      <c r="E6" s="5"/>
      <c r="F6" s="5"/>
      <c r="G6" s="5"/>
    </row>
    <row r="7" spans="1:7" x14ac:dyDescent="0.3">
      <c r="B7" s="12" t="e">
        <f>'Gestion Exigences'!#REF!</f>
        <v>#REF!</v>
      </c>
      <c r="D7" s="12" t="e">
        <f>'Gestion Exigences'!#REF!</f>
        <v>#REF!</v>
      </c>
      <c r="E7" s="5"/>
      <c r="F7" s="5"/>
      <c r="G7" s="5"/>
    </row>
    <row r="8" spans="1:7" x14ac:dyDescent="0.3">
      <c r="B8" s="12" t="e">
        <f>'Gestion Exigences'!#REF!</f>
        <v>#REF!</v>
      </c>
      <c r="D8" s="12" t="e">
        <f>'Gestion Exigences'!#REF!</f>
        <v>#REF!</v>
      </c>
      <c r="E8" s="5"/>
      <c r="F8" s="5"/>
      <c r="G8" s="5"/>
    </row>
    <row r="9" spans="1:7" x14ac:dyDescent="0.3">
      <c r="B9" s="4"/>
      <c r="C9" s="12"/>
      <c r="D9" s="5"/>
      <c r="E9" s="5"/>
      <c r="F9" s="5"/>
      <c r="G9" s="5"/>
    </row>
    <row r="10" spans="1:7" x14ac:dyDescent="0.3">
      <c r="B10" s="18" t="str">
        <f>'Gestion Exigences'!B8</f>
        <v>Réf Modèle Document</v>
      </c>
      <c r="C10" s="19" t="str">
        <f>'Gestion Exigences'!D8</f>
        <v>MD203</v>
      </c>
      <c r="D10" s="5"/>
      <c r="E10" s="5"/>
      <c r="F10" s="5"/>
      <c r="G10" s="5"/>
    </row>
    <row r="11" spans="1:7" x14ac:dyDescent="0.3">
      <c r="B11" s="18" t="str">
        <f>'Gestion Exigences'!B9</f>
        <v>Version Modèle Document</v>
      </c>
      <c r="C11" s="19" t="str">
        <f>'Gestion Exigences'!D9</f>
        <v>V1.5</v>
      </c>
      <c r="D11" s="5"/>
      <c r="E11" s="5"/>
      <c r="F11" s="5"/>
      <c r="G11" s="5"/>
    </row>
    <row r="12" spans="1:7" x14ac:dyDescent="0.3">
      <c r="B12" s="4"/>
      <c r="C12" s="5"/>
      <c r="D12" s="5"/>
      <c r="E12" s="5"/>
      <c r="F12" s="5"/>
      <c r="G12" s="5"/>
    </row>
    <row r="13" spans="1:7" x14ac:dyDescent="0.3">
      <c r="B13" s="13" t="s">
        <v>35</v>
      </c>
      <c r="C13" s="13" t="s">
        <v>36</v>
      </c>
      <c r="D13" s="13" t="s">
        <v>37</v>
      </c>
      <c r="E13" s="13" t="s">
        <v>38</v>
      </c>
      <c r="F13" s="13" t="s">
        <v>39</v>
      </c>
      <c r="G13" s="13" t="s">
        <v>40</v>
      </c>
    </row>
    <row r="14" spans="1:7" ht="29.55" customHeight="1" x14ac:dyDescent="0.3">
      <c r="B14" s="6" t="s">
        <v>78</v>
      </c>
      <c r="C14" s="7">
        <v>45342</v>
      </c>
      <c r="D14" s="16" t="s">
        <v>79</v>
      </c>
      <c r="E14" s="6" t="s">
        <v>80</v>
      </c>
      <c r="F14" s="15" t="s">
        <v>81</v>
      </c>
      <c r="G14" s="6" t="s">
        <v>41</v>
      </c>
    </row>
    <row r="15" spans="1:7" x14ac:dyDescent="0.3">
      <c r="B15" s="6" t="s">
        <v>91</v>
      </c>
      <c r="C15" s="25">
        <v>45701</v>
      </c>
      <c r="D15" s="2" t="s">
        <v>94</v>
      </c>
      <c r="E15" s="2" t="s">
        <v>92</v>
      </c>
      <c r="F15" s="15" t="s">
        <v>93</v>
      </c>
      <c r="G15" s="6" t="s">
        <v>41</v>
      </c>
    </row>
    <row r="16" spans="1:7" x14ac:dyDescent="0.3">
      <c r="C16" s="25"/>
    </row>
  </sheetData>
  <mergeCells count="1">
    <mergeCell ref="B3:G3"/>
  </mergeCells>
  <phoneticPr fontId="18" type="noConversion"/>
  <pageMargins left="0.7" right="0.7" top="0.75" bottom="0.75" header="0.3" footer="0.3"/>
  <pageSetup paperSize="9" scale="95"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12"/>
  <sheetViews>
    <sheetView workbookViewId="0">
      <selection activeCell="I17" sqref="I17"/>
    </sheetView>
  </sheetViews>
  <sheetFormatPr baseColWidth="10" defaultColWidth="11.44140625" defaultRowHeight="13.8" x14ac:dyDescent="0.25"/>
  <cols>
    <col min="1" max="2" width="11.44140625" style="10"/>
    <col min="3" max="4" width="19.77734375" style="10" customWidth="1"/>
    <col min="5" max="5" width="23.77734375" style="10" customWidth="1"/>
    <col min="6" max="6" width="14.44140625" style="10" customWidth="1"/>
    <col min="7" max="7" width="23.77734375" style="10" customWidth="1"/>
    <col min="8" max="8" width="25.21875" style="10" customWidth="1"/>
    <col min="9" max="9" width="20.44140625" style="10" customWidth="1"/>
    <col min="10" max="16384" width="11.44140625" style="10"/>
  </cols>
  <sheetData>
    <row r="2" spans="2:9" ht="27.6" x14ac:dyDescent="0.25">
      <c r="B2" s="11" t="s">
        <v>3</v>
      </c>
      <c r="C2" s="11" t="s">
        <v>13</v>
      </c>
      <c r="D2" s="11" t="s">
        <v>42</v>
      </c>
      <c r="E2" s="11" t="s">
        <v>16</v>
      </c>
      <c r="F2" s="11" t="s">
        <v>43</v>
      </c>
      <c r="G2" s="11" t="s">
        <v>19</v>
      </c>
      <c r="H2" s="11" t="s">
        <v>44</v>
      </c>
      <c r="I2" s="11" t="s">
        <v>14</v>
      </c>
    </row>
    <row r="3" spans="2:9" x14ac:dyDescent="0.25">
      <c r="B3" s="10" t="s">
        <v>60</v>
      </c>
      <c r="C3" s="10" t="s">
        <v>45</v>
      </c>
      <c r="D3" s="10" t="s">
        <v>46</v>
      </c>
      <c r="E3" s="10" t="s">
        <v>47</v>
      </c>
      <c r="F3" s="10" t="s">
        <v>48</v>
      </c>
      <c r="G3" s="10" t="s">
        <v>49</v>
      </c>
      <c r="H3" s="10" t="s">
        <v>50</v>
      </c>
      <c r="I3" s="10" t="s">
        <v>69</v>
      </c>
    </row>
    <row r="4" spans="2:9" x14ac:dyDescent="0.25">
      <c r="B4" s="10" t="s">
        <v>64</v>
      </c>
      <c r="C4" s="10" t="s">
        <v>51</v>
      </c>
      <c r="D4" s="10" t="s">
        <v>52</v>
      </c>
      <c r="E4" s="10" t="s">
        <v>53</v>
      </c>
      <c r="F4" s="10" t="s">
        <v>54</v>
      </c>
      <c r="G4" s="10" t="s">
        <v>55</v>
      </c>
      <c r="H4" s="10" t="s">
        <v>56</v>
      </c>
      <c r="I4" s="10" t="s">
        <v>70</v>
      </c>
    </row>
    <row r="5" spans="2:9" x14ac:dyDescent="0.25">
      <c r="B5" s="10" t="s">
        <v>4</v>
      </c>
      <c r="C5" s="10" t="s">
        <v>57</v>
      </c>
      <c r="D5" s="10" t="s">
        <v>58</v>
      </c>
      <c r="E5" s="10" t="s">
        <v>59</v>
      </c>
      <c r="F5" s="10" t="s">
        <v>30</v>
      </c>
      <c r="G5" s="10" t="s">
        <v>30</v>
      </c>
      <c r="H5" s="10" t="s">
        <v>30</v>
      </c>
      <c r="I5" s="10" t="s">
        <v>71</v>
      </c>
    </row>
    <row r="6" spans="2:9" x14ac:dyDescent="0.25">
      <c r="B6" s="10" t="s">
        <v>4</v>
      </c>
      <c r="C6" s="10" t="s">
        <v>61</v>
      </c>
      <c r="D6" s="10" t="s">
        <v>62</v>
      </c>
      <c r="E6" s="10" t="s">
        <v>63</v>
      </c>
      <c r="I6" s="10" t="s">
        <v>72</v>
      </c>
    </row>
    <row r="7" spans="2:9" x14ac:dyDescent="0.25">
      <c r="C7" s="10" t="s">
        <v>65</v>
      </c>
      <c r="D7" s="10" t="s">
        <v>66</v>
      </c>
      <c r="E7" s="10" t="s">
        <v>89</v>
      </c>
      <c r="I7" s="10" t="s">
        <v>73</v>
      </c>
    </row>
    <row r="8" spans="2:9" x14ac:dyDescent="0.25">
      <c r="C8" s="10" t="s">
        <v>88</v>
      </c>
      <c r="E8" s="10" t="s">
        <v>67</v>
      </c>
      <c r="I8" s="10" t="s">
        <v>74</v>
      </c>
    </row>
    <row r="9" spans="2:9" x14ac:dyDescent="0.25">
      <c r="E9" s="10" t="s">
        <v>68</v>
      </c>
      <c r="I9" s="10" t="s">
        <v>75</v>
      </c>
    </row>
    <row r="11" spans="2:9" x14ac:dyDescent="0.25">
      <c r="I11" s="10" t="s">
        <v>76</v>
      </c>
    </row>
    <row r="12" spans="2:9" ht="27.6" x14ac:dyDescent="0.25">
      <c r="I12" s="10" t="s">
        <v>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FA6A26-280B-48B9-B75C-A90666CA3FEB}"/>
</file>

<file path=customXml/itemProps2.xml><?xml version="1.0" encoding="utf-8"?>
<ds:datastoreItem xmlns:ds="http://schemas.openxmlformats.org/officeDocument/2006/customXml" ds:itemID="{85503822-DF13-4051-A489-72B75648E37A}">
  <ds:schemaRefs>
    <ds:schemaRef ds:uri="http://schemas.microsoft.com/office/infopath/2007/PartnerControls"/>
    <ds:schemaRef ds:uri="http://purl.org/dc/elements/1.1/"/>
    <ds:schemaRef ds:uri="http://www.w3.org/XML/1998/namespace"/>
    <ds:schemaRef ds:uri="http://schemas.microsoft.com/office/2006/metadata/properties"/>
    <ds:schemaRef ds:uri="http://schemas.microsoft.com/office/2006/documentManagement/types"/>
    <ds:schemaRef ds:uri="http://schemas.openxmlformats.org/package/2006/metadata/core-properties"/>
    <ds:schemaRef ds:uri="43b908ec-9e92-424c-a4ad-3174bac6e888"/>
    <ds:schemaRef ds:uri="5f2f9e80-f74a-40c7-b145-b94d8e4966f0"/>
    <ds:schemaRef ds:uri="http://purl.org/dc/dcmitype/"/>
    <ds:schemaRef ds:uri="http://purl.org/dc/terms/"/>
  </ds:schemaRefs>
</ds:datastoreItem>
</file>

<file path=customXml/itemProps3.xml><?xml version="1.0" encoding="utf-8"?>
<ds:datastoreItem xmlns:ds="http://schemas.openxmlformats.org/officeDocument/2006/customXml" ds:itemID="{431C8B5B-7A06-4686-9F8A-E8F24EECD8B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2</vt:i4>
      </vt:variant>
    </vt:vector>
  </HeadingPairs>
  <TitlesOfParts>
    <vt:vector size="6" baseType="lpstr">
      <vt:lpstr>Fiche Client</vt: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Siwar Abbes</cp:lastModifiedBy>
  <cp:revision/>
  <dcterms:created xsi:type="dcterms:W3CDTF">2000-07-05T17:03:55Z</dcterms:created>
  <dcterms:modified xsi:type="dcterms:W3CDTF">2025-04-03T19:15:32Z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